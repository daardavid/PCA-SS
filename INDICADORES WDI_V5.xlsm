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fael\Documents\SERGIO\"/>
    </mc:Choice>
  </mc:AlternateContent>
  <xr:revisionPtr revIDLastSave="0" documentId="8_{A7195F2F-1CE8-434E-8A31-70F7127E5D06}" xr6:coauthVersionLast="36" xr6:coauthVersionMax="36" xr10:uidLastSave="{00000000-0000-0000-0000-000000000000}"/>
  <bookViews>
    <workbookView xWindow="0" yWindow="0" windowWidth="28800" windowHeight="10965" firstSheet="4" activeTab="6" xr2:uid="{81A9C3AA-E67D-40C4-8E5B-6B6D0AF5E0F1}"/>
  </bookViews>
  <sheets>
    <sheet name="Compulsory education, duration " sheetId="7" r:id="rId1"/>
    <sheet name="Expenditure on tertiary educati" sheetId="8" r:id="rId2"/>
    <sheet name="Gov exp on educa (% of GDP)" sheetId="12" r:id="rId3"/>
    <sheet name="Gov exp on educa (% of gov exp)" sheetId="13" r:id="rId4"/>
    <sheet name="Research and development expend" sheetId="24" r:id="rId5"/>
    <sheet name="GDP growth (annual %)" sheetId="9" r:id="rId6"/>
    <sheet name="GDP per capita growth (annual %" sheetId="10" r:id="rId7"/>
    <sheet name="Gráfico1" sheetId="28" r:id="rId8"/>
    <sheet name="GDP per capita, PPP (constant 2" sheetId="11" r:id="rId9"/>
    <sheet name="Poverty headc. ratio at $2.15" sheetId="14" r:id="rId10"/>
    <sheet name="Poverty headc. ratio at $3.65" sheetId="15" r:id="rId11"/>
    <sheet name="Poverty headc. ratio at $6.85" sheetId="16" r:id="rId12"/>
    <sheet name="Poverty headcount ratio at soci" sheetId="18" r:id="rId13"/>
    <sheet name="Total debt service (% of GNI)" sheetId="27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6" i="11" l="1"/>
  <c r="AE6" i="11"/>
  <c r="AD7" i="11"/>
  <c r="AE7" i="11"/>
  <c r="AD8" i="11"/>
  <c r="AE8" i="11"/>
  <c r="AD9" i="11"/>
  <c r="AE9" i="11"/>
  <c r="AD10" i="11"/>
  <c r="AE10" i="11"/>
  <c r="AD11" i="11"/>
  <c r="AE11" i="11"/>
  <c r="AD12" i="11"/>
  <c r="AE12" i="11"/>
  <c r="AD13" i="11"/>
  <c r="AE13" i="11"/>
  <c r="AD14" i="11"/>
  <c r="AE14" i="11"/>
  <c r="AD15" i="11"/>
  <c r="AE15" i="11"/>
  <c r="AD16" i="11"/>
  <c r="AE16" i="11"/>
  <c r="AD17" i="11"/>
  <c r="AE17" i="11"/>
  <c r="AD18" i="11"/>
  <c r="AE18" i="11"/>
  <c r="AD19" i="11"/>
  <c r="AE19" i="11"/>
  <c r="AD20" i="11"/>
  <c r="AE20" i="11"/>
  <c r="AD21" i="11"/>
  <c r="AE21" i="11"/>
  <c r="AD22" i="11"/>
  <c r="AE22" i="11"/>
  <c r="AD23" i="11"/>
  <c r="AE23" i="11"/>
  <c r="AD24" i="11"/>
  <c r="AE24" i="11"/>
  <c r="AD25" i="11"/>
  <c r="AE25" i="11"/>
  <c r="AD26" i="11"/>
  <c r="AE26" i="11"/>
  <c r="AD27" i="11"/>
  <c r="AE27" i="11"/>
  <c r="AD28" i="11"/>
  <c r="AE28" i="11"/>
  <c r="AD29" i="11"/>
  <c r="AE29" i="11"/>
  <c r="AD30" i="11"/>
  <c r="AE30" i="11"/>
  <c r="AD31" i="11"/>
  <c r="AE31" i="11"/>
  <c r="AD32" i="11"/>
  <c r="AE32" i="11"/>
  <c r="AD33" i="11"/>
  <c r="AE33" i="11"/>
  <c r="AD34" i="11"/>
  <c r="AE34" i="11"/>
  <c r="AD35" i="11"/>
  <c r="AE35" i="11"/>
  <c r="AD36" i="11"/>
  <c r="AE36" i="11"/>
  <c r="AD37" i="11"/>
  <c r="AE37" i="11"/>
  <c r="AD38" i="11"/>
  <c r="AE38" i="11"/>
  <c r="AD39" i="11"/>
  <c r="AE39" i="11"/>
  <c r="AD40" i="11"/>
  <c r="AE40" i="11"/>
  <c r="AD41" i="11"/>
  <c r="AE41" i="11"/>
  <c r="AD42" i="11"/>
  <c r="AE42" i="11"/>
  <c r="AD43" i="11"/>
  <c r="AE43" i="11"/>
  <c r="AD44" i="11"/>
  <c r="AE44" i="11"/>
  <c r="AD45" i="11"/>
  <c r="AE45" i="11"/>
  <c r="AD46" i="11"/>
  <c r="AE46" i="11"/>
  <c r="AD47" i="11"/>
  <c r="AE47" i="11"/>
  <c r="AD48" i="11"/>
  <c r="AE48" i="11"/>
  <c r="AD49" i="11"/>
  <c r="AE49" i="11"/>
  <c r="AD50" i="11"/>
  <c r="AE50" i="11"/>
  <c r="AD51" i="11"/>
  <c r="AE51" i="11"/>
  <c r="AD52" i="11"/>
  <c r="AE52" i="11"/>
  <c r="AD53" i="11"/>
  <c r="AE53" i="11"/>
  <c r="AD54" i="11"/>
  <c r="AE54" i="11"/>
  <c r="AD55" i="11"/>
  <c r="AE55" i="11"/>
  <c r="AD56" i="11"/>
  <c r="AE56" i="11"/>
  <c r="AD57" i="11"/>
  <c r="AE57" i="11"/>
  <c r="AD58" i="11"/>
  <c r="AE58" i="11"/>
  <c r="AD59" i="11"/>
  <c r="AE59" i="11"/>
  <c r="AD60" i="11"/>
  <c r="AE60" i="11"/>
  <c r="AD61" i="11"/>
  <c r="AE61" i="11"/>
  <c r="AE5" i="11"/>
  <c r="AD5" i="11"/>
  <c r="AB5" i="11"/>
  <c r="W6" i="8"/>
  <c r="X6" i="8"/>
  <c r="W7" i="8"/>
  <c r="X7" i="8"/>
  <c r="W8" i="8"/>
  <c r="X8" i="8"/>
  <c r="W9" i="8"/>
  <c r="X9" i="8"/>
  <c r="W10" i="8"/>
  <c r="X10" i="8"/>
  <c r="W11" i="8"/>
  <c r="X11" i="8"/>
  <c r="W12" i="8"/>
  <c r="X12" i="8"/>
  <c r="W13" i="8"/>
  <c r="X13" i="8"/>
  <c r="W14" i="8"/>
  <c r="X14" i="8"/>
  <c r="W15" i="8"/>
  <c r="X15" i="8"/>
  <c r="W16" i="8"/>
  <c r="X16" i="8"/>
  <c r="W17" i="8"/>
  <c r="X17" i="8"/>
  <c r="W18" i="8"/>
  <c r="X18" i="8"/>
  <c r="W19" i="8"/>
  <c r="X19" i="8"/>
  <c r="W20" i="8"/>
  <c r="X20" i="8"/>
  <c r="W21" i="8"/>
  <c r="X21" i="8"/>
  <c r="W22" i="8"/>
  <c r="X22" i="8"/>
  <c r="W23" i="8"/>
  <c r="X23" i="8"/>
  <c r="W24" i="8"/>
  <c r="X24" i="8"/>
  <c r="W25" i="8"/>
  <c r="X25" i="8"/>
  <c r="W26" i="8"/>
  <c r="X26" i="8"/>
  <c r="W27" i="8"/>
  <c r="X27" i="8"/>
  <c r="W28" i="8"/>
  <c r="X28" i="8"/>
  <c r="W29" i="8"/>
  <c r="X29" i="8"/>
  <c r="W30" i="8"/>
  <c r="X30" i="8"/>
  <c r="W31" i="8"/>
  <c r="X31" i="8"/>
  <c r="W32" i="8"/>
  <c r="X32" i="8"/>
  <c r="W33" i="8"/>
  <c r="X33" i="8"/>
  <c r="W34" i="8"/>
  <c r="X34" i="8"/>
  <c r="W35" i="8"/>
  <c r="X35" i="8"/>
  <c r="W36" i="8"/>
  <c r="X36" i="8"/>
  <c r="W37" i="8"/>
  <c r="X37" i="8"/>
  <c r="W38" i="8"/>
  <c r="X38" i="8"/>
  <c r="W39" i="8"/>
  <c r="X39" i="8"/>
  <c r="W40" i="8"/>
  <c r="X40" i="8"/>
  <c r="W41" i="8"/>
  <c r="X41" i="8"/>
  <c r="W42" i="8"/>
  <c r="X42" i="8"/>
  <c r="W43" i="8"/>
  <c r="X43" i="8"/>
  <c r="W44" i="8"/>
  <c r="X44" i="8"/>
  <c r="W45" i="8"/>
  <c r="X45" i="8"/>
  <c r="W46" i="8"/>
  <c r="X46" i="8"/>
  <c r="W47" i="8"/>
  <c r="X47" i="8"/>
  <c r="W48" i="8"/>
  <c r="X48" i="8"/>
  <c r="W49" i="8"/>
  <c r="X49" i="8"/>
  <c r="W50" i="8"/>
  <c r="X50" i="8"/>
  <c r="W51" i="8"/>
  <c r="X51" i="8"/>
  <c r="W52" i="8"/>
  <c r="X52" i="8"/>
  <c r="W53" i="8"/>
  <c r="X53" i="8"/>
  <c r="W54" i="8"/>
  <c r="X54" i="8"/>
  <c r="W55" i="8"/>
  <c r="X55" i="8"/>
  <c r="W56" i="8"/>
  <c r="X56" i="8"/>
  <c r="W57" i="8"/>
  <c r="X57" i="8"/>
  <c r="W58" i="8"/>
  <c r="X58" i="8"/>
  <c r="W59" i="8"/>
  <c r="X59" i="8"/>
  <c r="X5" i="8"/>
  <c r="W5" i="8"/>
  <c r="BH5" i="7"/>
  <c r="AE5" i="7"/>
  <c r="BG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BE62" i="7"/>
  <c r="BD62" i="7"/>
  <c r="BC62" i="7"/>
  <c r="BB62" i="7"/>
  <c r="BA62" i="7"/>
  <c r="AZ62" i="7"/>
  <c r="AY62" i="7"/>
  <c r="AX62" i="7"/>
  <c r="AW62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J62" i="7"/>
  <c r="AI62" i="7"/>
  <c r="BE61" i="7"/>
  <c r="BD61" i="7"/>
  <c r="BC61" i="7"/>
  <c r="BB61" i="7"/>
  <c r="BA61" i="7"/>
  <c r="AZ61" i="7"/>
  <c r="AY61" i="7"/>
  <c r="AX61" i="7"/>
  <c r="AW61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BE60" i="7"/>
  <c r="BD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J60" i="7"/>
  <c r="AI60" i="7"/>
  <c r="BE59" i="7"/>
  <c r="BD59" i="7"/>
  <c r="BC59" i="7"/>
  <c r="BB59" i="7"/>
  <c r="BA59" i="7"/>
  <c r="AZ59" i="7"/>
  <c r="AY59" i="7"/>
  <c r="AX59" i="7"/>
  <c r="AW59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J59" i="7"/>
  <c r="AI59" i="7"/>
  <c r="BE58" i="7"/>
  <c r="BD58" i="7"/>
  <c r="BC58" i="7"/>
  <c r="BB58" i="7"/>
  <c r="BA58" i="7"/>
  <c r="AZ58" i="7"/>
  <c r="AY58" i="7"/>
  <c r="AX58" i="7"/>
  <c r="AW58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BE57" i="7"/>
  <c r="BD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J57" i="7"/>
  <c r="AI57" i="7"/>
  <c r="BE56" i="7"/>
  <c r="BD56" i="7"/>
  <c r="BC56" i="7"/>
  <c r="BB56" i="7"/>
  <c r="BA56" i="7"/>
  <c r="AZ56" i="7"/>
  <c r="AY56" i="7"/>
  <c r="AX56" i="7"/>
  <c r="AW56" i="7"/>
  <c r="AV56" i="7"/>
  <c r="AU56" i="7"/>
  <c r="AT56" i="7"/>
  <c r="AS56" i="7"/>
  <c r="AR56" i="7"/>
  <c r="AQ56" i="7"/>
  <c r="AP56" i="7"/>
  <c r="AO56" i="7"/>
  <c r="AN56" i="7"/>
  <c r="AM56" i="7"/>
  <c r="AL56" i="7"/>
  <c r="AK56" i="7"/>
  <c r="AJ56" i="7"/>
  <c r="AI56" i="7"/>
  <c r="BE55" i="7"/>
  <c r="BD55" i="7"/>
  <c r="BC55" i="7"/>
  <c r="BB55" i="7"/>
  <c r="BA55" i="7"/>
  <c r="AZ55" i="7"/>
  <c r="AY55" i="7"/>
  <c r="AX55" i="7"/>
  <c r="AW55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BE54" i="7"/>
  <c r="BD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BE53" i="7"/>
  <c r="BD53" i="7"/>
  <c r="BC53" i="7"/>
  <c r="BB53" i="7"/>
  <c r="BA53" i="7"/>
  <c r="AZ53" i="7"/>
  <c r="AY53" i="7"/>
  <c r="AX53" i="7"/>
  <c r="AW53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J53" i="7"/>
  <c r="AI53" i="7"/>
  <c r="BE52" i="7"/>
  <c r="BD52" i="7"/>
  <c r="BC52" i="7"/>
  <c r="BB52" i="7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BE51" i="7"/>
  <c r="BD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BE50" i="7"/>
  <c r="BD50" i="7"/>
  <c r="BC50" i="7"/>
  <c r="BB50" i="7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BE49" i="7"/>
  <c r="BD49" i="7"/>
  <c r="BC49" i="7"/>
  <c r="BB49" i="7"/>
  <c r="BA49" i="7"/>
  <c r="AZ49" i="7"/>
  <c r="AY49" i="7"/>
  <c r="AX49" i="7"/>
  <c r="AW49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BE48" i="7"/>
  <c r="BD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BE47" i="7"/>
  <c r="BD47" i="7"/>
  <c r="BC47" i="7"/>
  <c r="BB47" i="7"/>
  <c r="BA47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BE46" i="7"/>
  <c r="BD46" i="7"/>
  <c r="BC46" i="7"/>
  <c r="BB46" i="7"/>
  <c r="BA46" i="7"/>
  <c r="AZ46" i="7"/>
  <c r="AY46" i="7"/>
  <c r="AX46" i="7"/>
  <c r="AW46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BE45" i="7"/>
  <c r="BD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J45" i="7"/>
  <c r="AI45" i="7"/>
  <c r="BE44" i="7"/>
  <c r="BD44" i="7"/>
  <c r="BC44" i="7"/>
  <c r="BB44" i="7"/>
  <c r="BA44" i="7"/>
  <c r="AZ44" i="7"/>
  <c r="AY44" i="7"/>
  <c r="AX44" i="7"/>
  <c r="AW44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J44" i="7"/>
  <c r="AI44" i="7"/>
  <c r="BE43" i="7"/>
  <c r="BD43" i="7"/>
  <c r="BC43" i="7"/>
  <c r="BB43" i="7"/>
  <c r="BA43" i="7"/>
  <c r="AZ43" i="7"/>
  <c r="AY43" i="7"/>
  <c r="AX43" i="7"/>
  <c r="AW43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J43" i="7"/>
  <c r="AI43" i="7"/>
  <c r="BE42" i="7"/>
  <c r="BD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BE41" i="7"/>
  <c r="BD41" i="7"/>
  <c r="BC41" i="7"/>
  <c r="BB41" i="7"/>
  <c r="BA41" i="7"/>
  <c r="AZ41" i="7"/>
  <c r="AY41" i="7"/>
  <c r="AX41" i="7"/>
  <c r="AW41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BE40" i="7"/>
  <c r="BD40" i="7"/>
  <c r="BC40" i="7"/>
  <c r="BB40" i="7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BE39" i="7"/>
  <c r="BD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BE38" i="7"/>
  <c r="BD38" i="7"/>
  <c r="BC38" i="7"/>
  <c r="BB38" i="7"/>
  <c r="BA38" i="7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BE37" i="7"/>
  <c r="BD37" i="7"/>
  <c r="BC37" i="7"/>
  <c r="BB37" i="7"/>
  <c r="BA37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BE36" i="7"/>
  <c r="BD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BE35" i="7"/>
  <c r="BD35" i="7"/>
  <c r="BC35" i="7"/>
  <c r="BB35" i="7"/>
  <c r="BA35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BE34" i="7"/>
  <c r="BD34" i="7"/>
  <c r="BC34" i="7"/>
  <c r="BB34" i="7"/>
  <c r="BA34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BE27" i="7"/>
  <c r="BD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" i="7"/>
  <c r="AC6" i="7"/>
  <c r="AI5" i="7"/>
  <c r="AH5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D6" i="7"/>
  <c r="AD7" i="7"/>
  <c r="AD8" i="7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5" i="7"/>
</calcChain>
</file>

<file path=xl/sharedStrings.xml><?xml version="1.0" encoding="utf-8"?>
<sst xmlns="http://schemas.openxmlformats.org/spreadsheetml/2006/main" count="885" uniqueCount="76">
  <si>
    <t>Total debt service (% of GNI)</t>
  </si>
  <si>
    <t>Research and development expenditure (% of GDP)</t>
  </si>
  <si>
    <t>GDP growth (annual %)</t>
  </si>
  <si>
    <t>GDP per capita growth (annual %)</t>
  </si>
  <si>
    <t>Compulsory education, duration (years)</t>
  </si>
  <si>
    <t>Expenditure on tertiary education (% of government expenditure on education)</t>
  </si>
  <si>
    <t>Government expenditure on education, total (% of government expenditure)</t>
  </si>
  <si>
    <t>Government expenditure on education, total (% of GDP)</t>
  </si>
  <si>
    <t>Indicator Name</t>
  </si>
  <si>
    <t>Uruguay</t>
  </si>
  <si>
    <t>Poverty headcount ratio at societal poverty line (% of population)</t>
  </si>
  <si>
    <t>Poverty headcount ratio at $6.85 a day (2017 PPP) (% of population)</t>
  </si>
  <si>
    <t>Poverty headcount ratio at $3.65 a day (2017 PPP) (% of population)</t>
  </si>
  <si>
    <t>Poverty headcount ratio at $2.15 a day (2017 PPP) (% of population)</t>
  </si>
  <si>
    <t>United Kingdom</t>
  </si>
  <si>
    <t>United States</t>
  </si>
  <si>
    <t>Venezuela, RB</t>
  </si>
  <si>
    <t>Viet Nam</t>
  </si>
  <si>
    <t>Thailand</t>
  </si>
  <si>
    <t>Turkiye</t>
  </si>
  <si>
    <t>Sweden</t>
  </si>
  <si>
    <t>Spain</t>
  </si>
  <si>
    <t>Switzerland</t>
  </si>
  <si>
    <t>Singapore</t>
  </si>
  <si>
    <t>Slovak Republic</t>
  </si>
  <si>
    <t>Slovenia</t>
  </si>
  <si>
    <t>Peru</t>
  </si>
  <si>
    <t>Philippines</t>
  </si>
  <si>
    <t>Norway</t>
  </si>
  <si>
    <t>Portugal</t>
  </si>
  <si>
    <t>New Zealand</t>
  </si>
  <si>
    <t>Romania</t>
  </si>
  <si>
    <t>Poland</t>
  </si>
  <si>
    <t>Russian Federation</t>
  </si>
  <si>
    <t>Netherlands</t>
  </si>
  <si>
    <t>Mexico</t>
  </si>
  <si>
    <t>Malaysia</t>
  </si>
  <si>
    <t>Luxembourg</t>
  </si>
  <si>
    <t>Latvia</t>
  </si>
  <si>
    <t>India</t>
  </si>
  <si>
    <t>Indonesia</t>
  </si>
  <si>
    <t>Korea, Rep.</t>
  </si>
  <si>
    <t>Italy</t>
  </si>
  <si>
    <t>Israel</t>
  </si>
  <si>
    <t>Hungary</t>
  </si>
  <si>
    <t>Ireland</t>
  </si>
  <si>
    <t>Japan</t>
  </si>
  <si>
    <t>Iceland</t>
  </si>
  <si>
    <t>Hong Kong SAR, China</t>
  </si>
  <si>
    <t>Ecuador</t>
  </si>
  <si>
    <t>France</t>
  </si>
  <si>
    <t>Denmark</t>
  </si>
  <si>
    <t>Greece</t>
  </si>
  <si>
    <t>Finland</t>
  </si>
  <si>
    <t>Germany</t>
  </si>
  <si>
    <t>Czechia</t>
  </si>
  <si>
    <t>Cuba</t>
  </si>
  <si>
    <t>Estonia</t>
  </si>
  <si>
    <t>Croatia</t>
  </si>
  <si>
    <t>Greenland</t>
  </si>
  <si>
    <t>Colombia</t>
  </si>
  <si>
    <t>Costa Rica</t>
  </si>
  <si>
    <t>Brazil</t>
  </si>
  <si>
    <t>Chile</t>
  </si>
  <si>
    <t>Canada</t>
  </si>
  <si>
    <t>China</t>
  </si>
  <si>
    <t>Bulgaria</t>
  </si>
  <si>
    <t>Belgium</t>
  </si>
  <si>
    <t>Argentina</t>
  </si>
  <si>
    <t>Australia</t>
  </si>
  <si>
    <t>Austria</t>
  </si>
  <si>
    <t>Etiquetas de fila</t>
  </si>
  <si>
    <t>Total general</t>
  </si>
  <si>
    <t>Etiquetas de columna</t>
  </si>
  <si>
    <t>Suma de Valor</t>
  </si>
  <si>
    <t>GDP per capita, PPP (constant 2021 international 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</si>
</sst>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1" fillId="0" borderId="0" xfId="0" applyFont="1"/>
    <xf numFmtId="10" fontId="0" fillId="0" borderId="0" xfId="1" applyNumberFormat="1" applyFont="1"/>
    <xf numFmtId="2" fontId="0" fillId="0" borderId="0" xfId="0" applyNumberForma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strRef>
                  <c:f>'GDP per capita, PPP (constant 2'!$AC$5</c:f>
                  <c:strCache>
                    <c:ptCount val="1"/>
                    <c:pt idx="0">
                      <c:v>Argentina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{F2F6A640-0330-4021-A183-914619115ACB}</c15:txfldGUID>
                      <c15:f>'GDP per capita, PPP (constant 2'!$AC$5</c15:f>
                      <c15:dlblFieldTableCache>
                        <c:ptCount val="1"/>
                        <c:pt idx="0">
                          <c:v>Argentina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55A-42AA-923D-8FB17C417180}"/>
                </c:ext>
              </c:extLst>
            </c:dLbl>
            <c:dLbl>
              <c:idx val="1"/>
              <c:tx>
                <c:strRef>
                  <c:f>'GDP per capita, PPP (constant 2'!$AC$6</c:f>
                  <c:strCache>
                    <c:ptCount val="1"/>
                    <c:pt idx="0">
                      <c:v>Australia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{9965D7B3-2BF9-4F54-9F74-ED6E73A7DE5D}</c15:txfldGUID>
                      <c15:f>'GDP per capita, PPP (constant 2'!$AC$6</c15:f>
                      <c15:dlblFieldTableCache>
                        <c:ptCount val="1"/>
                        <c:pt idx="0">
                          <c:v>Australia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55A-42AA-923D-8FB17C417180}"/>
                </c:ext>
              </c:extLst>
            </c:dLbl>
            <c:dLbl>
              <c:idx val="2"/>
              <c:tx>
                <c:strRef>
                  <c:f>'GDP per capita, PPP (constant 2'!$AC$7</c:f>
                  <c:strCache>
                    <c:ptCount val="1"/>
                    <c:pt idx="0">
                      <c:v>Austria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{240C9C67-FD99-4BA2-8028-0A39D7E53668}</c15:txfldGUID>
                      <c15:f>'GDP per capita, PPP (constant 2'!$AC$7</c15:f>
                      <c15:dlblFieldTableCache>
                        <c:ptCount val="1"/>
                        <c:pt idx="0">
                          <c:v>Austria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55A-42AA-923D-8FB17C417180}"/>
                </c:ext>
              </c:extLst>
            </c:dLbl>
            <c:dLbl>
              <c:idx val="3"/>
              <c:tx>
                <c:strRef>
                  <c:f>'GDP per capita, PPP (constant 2'!$AC$8</c:f>
                  <c:strCache>
                    <c:ptCount val="1"/>
                    <c:pt idx="0">
                      <c:v>Belgium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{F297A3E4-4E7C-4C60-9EAF-FF317AF479B3}</c15:txfldGUID>
                      <c15:f>'GDP per capita, PPP (constant 2'!$AC$8</c15:f>
                      <c15:dlblFieldTableCache>
                        <c:ptCount val="1"/>
                        <c:pt idx="0">
                          <c:v>Belgium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55A-42AA-923D-8FB17C417180}"/>
                </c:ext>
              </c:extLst>
            </c:dLbl>
            <c:dLbl>
              <c:idx val="4"/>
              <c:tx>
                <c:strRef>
                  <c:f>'GDP per capita, PPP (constant 2'!$AC$9</c:f>
                  <c:strCache>
                    <c:ptCount val="1"/>
                    <c:pt idx="0">
                      <c:v>Brazil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{7AE93BCC-15B0-4508-9C8A-301A2BE34DB8}</c15:txfldGUID>
                      <c15:f>'GDP per capita, PPP (constant 2'!$AC$9</c15:f>
                      <c15:dlblFieldTableCache>
                        <c:ptCount val="1"/>
                        <c:pt idx="0">
                          <c:v>Brazil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55A-42AA-923D-8FB17C417180}"/>
                </c:ext>
              </c:extLst>
            </c:dLbl>
            <c:dLbl>
              <c:idx val="5"/>
              <c:tx>
                <c:strRef>
                  <c:f>'GDP per capita, PPP (constant 2'!$AC$10</c:f>
                  <c:strCache>
                    <c:ptCount val="1"/>
                    <c:pt idx="0">
                      <c:v>Bulgaria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{BCA791B1-3D44-4D3E-9A57-6DE62EC98A45}</c15:txfldGUID>
                      <c15:f>'GDP per capita, PPP (constant 2'!$AC$10</c15:f>
                      <c15:dlblFieldTableCache>
                        <c:ptCount val="1"/>
                        <c:pt idx="0">
                          <c:v>Bulgaria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55A-42AA-923D-8FB17C417180}"/>
                </c:ext>
              </c:extLst>
            </c:dLbl>
            <c:dLbl>
              <c:idx val="6"/>
              <c:tx>
                <c:strRef>
                  <c:f>'GDP per capita, PPP (constant 2'!$AC$11</c:f>
                  <c:strCache>
                    <c:ptCount val="1"/>
                    <c:pt idx="0">
                      <c:v>Canada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{A090859C-1301-4982-81E8-33EE3E6B6CA1}</c15:txfldGUID>
                      <c15:f>'GDP per capita, PPP (constant 2'!$AC$11</c15:f>
                      <c15:dlblFieldTableCache>
                        <c:ptCount val="1"/>
                        <c:pt idx="0">
                          <c:v>Canada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55A-42AA-923D-8FB17C417180}"/>
                </c:ext>
              </c:extLst>
            </c:dLbl>
            <c:dLbl>
              <c:idx val="7"/>
              <c:tx>
                <c:strRef>
                  <c:f>'GDP per capita, PPP (constant 2'!$AC$12</c:f>
                  <c:strCache>
                    <c:ptCount val="1"/>
                    <c:pt idx="0">
                      <c:v>Chile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{44B475A3-7A8C-4D4F-9B41-CCEC39674868}</c15:txfldGUID>
                      <c15:f>'GDP per capita, PPP (constant 2'!$AC$12</c15:f>
                      <c15:dlblFieldTableCache>
                        <c:ptCount val="1"/>
                        <c:pt idx="0">
                          <c:v>Chile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55A-42AA-923D-8FB17C417180}"/>
                </c:ext>
              </c:extLst>
            </c:dLbl>
            <c:dLbl>
              <c:idx val="8"/>
              <c:tx>
                <c:strRef>
                  <c:f>'GDP per capita, PPP (constant 2'!$AC$13</c:f>
                  <c:strCache>
                    <c:ptCount val="1"/>
                    <c:pt idx="0">
                      <c:v>China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{C49D4D7E-D608-4F8E-A986-487C0FC20104}</c15:txfldGUID>
                      <c15:f>'GDP per capita, PPP (constant 2'!$AC$13</c15:f>
                      <c15:dlblFieldTableCache>
                        <c:ptCount val="1"/>
                        <c:pt idx="0">
                          <c:v>China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55A-42AA-923D-8FB17C417180}"/>
                </c:ext>
              </c:extLst>
            </c:dLbl>
            <c:dLbl>
              <c:idx val="9"/>
              <c:tx>
                <c:strRef>
                  <c:f>'GDP per capita, PPP (constant 2'!$AC$14</c:f>
                  <c:strCache>
                    <c:ptCount val="1"/>
                    <c:pt idx="0">
                      <c:v>Colombia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{AD3EF4C2-4BBC-43AB-9074-D9B748E7F495}</c15:txfldGUID>
                      <c15:f>'GDP per capita, PPP (constant 2'!$AC$14</c15:f>
                      <c15:dlblFieldTableCache>
                        <c:ptCount val="1"/>
                        <c:pt idx="0">
                          <c:v>Colombia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55A-42AA-923D-8FB17C417180}"/>
                </c:ext>
              </c:extLst>
            </c:dLbl>
            <c:dLbl>
              <c:idx val="10"/>
              <c:tx>
                <c:strRef>
                  <c:f>'GDP per capita, PPP (constant 2'!$AC$15</c:f>
                  <c:strCache>
                    <c:ptCount val="1"/>
                    <c:pt idx="0">
                      <c:v>Costa Rica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{2A97FDFE-6684-4EC9-A802-9C1B783E6334}</c15:txfldGUID>
                      <c15:f>'GDP per capita, PPP (constant 2'!$AC$15</c15:f>
                      <c15:dlblFieldTableCache>
                        <c:ptCount val="1"/>
                        <c:pt idx="0">
                          <c:v>Costa Rica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55A-42AA-923D-8FB17C417180}"/>
                </c:ext>
              </c:extLst>
            </c:dLbl>
            <c:dLbl>
              <c:idx val="11"/>
              <c:tx>
                <c:strRef>
                  <c:f>'GDP per capita, PPP (constant 2'!$AC$16</c:f>
                  <c:strCache>
                    <c:ptCount val="1"/>
                    <c:pt idx="0">
                      <c:v>Croatia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{08E9DFE5-5339-4901-A95D-4B9C20545290}</c15:txfldGUID>
                      <c15:f>'GDP per capita, PPP (constant 2'!$AC$16</c15:f>
                      <c15:dlblFieldTableCache>
                        <c:ptCount val="1"/>
                        <c:pt idx="0">
                          <c:v>Croatia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55A-42AA-923D-8FB17C417180}"/>
                </c:ext>
              </c:extLst>
            </c:dLbl>
            <c:dLbl>
              <c:idx val="12"/>
              <c:tx>
                <c:strRef>
                  <c:f>'GDP per capita, PPP (constant 2'!$AC$17</c:f>
                  <c:strCache>
                    <c:ptCount val="1"/>
                    <c:pt idx="0">
                      <c:v>Czechia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{7EFB5E13-27A5-48B8-80A3-D4B9C9C74763}</c15:txfldGUID>
                      <c15:f>'GDP per capita, PPP (constant 2'!$AC$17</c15:f>
                      <c15:dlblFieldTableCache>
                        <c:ptCount val="1"/>
                        <c:pt idx="0">
                          <c:v>Czechia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55A-42AA-923D-8FB17C417180}"/>
                </c:ext>
              </c:extLst>
            </c:dLbl>
            <c:dLbl>
              <c:idx val="13"/>
              <c:tx>
                <c:strRef>
                  <c:f>'GDP per capita, PPP (constant 2'!$AC$18</c:f>
                  <c:strCache>
                    <c:ptCount val="1"/>
                    <c:pt idx="0">
                      <c:v>Denmark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{1C83FA1D-6853-41DE-AFD3-0C6C81C7EE8B}</c15:txfldGUID>
                      <c15:f>'GDP per capita, PPP (constant 2'!$AC$18</c15:f>
                      <c15:dlblFieldTableCache>
                        <c:ptCount val="1"/>
                        <c:pt idx="0">
                          <c:v>Denmark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55A-42AA-923D-8FB17C417180}"/>
                </c:ext>
              </c:extLst>
            </c:dLbl>
            <c:dLbl>
              <c:idx val="14"/>
              <c:tx>
                <c:strRef>
                  <c:f>'GDP per capita, PPP (constant 2'!$AC$19</c:f>
                  <c:strCache>
                    <c:ptCount val="1"/>
                    <c:pt idx="0">
                      <c:v>Ecuador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{D5F40EEB-1FAF-46D3-9AEC-BAB97E5DF15E}</c15:txfldGUID>
                      <c15:f>'GDP per capita, PPP (constant 2'!$AC$19</c15:f>
                      <c15:dlblFieldTableCache>
                        <c:ptCount val="1"/>
                        <c:pt idx="0">
                          <c:v>Ecuador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55A-42AA-923D-8FB17C417180}"/>
                </c:ext>
              </c:extLst>
            </c:dLbl>
            <c:dLbl>
              <c:idx val="15"/>
              <c:tx>
                <c:strRef>
                  <c:f>'GDP per capita, PPP (constant 2'!$AC$20</c:f>
                  <c:strCache>
                    <c:ptCount val="1"/>
                    <c:pt idx="0">
                      <c:v>Estonia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{8F126C50-72C8-4CDC-9761-C37C7CA9BC4E}</c15:txfldGUID>
                      <c15:f>'GDP per capita, PPP (constant 2'!$AC$20</c15:f>
                      <c15:dlblFieldTableCache>
                        <c:ptCount val="1"/>
                        <c:pt idx="0">
                          <c:v>Estonia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55A-42AA-923D-8FB17C417180}"/>
                </c:ext>
              </c:extLst>
            </c:dLbl>
            <c:dLbl>
              <c:idx val="16"/>
              <c:tx>
                <c:strRef>
                  <c:f>'GDP per capita, PPP (constant 2'!$AC$21</c:f>
                  <c:strCache>
                    <c:ptCount val="1"/>
                    <c:pt idx="0">
                      <c:v>Finland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{1FABFE16-C52F-46A6-8F1C-4AF56DD2E7C1}</c15:txfldGUID>
                      <c15:f>'GDP per capita, PPP (constant 2'!$AC$21</c15:f>
                      <c15:dlblFieldTableCache>
                        <c:ptCount val="1"/>
                        <c:pt idx="0">
                          <c:v>Finland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55A-42AA-923D-8FB17C417180}"/>
                </c:ext>
              </c:extLst>
            </c:dLbl>
            <c:dLbl>
              <c:idx val="17"/>
              <c:tx>
                <c:strRef>
                  <c:f>'GDP per capita, PPP (constant 2'!$AC$22</c:f>
                  <c:strCache>
                    <c:ptCount val="1"/>
                    <c:pt idx="0">
                      <c:v>France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{585A0B29-A743-4143-B903-7466F747DBB8}</c15:txfldGUID>
                      <c15:f>'GDP per capita, PPP (constant 2'!$AC$22</c15:f>
                      <c15:dlblFieldTableCache>
                        <c:ptCount val="1"/>
                        <c:pt idx="0">
                          <c:v>France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55A-42AA-923D-8FB17C417180}"/>
                </c:ext>
              </c:extLst>
            </c:dLbl>
            <c:dLbl>
              <c:idx val="18"/>
              <c:tx>
                <c:strRef>
                  <c:f>'GDP per capita, PPP (constant 2'!$AC$23</c:f>
                  <c:strCache>
                    <c:ptCount val="1"/>
                    <c:pt idx="0">
                      <c:v>Germany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{ABE89A59-D8BB-48C8-B16E-0C9FA4A35599}</c15:txfldGUID>
                      <c15:f>'GDP per capita, PPP (constant 2'!$AC$23</c15:f>
                      <c15:dlblFieldTableCache>
                        <c:ptCount val="1"/>
                        <c:pt idx="0">
                          <c:v>Germany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55A-42AA-923D-8FB17C417180}"/>
                </c:ext>
              </c:extLst>
            </c:dLbl>
            <c:dLbl>
              <c:idx val="19"/>
              <c:tx>
                <c:strRef>
                  <c:f>'GDP per capita, PPP (constant 2'!$AC$24</c:f>
                  <c:strCache>
                    <c:ptCount val="1"/>
                    <c:pt idx="0">
                      <c:v>Greece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{055B5426-CFA9-4860-98BF-18AA7C198F69}</c15:txfldGUID>
                      <c15:f>'GDP per capita, PPP (constant 2'!$AC$24</c15:f>
                      <c15:dlblFieldTableCache>
                        <c:ptCount val="1"/>
                        <c:pt idx="0">
                          <c:v>Greece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55A-42AA-923D-8FB17C417180}"/>
                </c:ext>
              </c:extLst>
            </c:dLbl>
            <c:dLbl>
              <c:idx val="20"/>
              <c:tx>
                <c:strRef>
                  <c:f>'GDP per capita, PPP (constant 2'!$AC$25</c:f>
                  <c:strCache>
                    <c:ptCount val="1"/>
                    <c:pt idx="0">
                      <c:v>Greenland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{18630D47-4FD3-44F0-8C80-C6555A377EE0}</c15:txfldGUID>
                      <c15:f>'GDP per capita, PPP (constant 2'!$AC$25</c15:f>
                      <c15:dlblFieldTableCache>
                        <c:ptCount val="1"/>
                        <c:pt idx="0">
                          <c:v>Greenland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E55A-42AA-923D-8FB17C417180}"/>
                </c:ext>
              </c:extLst>
            </c:dLbl>
            <c:dLbl>
              <c:idx val="21"/>
              <c:tx>
                <c:strRef>
                  <c:f>'GDP per capita, PPP (constant 2'!$AC$26</c:f>
                  <c:strCache>
                    <c:ptCount val="1"/>
                    <c:pt idx="0">
                      <c:v>Hong Kong SAR, China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{36C1A433-705B-497F-B875-0AAD8A14D88C}</c15:txfldGUID>
                      <c15:f>'GDP per capita, PPP (constant 2'!$AC$26</c15:f>
                      <c15:dlblFieldTableCache>
                        <c:ptCount val="1"/>
                        <c:pt idx="0">
                          <c:v>Hong Kong SAR, China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E55A-42AA-923D-8FB17C417180}"/>
                </c:ext>
              </c:extLst>
            </c:dLbl>
            <c:dLbl>
              <c:idx val="22"/>
              <c:tx>
                <c:strRef>
                  <c:f>'GDP per capita, PPP (constant 2'!$AC$27</c:f>
                  <c:strCache>
                    <c:ptCount val="1"/>
                    <c:pt idx="0">
                      <c:v>Hungary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{05444E4B-6806-4D8B-83C1-B08301C31FA8}</c15:txfldGUID>
                      <c15:f>'GDP per capita, PPP (constant 2'!$AC$27</c15:f>
                      <c15:dlblFieldTableCache>
                        <c:ptCount val="1"/>
                        <c:pt idx="0">
                          <c:v>Hungary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E55A-42AA-923D-8FB17C417180}"/>
                </c:ext>
              </c:extLst>
            </c:dLbl>
            <c:dLbl>
              <c:idx val="23"/>
              <c:tx>
                <c:strRef>
                  <c:f>'GDP per capita, PPP (constant 2'!$AC$28</c:f>
                  <c:strCache>
                    <c:ptCount val="1"/>
                    <c:pt idx="0">
                      <c:v>Iceland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{F6C3E0DE-DF66-4E82-A12C-40916E0831A9}</c15:txfldGUID>
                      <c15:f>'GDP per capita, PPP (constant 2'!$AC$28</c15:f>
                      <c15:dlblFieldTableCache>
                        <c:ptCount val="1"/>
                        <c:pt idx="0">
                          <c:v>Iceland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E55A-42AA-923D-8FB17C417180}"/>
                </c:ext>
              </c:extLst>
            </c:dLbl>
            <c:dLbl>
              <c:idx val="24"/>
              <c:tx>
                <c:strRef>
                  <c:f>'GDP per capita, PPP (constant 2'!$AC$29</c:f>
                  <c:strCache>
                    <c:ptCount val="1"/>
                    <c:pt idx="0">
                      <c:v>India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{9DD450A7-C9BB-4B74-B958-142EBD6E36C7}</c15:txfldGUID>
                      <c15:f>'GDP per capita, PPP (constant 2'!$AC$29</c15:f>
                      <c15:dlblFieldTableCache>
                        <c:ptCount val="1"/>
                        <c:pt idx="0">
                          <c:v>India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E55A-42AA-923D-8FB17C417180}"/>
                </c:ext>
              </c:extLst>
            </c:dLbl>
            <c:dLbl>
              <c:idx val="25"/>
              <c:tx>
                <c:strRef>
                  <c:f>'GDP per capita, PPP (constant 2'!$AC$30</c:f>
                  <c:strCache>
                    <c:ptCount val="1"/>
                    <c:pt idx="0">
                      <c:v>Indonesia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{E1B7573C-5EF4-4B8F-8C84-4ED80776EEC7}</c15:txfldGUID>
                      <c15:f>'GDP per capita, PPP (constant 2'!$AC$30</c15:f>
                      <c15:dlblFieldTableCache>
                        <c:ptCount val="1"/>
                        <c:pt idx="0">
                          <c:v>Indonesia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E55A-42AA-923D-8FB17C417180}"/>
                </c:ext>
              </c:extLst>
            </c:dLbl>
            <c:dLbl>
              <c:idx val="26"/>
              <c:tx>
                <c:strRef>
                  <c:f>'GDP per capita, PPP (constant 2'!$AC$31</c:f>
                  <c:strCache>
                    <c:ptCount val="1"/>
                    <c:pt idx="0">
                      <c:v>Ireland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{E3D21CE8-CE1F-4505-BA56-DFA6C63BE947}</c15:txfldGUID>
                      <c15:f>'GDP per capita, PPP (constant 2'!$AC$31</c15:f>
                      <c15:dlblFieldTableCache>
                        <c:ptCount val="1"/>
                        <c:pt idx="0">
                          <c:v>Ireland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E55A-42AA-923D-8FB17C417180}"/>
                </c:ext>
              </c:extLst>
            </c:dLbl>
            <c:dLbl>
              <c:idx val="27"/>
              <c:tx>
                <c:strRef>
                  <c:f>'GDP per capita, PPP (constant 2'!$AC$32</c:f>
                  <c:strCache>
                    <c:ptCount val="1"/>
                    <c:pt idx="0">
                      <c:v>Israel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{E736C3E8-FECA-4520-BFC2-01D3D2BFD433}</c15:txfldGUID>
                      <c15:f>'GDP per capita, PPP (constant 2'!$AC$32</c15:f>
                      <c15:dlblFieldTableCache>
                        <c:ptCount val="1"/>
                        <c:pt idx="0">
                          <c:v>Israel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E55A-42AA-923D-8FB17C417180}"/>
                </c:ext>
              </c:extLst>
            </c:dLbl>
            <c:dLbl>
              <c:idx val="28"/>
              <c:tx>
                <c:strRef>
                  <c:f>'GDP per capita, PPP (constant 2'!$AC$33</c:f>
                  <c:strCache>
                    <c:ptCount val="1"/>
                    <c:pt idx="0">
                      <c:v>Italy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{BEE712C3-D9D1-49AC-B16B-04C99FE46D3E}</c15:txfldGUID>
                      <c15:f>'GDP per capita, PPP (constant 2'!$AC$33</c15:f>
                      <c15:dlblFieldTableCache>
                        <c:ptCount val="1"/>
                        <c:pt idx="0">
                          <c:v>Italy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E55A-42AA-923D-8FB17C417180}"/>
                </c:ext>
              </c:extLst>
            </c:dLbl>
            <c:dLbl>
              <c:idx val="29"/>
              <c:tx>
                <c:strRef>
                  <c:f>'GDP per capita, PPP (constant 2'!$AC$34</c:f>
                  <c:strCache>
                    <c:ptCount val="1"/>
                    <c:pt idx="0">
                      <c:v>Japan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{1DA59DD8-F8B4-4D49-8E42-BAE3684A79C7}</c15:txfldGUID>
                      <c15:f>'GDP per capita, PPP (constant 2'!$AC$34</c15:f>
                      <c15:dlblFieldTableCache>
                        <c:ptCount val="1"/>
                        <c:pt idx="0">
                          <c:v>Japan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E55A-42AA-923D-8FB17C417180}"/>
                </c:ext>
              </c:extLst>
            </c:dLbl>
            <c:dLbl>
              <c:idx val="30"/>
              <c:tx>
                <c:strRef>
                  <c:f>'GDP per capita, PPP (constant 2'!$AC$35</c:f>
                  <c:strCache>
                    <c:ptCount val="1"/>
                    <c:pt idx="0">
                      <c:v>Korea, Rep.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{D23DA0A7-A4F3-47B5-8103-367382ED7E61}</c15:txfldGUID>
                      <c15:f>'GDP per capita, PPP (constant 2'!$AC$35</c15:f>
                      <c15:dlblFieldTableCache>
                        <c:ptCount val="1"/>
                        <c:pt idx="0">
                          <c:v>Korea, Rep.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E55A-42AA-923D-8FB17C417180}"/>
                </c:ext>
              </c:extLst>
            </c:dLbl>
            <c:dLbl>
              <c:idx val="31"/>
              <c:tx>
                <c:strRef>
                  <c:f>'GDP per capita, PPP (constant 2'!$AC$36</c:f>
                  <c:strCache>
                    <c:ptCount val="1"/>
                    <c:pt idx="0">
                      <c:v>Latvia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{3196F667-518A-461C-A20D-848884DA8F12}</c15:txfldGUID>
                      <c15:f>'GDP per capita, PPP (constant 2'!$AC$36</c15:f>
                      <c15:dlblFieldTableCache>
                        <c:ptCount val="1"/>
                        <c:pt idx="0">
                          <c:v>Latvia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E55A-42AA-923D-8FB17C417180}"/>
                </c:ext>
              </c:extLst>
            </c:dLbl>
            <c:dLbl>
              <c:idx val="32"/>
              <c:tx>
                <c:strRef>
                  <c:f>'GDP per capita, PPP (constant 2'!$AC$37</c:f>
                  <c:strCache>
                    <c:ptCount val="1"/>
                    <c:pt idx="0">
                      <c:v>Luxembourg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{61378C85-F7E2-4E30-80F7-00F6F16D1D41}</c15:txfldGUID>
                      <c15:f>'GDP per capita, PPP (constant 2'!$AC$37</c15:f>
                      <c15:dlblFieldTableCache>
                        <c:ptCount val="1"/>
                        <c:pt idx="0">
                          <c:v>Luxembourg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E55A-42AA-923D-8FB17C417180}"/>
                </c:ext>
              </c:extLst>
            </c:dLbl>
            <c:dLbl>
              <c:idx val="33"/>
              <c:tx>
                <c:strRef>
                  <c:f>'GDP per capita, PPP (constant 2'!$AC$38</c:f>
                  <c:strCache>
                    <c:ptCount val="1"/>
                    <c:pt idx="0">
                      <c:v>Malaysia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{B7DDE075-2F52-4660-8E3E-5C90228850C0}</c15:txfldGUID>
                      <c15:f>'GDP per capita, PPP (constant 2'!$AC$38</c15:f>
                      <c15:dlblFieldTableCache>
                        <c:ptCount val="1"/>
                        <c:pt idx="0">
                          <c:v>Malaysia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E55A-42AA-923D-8FB17C417180}"/>
                </c:ext>
              </c:extLst>
            </c:dLbl>
            <c:dLbl>
              <c:idx val="34"/>
              <c:tx>
                <c:strRef>
                  <c:f>'GDP per capita, PPP (constant 2'!$AC$39</c:f>
                  <c:strCache>
                    <c:ptCount val="1"/>
                    <c:pt idx="0">
                      <c:v>Mexico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{0C351795-6956-4C1E-88A6-E4946ADBF2A4}</c15:txfldGUID>
                      <c15:f>'GDP per capita, PPP (constant 2'!$AC$39</c15:f>
                      <c15:dlblFieldTableCache>
                        <c:ptCount val="1"/>
                        <c:pt idx="0">
                          <c:v>Mexico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E55A-42AA-923D-8FB17C417180}"/>
                </c:ext>
              </c:extLst>
            </c:dLbl>
            <c:dLbl>
              <c:idx val="35"/>
              <c:tx>
                <c:strRef>
                  <c:f>'GDP per capita, PPP (constant 2'!$AC$40</c:f>
                  <c:strCache>
                    <c:ptCount val="1"/>
                    <c:pt idx="0">
                      <c:v>Netherlands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{16D44E51-704C-43EA-A041-32596A16B092}</c15:txfldGUID>
                      <c15:f>'GDP per capita, PPP (constant 2'!$AC$40</c15:f>
                      <c15:dlblFieldTableCache>
                        <c:ptCount val="1"/>
                        <c:pt idx="0">
                          <c:v>Netherlands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55A-42AA-923D-8FB17C417180}"/>
                </c:ext>
              </c:extLst>
            </c:dLbl>
            <c:dLbl>
              <c:idx val="36"/>
              <c:tx>
                <c:strRef>
                  <c:f>'GDP per capita, PPP (constant 2'!$AC$41</c:f>
                  <c:strCache>
                    <c:ptCount val="1"/>
                    <c:pt idx="0">
                      <c:v>New Zealand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{8B0EF1DB-2FF6-4E1B-ABCA-71CFD7D4868C}</c15:txfldGUID>
                      <c15:f>'GDP per capita, PPP (constant 2'!$AC$41</c15:f>
                      <c15:dlblFieldTableCache>
                        <c:ptCount val="1"/>
                        <c:pt idx="0">
                          <c:v>New Zealand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55A-42AA-923D-8FB17C417180}"/>
                </c:ext>
              </c:extLst>
            </c:dLbl>
            <c:dLbl>
              <c:idx val="37"/>
              <c:tx>
                <c:strRef>
                  <c:f>'GDP per capita, PPP (constant 2'!$AC$42</c:f>
                  <c:strCache>
                    <c:ptCount val="1"/>
                    <c:pt idx="0">
                      <c:v>Norway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{77CA2F42-6E5C-4FBD-933B-15DE3AA6FF2E}</c15:txfldGUID>
                      <c15:f>'GDP per capita, PPP (constant 2'!$AC$42</c15:f>
                      <c15:dlblFieldTableCache>
                        <c:ptCount val="1"/>
                        <c:pt idx="0">
                          <c:v>Norway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55A-42AA-923D-8FB17C417180}"/>
                </c:ext>
              </c:extLst>
            </c:dLbl>
            <c:dLbl>
              <c:idx val="38"/>
              <c:tx>
                <c:strRef>
                  <c:f>'GDP per capita, PPP (constant 2'!$AC$43</c:f>
                  <c:strCache>
                    <c:ptCount val="1"/>
                    <c:pt idx="0">
                      <c:v>Peru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{9F7D1B7C-E60D-44B2-BB9C-F7D7246A6EF7}</c15:txfldGUID>
                      <c15:f>'GDP per capita, PPP (constant 2'!$AC$43</c15:f>
                      <c15:dlblFieldTableCache>
                        <c:ptCount val="1"/>
                        <c:pt idx="0">
                          <c:v>Peru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55A-42AA-923D-8FB17C417180}"/>
                </c:ext>
              </c:extLst>
            </c:dLbl>
            <c:dLbl>
              <c:idx val="39"/>
              <c:tx>
                <c:strRef>
                  <c:f>'GDP per capita, PPP (constant 2'!$AC$44</c:f>
                  <c:strCache>
                    <c:ptCount val="1"/>
                    <c:pt idx="0">
                      <c:v>Philippines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{939C3F6E-5A8A-421D-ACC4-19084CB7C5B5}</c15:txfldGUID>
                      <c15:f>'GDP per capita, PPP (constant 2'!$AC$44</c15:f>
                      <c15:dlblFieldTableCache>
                        <c:ptCount val="1"/>
                        <c:pt idx="0">
                          <c:v>Philippines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55A-42AA-923D-8FB17C417180}"/>
                </c:ext>
              </c:extLst>
            </c:dLbl>
            <c:dLbl>
              <c:idx val="40"/>
              <c:tx>
                <c:strRef>
                  <c:f>'GDP per capita, PPP (constant 2'!$AC$45</c:f>
                  <c:strCache>
                    <c:ptCount val="1"/>
                    <c:pt idx="0">
                      <c:v>Poland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{63EFCC43-5F3A-4CAF-95AE-3CA039657502}</c15:txfldGUID>
                      <c15:f>'GDP per capita, PPP (constant 2'!$AC$45</c15:f>
                      <c15:dlblFieldTableCache>
                        <c:ptCount val="1"/>
                        <c:pt idx="0">
                          <c:v>Poland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E55A-42AA-923D-8FB17C417180}"/>
                </c:ext>
              </c:extLst>
            </c:dLbl>
            <c:dLbl>
              <c:idx val="41"/>
              <c:tx>
                <c:strRef>
                  <c:f>'GDP per capita, PPP (constant 2'!$AC$46</c:f>
                  <c:strCache>
                    <c:ptCount val="1"/>
                    <c:pt idx="0">
                      <c:v>Portugal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{5DD1D4F3-6108-4123-B81E-B65345BAC26A}</c15:txfldGUID>
                      <c15:f>'GDP per capita, PPP (constant 2'!$AC$46</c15:f>
                      <c15:dlblFieldTableCache>
                        <c:ptCount val="1"/>
                        <c:pt idx="0">
                          <c:v>Portugal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55A-42AA-923D-8FB17C417180}"/>
                </c:ext>
              </c:extLst>
            </c:dLbl>
            <c:dLbl>
              <c:idx val="42"/>
              <c:tx>
                <c:strRef>
                  <c:f>'GDP per capita, PPP (constant 2'!$AC$47</c:f>
                  <c:strCache>
                    <c:ptCount val="1"/>
                    <c:pt idx="0">
                      <c:v>Romania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{C80C6404-14CA-4143-942A-2C46ABC32DBD}</c15:txfldGUID>
                      <c15:f>'GDP per capita, PPP (constant 2'!$AC$47</c15:f>
                      <c15:dlblFieldTableCache>
                        <c:ptCount val="1"/>
                        <c:pt idx="0">
                          <c:v>Romania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E55A-42AA-923D-8FB17C417180}"/>
                </c:ext>
              </c:extLst>
            </c:dLbl>
            <c:dLbl>
              <c:idx val="43"/>
              <c:tx>
                <c:strRef>
                  <c:f>'GDP per capita, PPP (constant 2'!$AC$48</c:f>
                  <c:strCache>
                    <c:ptCount val="1"/>
                    <c:pt idx="0">
                      <c:v>Russian Federation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{8C3A5740-B7B9-42E6-B24C-5420AFD667E9}</c15:txfldGUID>
                      <c15:f>'GDP per capita, PPP (constant 2'!$AC$48</c15:f>
                      <c15:dlblFieldTableCache>
                        <c:ptCount val="1"/>
                        <c:pt idx="0">
                          <c:v>Russian Federation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55A-42AA-923D-8FB17C417180}"/>
                </c:ext>
              </c:extLst>
            </c:dLbl>
            <c:dLbl>
              <c:idx val="44"/>
              <c:tx>
                <c:strRef>
                  <c:f>'GDP per capita, PPP (constant 2'!$AC$49</c:f>
                  <c:strCache>
                    <c:ptCount val="1"/>
                    <c:pt idx="0">
                      <c:v>Singapore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{A095A893-1AE2-4DF4-A588-ADC8C8875902}</c15:txfldGUID>
                      <c15:f>'GDP per capita, PPP (constant 2'!$AC$49</c15:f>
                      <c15:dlblFieldTableCache>
                        <c:ptCount val="1"/>
                        <c:pt idx="0">
                          <c:v>Singapore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55A-42AA-923D-8FB17C417180}"/>
                </c:ext>
              </c:extLst>
            </c:dLbl>
            <c:dLbl>
              <c:idx val="45"/>
              <c:tx>
                <c:strRef>
                  <c:f>'GDP per capita, PPP (constant 2'!$AC$50</c:f>
                  <c:strCache>
                    <c:ptCount val="1"/>
                    <c:pt idx="0">
                      <c:v>Slovak Republic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{5B89FCBB-5CAA-4C78-BCFC-6A6AC219F6B1}</c15:txfldGUID>
                      <c15:f>'GDP per capita, PPP (constant 2'!$AC$50</c15:f>
                      <c15:dlblFieldTableCache>
                        <c:ptCount val="1"/>
                        <c:pt idx="0">
                          <c:v>Slovak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55A-42AA-923D-8FB17C417180}"/>
                </c:ext>
              </c:extLst>
            </c:dLbl>
            <c:dLbl>
              <c:idx val="46"/>
              <c:tx>
                <c:strRef>
                  <c:f>'GDP per capita, PPP (constant 2'!$AC$51</c:f>
                  <c:strCache>
                    <c:ptCount val="1"/>
                    <c:pt idx="0">
                      <c:v>Slovenia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{ED96ED1D-38EC-4BA0-B15D-D37857528E15}</c15:txfldGUID>
                      <c15:f>'GDP per capita, PPP (constant 2'!$AC$51</c15:f>
                      <c15:dlblFieldTableCache>
                        <c:ptCount val="1"/>
                        <c:pt idx="0">
                          <c:v>Slovenia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55A-42AA-923D-8FB17C417180}"/>
                </c:ext>
              </c:extLst>
            </c:dLbl>
            <c:dLbl>
              <c:idx val="47"/>
              <c:tx>
                <c:strRef>
                  <c:f>'GDP per capita, PPP (constant 2'!$AC$52</c:f>
                  <c:strCache>
                    <c:ptCount val="1"/>
                    <c:pt idx="0">
                      <c:v>Spain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{16982835-3E9A-4BC4-94CE-0867E79CED16}</c15:txfldGUID>
                      <c15:f>'GDP per capita, PPP (constant 2'!$AC$52</c15:f>
                      <c15:dlblFieldTableCache>
                        <c:ptCount val="1"/>
                        <c:pt idx="0">
                          <c:v>Spain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E55A-42AA-923D-8FB17C417180}"/>
                </c:ext>
              </c:extLst>
            </c:dLbl>
            <c:dLbl>
              <c:idx val="48"/>
              <c:tx>
                <c:strRef>
                  <c:f>'GDP per capita, PPP (constant 2'!$AC$53</c:f>
                  <c:strCache>
                    <c:ptCount val="1"/>
                    <c:pt idx="0">
                      <c:v>Sweden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{429CA217-DACD-4565-B644-F168E35E8537}</c15:txfldGUID>
                      <c15:f>'GDP per capita, PPP (constant 2'!$AC$53</c15:f>
                      <c15:dlblFieldTableCache>
                        <c:ptCount val="1"/>
                        <c:pt idx="0">
                          <c:v>Sweden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55A-42AA-923D-8FB17C417180}"/>
                </c:ext>
              </c:extLst>
            </c:dLbl>
            <c:dLbl>
              <c:idx val="49"/>
              <c:tx>
                <c:strRef>
                  <c:f>'GDP per capita, PPP (constant 2'!$AC$54</c:f>
                  <c:strCache>
                    <c:ptCount val="1"/>
                    <c:pt idx="0">
                      <c:v>Switzerland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{D03F0F2A-4BB3-4B6C-B4BE-FCF69F2C4549}</c15:txfldGUID>
                      <c15:f>'GDP per capita, PPP (constant 2'!$AC$54</c15:f>
                      <c15:dlblFieldTableCache>
                        <c:ptCount val="1"/>
                        <c:pt idx="0">
                          <c:v>Switzerland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E55A-42AA-923D-8FB17C417180}"/>
                </c:ext>
              </c:extLst>
            </c:dLbl>
            <c:dLbl>
              <c:idx val="50"/>
              <c:tx>
                <c:strRef>
                  <c:f>'GDP per capita, PPP (constant 2'!$AC$55</c:f>
                  <c:strCache>
                    <c:ptCount val="1"/>
                    <c:pt idx="0">
                      <c:v>Thailand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{2107DC92-0DEF-4FA7-8B99-12C2FC4AFFA6}</c15:txfldGUID>
                      <c15:f>'GDP per capita, PPP (constant 2'!$AC$55</c15:f>
                      <c15:dlblFieldTableCache>
                        <c:ptCount val="1"/>
                        <c:pt idx="0">
                          <c:v>Thailand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E55A-42AA-923D-8FB17C417180}"/>
                </c:ext>
              </c:extLst>
            </c:dLbl>
            <c:dLbl>
              <c:idx val="51"/>
              <c:tx>
                <c:strRef>
                  <c:f>'GDP per capita, PPP (constant 2'!$AC$56</c:f>
                  <c:strCache>
                    <c:ptCount val="1"/>
                    <c:pt idx="0">
                      <c:v>Turkiye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{73F6DDA3-639E-4F0E-9361-2BFE653E5E98}</c15:txfldGUID>
                      <c15:f>'GDP per capita, PPP (constant 2'!$AC$56</c15:f>
                      <c15:dlblFieldTableCache>
                        <c:ptCount val="1"/>
                        <c:pt idx="0">
                          <c:v>Turkiye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E55A-42AA-923D-8FB17C417180}"/>
                </c:ext>
              </c:extLst>
            </c:dLbl>
            <c:dLbl>
              <c:idx val="52"/>
              <c:tx>
                <c:strRef>
                  <c:f>'GDP per capita, PPP (constant 2'!$AC$57</c:f>
                  <c:strCache>
                    <c:ptCount val="1"/>
                    <c:pt idx="0">
                      <c:v>United Kingdom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{76C6F9FD-7337-4341-9072-7B45DC3FA5E7}</c15:txfldGUID>
                      <c15:f>'GDP per capita, PPP (constant 2'!$AC$57</c15:f>
                      <c15:dlblFieldTableCache>
                        <c:ptCount val="1"/>
                        <c:pt idx="0">
                          <c:v>United Kingdom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E55A-42AA-923D-8FB17C417180}"/>
                </c:ext>
              </c:extLst>
            </c:dLbl>
            <c:dLbl>
              <c:idx val="53"/>
              <c:tx>
                <c:strRef>
                  <c:f>'GDP per capita, PPP (constant 2'!$AC$58</c:f>
                  <c:strCache>
                    <c:ptCount val="1"/>
                    <c:pt idx="0">
                      <c:v>United States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{4742BA9C-077B-4831-B3FF-5B729930AFE0}</c15:txfldGUID>
                      <c15:f>'GDP per capita, PPP (constant 2'!$AC$58</c15:f>
                      <c15:dlblFieldTableCache>
                        <c:ptCount val="1"/>
                        <c:pt idx="0">
                          <c:v>United States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E55A-42AA-923D-8FB17C417180}"/>
                </c:ext>
              </c:extLst>
            </c:dLbl>
            <c:dLbl>
              <c:idx val="54"/>
              <c:tx>
                <c:strRef>
                  <c:f>'GDP per capita, PPP (constant 2'!$AC$59</c:f>
                  <c:strCache>
                    <c:ptCount val="1"/>
                    <c:pt idx="0">
                      <c:v>Uruguay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{8A9A9AEA-F9D1-461B-8914-EAD873A1FC27}</c15:txfldGUID>
                      <c15:f>'GDP per capita, PPP (constant 2'!$AC$59</c15:f>
                      <c15:dlblFieldTableCache>
                        <c:ptCount val="1"/>
                        <c:pt idx="0">
                          <c:v>Uruguay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E55A-42AA-923D-8FB17C417180}"/>
                </c:ext>
              </c:extLst>
            </c:dLbl>
            <c:dLbl>
              <c:idx val="55"/>
              <c:tx>
                <c:strRef>
                  <c:f>'GDP per capita, PPP (constant 2'!$AC$60</c:f>
                  <c:strCache>
                    <c:ptCount val="1"/>
                    <c:pt idx="0">
                      <c:v>Viet Nam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{48AB6562-91F8-4334-AA31-9F9EE075E218}</c15:txfldGUID>
                      <c15:f>'GDP per capita, PPP (constant 2'!$AC$60</c15:f>
                      <c15:dlblFieldTableCache>
                        <c:ptCount val="1"/>
                        <c:pt idx="0">
                          <c:v>Viet Nam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E55A-42AA-923D-8FB17C417180}"/>
                </c:ext>
              </c:extLst>
            </c:dLbl>
            <c:dLbl>
              <c:idx val="56"/>
              <c:tx>
                <c:strRef>
                  <c:f>'GDP per capita, PPP (constant 2'!$AC$61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{60068985-307A-4749-AF82-3F116C305109}</c15:txfldGUID>
                      <c15:f>'GDP per capita, PPP (constant 2'!$AC$61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E55A-42AA-923D-8FB17C4171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'GDP per capita, PPP (constant 2'!$AD$5:$AD$61</c:f>
              <c:numCache>
                <c:formatCode>0.00%</c:formatCode>
                <c:ptCount val="57"/>
                <c:pt idx="0">
                  <c:v>2.3313637243561836E-2</c:v>
                </c:pt>
                <c:pt idx="1">
                  <c:v>1.5678738891601762E-2</c:v>
                </c:pt>
                <c:pt idx="2">
                  <c:v>1.1012221182122861E-2</c:v>
                </c:pt>
                <c:pt idx="3">
                  <c:v>1.0912659647803302E-2</c:v>
                </c:pt>
                <c:pt idx="4">
                  <c:v>2.5764290386268485E-2</c:v>
                </c:pt>
                <c:pt idx="5">
                  <c:v>5.6287950873792125E-2</c:v>
                </c:pt>
                <c:pt idx="6">
                  <c:v>8.2780999362599417E-3</c:v>
                </c:pt>
                <c:pt idx="7">
                  <c:v>3.2441462083612205E-2</c:v>
                </c:pt>
                <c:pt idx="8">
                  <c:v>9.9159420776600227E-2</c:v>
                </c:pt>
                <c:pt idx="9">
                  <c:v>2.6433986335917758E-2</c:v>
                </c:pt>
                <c:pt idx="10">
                  <c:v>2.901664267853854E-2</c:v>
                </c:pt>
                <c:pt idx="11">
                  <c:v>3.027202386448713E-2</c:v>
                </c:pt>
                <c:pt idx="12">
                  <c:v>2.8820419993118351E-2</c:v>
                </c:pt>
                <c:pt idx="13">
                  <c:v>3.8744687540355205E-3</c:v>
                </c:pt>
                <c:pt idx="14">
                  <c:v>2.4217920151160754E-2</c:v>
                </c:pt>
                <c:pt idx="15">
                  <c:v>3.8909940578416791E-2</c:v>
                </c:pt>
                <c:pt idx="16">
                  <c:v>1.408141013649189E-2</c:v>
                </c:pt>
                <c:pt idx="17">
                  <c:v>6.7752206793587622E-3</c:v>
                </c:pt>
                <c:pt idx="18">
                  <c:v>9.371428171756957E-3</c:v>
                </c:pt>
                <c:pt idx="19">
                  <c:v>1.8136197774234919E-2</c:v>
                </c:pt>
                <c:pt idx="20">
                  <c:v>3.1709908594424352E-2</c:v>
                </c:pt>
                <c:pt idx="21">
                  <c:v>3.5266626271518664E-2</c:v>
                </c:pt>
                <c:pt idx="22">
                  <c:v>2.3456529199392673E-2</c:v>
                </c:pt>
                <c:pt idx="23">
                  <c:v>1.3430251350013966E-2</c:v>
                </c:pt>
                <c:pt idx="24">
                  <c:v>5.021856515771006E-2</c:v>
                </c:pt>
                <c:pt idx="25">
                  <c:v>3.8638193286289368E-2</c:v>
                </c:pt>
                <c:pt idx="26">
                  <c:v>9.8610858796968071E-3</c:v>
                </c:pt>
                <c:pt idx="27">
                  <c:v>1.2127652268266287E-2</c:v>
                </c:pt>
                <c:pt idx="28">
                  <c:v>-1.1999124208009748E-3</c:v>
                </c:pt>
                <c:pt idx="29">
                  <c:v>4.7082132284426148E-3</c:v>
                </c:pt>
                <c:pt idx="30">
                  <c:v>4.12255532308341E-2</c:v>
                </c:pt>
                <c:pt idx="31">
                  <c:v>5.1812606045799514E-2</c:v>
                </c:pt>
                <c:pt idx="32">
                  <c:v>1.4204985016799787E-2</c:v>
                </c:pt>
                <c:pt idx="33">
                  <c:v>2.3189521489798803E-2</c:v>
                </c:pt>
                <c:pt idx="34">
                  <c:v>-2.0316559588959837E-3</c:v>
                </c:pt>
                <c:pt idx="35">
                  <c:v>9.4126102618046215E-3</c:v>
                </c:pt>
                <c:pt idx="36">
                  <c:v>1.3835673671935167E-2</c:v>
                </c:pt>
                <c:pt idx="37">
                  <c:v>7.0776394000757747E-3</c:v>
                </c:pt>
                <c:pt idx="38">
                  <c:v>4.6301338383150759E-2</c:v>
                </c:pt>
                <c:pt idx="39">
                  <c:v>2.8409181395036232E-2</c:v>
                </c:pt>
                <c:pt idx="40">
                  <c:v>3.8588967822480891E-2</c:v>
                </c:pt>
                <c:pt idx="41">
                  <c:v>4.5624222198592523E-3</c:v>
                </c:pt>
                <c:pt idx="42">
                  <c:v>5.303263098305E-2</c:v>
                </c:pt>
                <c:pt idx="43">
                  <c:v>5.1005827401524595E-2</c:v>
                </c:pt>
                <c:pt idx="44">
                  <c:v>3.4020363585871793E-2</c:v>
                </c:pt>
                <c:pt idx="45">
                  <c:v>4.9573917473965556E-2</c:v>
                </c:pt>
                <c:pt idx="46">
                  <c:v>2.3882264050567814E-2</c:v>
                </c:pt>
                <c:pt idx="47">
                  <c:v>6.6790263018028373E-3</c:v>
                </c:pt>
                <c:pt idx="48">
                  <c:v>1.4939607006698052E-2</c:v>
                </c:pt>
                <c:pt idx="49">
                  <c:v>9.8133922406593577E-3</c:v>
                </c:pt>
                <c:pt idx="50">
                  <c:v>3.709969135454827E-2</c:v>
                </c:pt>
                <c:pt idx="51">
                  <c:v>2.873924168212505E-2</c:v>
                </c:pt>
                <c:pt idx="52">
                  <c:v>8.3849934431523554E-3</c:v>
                </c:pt>
                <c:pt idx="53">
                  <c:v>8.3303629259507961E-3</c:v>
                </c:pt>
                <c:pt idx="54">
                  <c:v>2.867895804476106E-2</c:v>
                </c:pt>
                <c:pt idx="55">
                  <c:v>5.2787049546949349E-2</c:v>
                </c:pt>
                <c:pt idx="56">
                  <c:v>1.8522742743452003E-2</c:v>
                </c:pt>
              </c:numCache>
            </c:numRef>
          </c:xVal>
          <c:yVal>
            <c:numRef>
              <c:f>'GDP per capita, PPP (constant 2'!$AE$5:$AE$61</c:f>
              <c:numCache>
                <c:formatCode>0.00%</c:formatCode>
                <c:ptCount val="57"/>
                <c:pt idx="0">
                  <c:v>-2.649882772327472E-3</c:v>
                </c:pt>
                <c:pt idx="1">
                  <c:v>1.0768885238431336E-2</c:v>
                </c:pt>
                <c:pt idx="2">
                  <c:v>5.7054302888195352E-3</c:v>
                </c:pt>
                <c:pt idx="3">
                  <c:v>8.6525392390128797E-3</c:v>
                </c:pt>
                <c:pt idx="4">
                  <c:v>3.9755301628665585E-3</c:v>
                </c:pt>
                <c:pt idx="5">
                  <c:v>3.3049420455729894E-2</c:v>
                </c:pt>
                <c:pt idx="6">
                  <c:v>5.9572352305787835E-3</c:v>
                </c:pt>
                <c:pt idx="7">
                  <c:v>1.5492825727358772E-2</c:v>
                </c:pt>
                <c:pt idx="8">
                  <c:v>6.0878400081262107E-2</c:v>
                </c:pt>
                <c:pt idx="9">
                  <c:v>2.0856426175811071E-2</c:v>
                </c:pt>
                <c:pt idx="10">
                  <c:v>2.5779080241937313E-2</c:v>
                </c:pt>
                <c:pt idx="11">
                  <c:v>2.8064010535735928E-2</c:v>
                </c:pt>
                <c:pt idx="12">
                  <c:v>1.5079770947560744E-2</c:v>
                </c:pt>
                <c:pt idx="13">
                  <c:v>1.3926094098523523E-2</c:v>
                </c:pt>
                <c:pt idx="14">
                  <c:v>1.6818028369842475E-2</c:v>
                </c:pt>
                <c:pt idx="15">
                  <c:v>2.4676653402482041E-2</c:v>
                </c:pt>
                <c:pt idx="16">
                  <c:v>3.5135384607343223E-3</c:v>
                </c:pt>
                <c:pt idx="17">
                  <c:v>7.3217926854936E-3</c:v>
                </c:pt>
                <c:pt idx="18">
                  <c:v>1.0882123042063485E-2</c:v>
                </c:pt>
                <c:pt idx="19">
                  <c:v>-1.4713366721685883E-3</c:v>
                </c:pt>
                <c:pt idx="20">
                  <c:v>1.1392382804062073E-2</c:v>
                </c:pt>
                <c:pt idx="21">
                  <c:v>1.0398626264361832E-2</c:v>
                </c:pt>
                <c:pt idx="22">
                  <c:v>2.8445195561233483E-2</c:v>
                </c:pt>
                <c:pt idx="23">
                  <c:v>1.5811579647399876E-2</c:v>
                </c:pt>
                <c:pt idx="24">
                  <c:v>4.6722364098243485E-2</c:v>
                </c:pt>
                <c:pt idx="25">
                  <c:v>3.5296636353180144E-2</c:v>
                </c:pt>
                <c:pt idx="26">
                  <c:v>5.2642426410383303E-2</c:v>
                </c:pt>
                <c:pt idx="27">
                  <c:v>2.0032532405551473E-2</c:v>
                </c:pt>
                <c:pt idx="28">
                  <c:v>4.3436786895314494E-3</c:v>
                </c:pt>
                <c:pt idx="29">
                  <c:v>8.9553968740085921E-3</c:v>
                </c:pt>
                <c:pt idx="30">
                  <c:v>2.2792578316949585E-2</c:v>
                </c:pt>
                <c:pt idx="31">
                  <c:v>3.6351636246717778E-2</c:v>
                </c:pt>
                <c:pt idx="32">
                  <c:v>-1.4546205405385759E-4</c:v>
                </c:pt>
                <c:pt idx="33">
                  <c:v>2.6657432513352397E-2</c:v>
                </c:pt>
                <c:pt idx="34">
                  <c:v>6.7101561669062892E-3</c:v>
                </c:pt>
                <c:pt idx="35">
                  <c:v>1.0729342871708125E-2</c:v>
                </c:pt>
                <c:pt idx="36">
                  <c:v>1.2821278596317986E-2</c:v>
                </c:pt>
                <c:pt idx="37">
                  <c:v>6.2162559632270575E-3</c:v>
                </c:pt>
                <c:pt idx="38">
                  <c:v>1.843609023187609E-2</c:v>
                </c:pt>
                <c:pt idx="39">
                  <c:v>3.5729689531219355E-2</c:v>
                </c:pt>
                <c:pt idx="40">
                  <c:v>3.726507950009128E-2</c:v>
                </c:pt>
                <c:pt idx="41">
                  <c:v>9.5604098854111808E-3</c:v>
                </c:pt>
                <c:pt idx="42">
                  <c:v>3.7733863329418416E-2</c:v>
                </c:pt>
                <c:pt idx="43">
                  <c:v>1.3485748650472473E-2</c:v>
                </c:pt>
                <c:pt idx="44">
                  <c:v>2.2882363283201146E-2</c:v>
                </c:pt>
                <c:pt idx="45">
                  <c:v>2.147106086493844E-2</c:v>
                </c:pt>
                <c:pt idx="46">
                  <c:v>1.7782468227170556E-2</c:v>
                </c:pt>
                <c:pt idx="47">
                  <c:v>7.9767372183527918E-3</c:v>
                </c:pt>
                <c:pt idx="48">
                  <c:v>9.4150830541754882E-3</c:v>
                </c:pt>
                <c:pt idx="49">
                  <c:v>7.4525184184233151E-3</c:v>
                </c:pt>
                <c:pt idx="50">
                  <c:v>1.8171039750674023E-2</c:v>
                </c:pt>
                <c:pt idx="51">
                  <c:v>4.4090852513594347E-2</c:v>
                </c:pt>
                <c:pt idx="52">
                  <c:v>8.647334930293793E-3</c:v>
                </c:pt>
                <c:pt idx="53">
                  <c:v>1.7133210959963563E-2</c:v>
                </c:pt>
                <c:pt idx="54">
                  <c:v>1.6856549310273916E-2</c:v>
                </c:pt>
                <c:pt idx="55">
                  <c:v>4.8660789808002702E-2</c:v>
                </c:pt>
                <c:pt idx="56">
                  <c:v>1.3448000996581833E-2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8-4D11-BCE3-B957B3F534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307718176"/>
        <c:axId val="1316767072"/>
      </c:scatterChart>
      <c:valAx>
        <c:axId val="130771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16767072"/>
        <c:crosses val="autoZero"/>
        <c:crossBetween val="midCat"/>
      </c:valAx>
      <c:valAx>
        <c:axId val="13167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0771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D2919FC-275E-41FB-A3C0-BF535113AE23}">
  <sheetPr>
    <tabColor rgb="FFFFC000"/>
  </sheetPr>
  <sheetViews>
    <sheetView zoomScale="10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9557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B5F0BD-1F9A-4488-8E94-B7C0D0081E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1F911-EDD9-43AB-BAC2-E41B3F165063}">
  <sheetPr>
    <tabColor rgb="FF00B050"/>
  </sheetPr>
  <dimension ref="A1:BH62"/>
  <sheetViews>
    <sheetView topLeftCell="AP1" workbookViewId="0">
      <pane xSplit="6390" ySplit="1920" topLeftCell="Z1" activePane="bottomRight"/>
      <selection pane="topRight" activeCell="AB1" sqref="AB1:AC1048576"/>
      <selection pane="bottomLeft" activeCell="AD5" sqref="AD5:AE5"/>
      <selection pane="bottomRight" activeCell="AD5" sqref="AD5:AE5"/>
    </sheetView>
  </sheetViews>
  <sheetFormatPr baseColWidth="10" defaultRowHeight="15" x14ac:dyDescent="0.25"/>
  <cols>
    <col min="59" max="59" width="11.85546875" bestFit="1" customWidth="1"/>
  </cols>
  <sheetData>
    <row r="1" spans="1:60" ht="21" x14ac:dyDescent="0.35">
      <c r="A1" s="1" t="s">
        <v>8</v>
      </c>
      <c r="B1" s="2" t="s">
        <v>4</v>
      </c>
    </row>
    <row r="3" spans="1:60" x14ac:dyDescent="0.25">
      <c r="A3" t="s">
        <v>74</v>
      </c>
      <c r="B3" t="s">
        <v>73</v>
      </c>
    </row>
    <row r="4" spans="1:60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  <c r="AG4" t="s">
        <v>71</v>
      </c>
      <c r="AH4">
        <v>2000</v>
      </c>
      <c r="AI4">
        <v>2001</v>
      </c>
      <c r="AJ4">
        <v>2002</v>
      </c>
      <c r="AK4">
        <v>2003</v>
      </c>
      <c r="AL4">
        <v>2004</v>
      </c>
      <c r="AM4">
        <v>2005</v>
      </c>
      <c r="AN4">
        <v>2006</v>
      </c>
      <c r="AO4">
        <v>2007</v>
      </c>
      <c r="AP4">
        <v>2008</v>
      </c>
      <c r="AQ4">
        <v>2009</v>
      </c>
      <c r="AR4">
        <v>2010</v>
      </c>
      <c r="AS4">
        <v>2011</v>
      </c>
      <c r="AT4">
        <v>2012</v>
      </c>
      <c r="AU4">
        <v>2013</v>
      </c>
      <c r="AV4">
        <v>2014</v>
      </c>
      <c r="AW4">
        <v>2015</v>
      </c>
      <c r="AX4">
        <v>2016</v>
      </c>
      <c r="AY4">
        <v>2017</v>
      </c>
      <c r="AZ4">
        <v>2018</v>
      </c>
      <c r="BA4">
        <v>2019</v>
      </c>
      <c r="BB4">
        <v>2020</v>
      </c>
      <c r="BC4">
        <v>2021</v>
      </c>
      <c r="BD4">
        <v>2022</v>
      </c>
      <c r="BE4">
        <v>2023</v>
      </c>
    </row>
    <row r="5" spans="1:60" x14ac:dyDescent="0.25">
      <c r="A5" t="s">
        <v>68</v>
      </c>
      <c r="B5">
        <v>10</v>
      </c>
      <c r="C5">
        <v>10</v>
      </c>
      <c r="D5">
        <v>10</v>
      </c>
      <c r="E5">
        <v>10</v>
      </c>
      <c r="F5">
        <v>10</v>
      </c>
      <c r="G5">
        <v>10</v>
      </c>
      <c r="H5">
        <v>13</v>
      </c>
      <c r="I5">
        <v>13</v>
      </c>
      <c r="J5">
        <v>13</v>
      </c>
      <c r="K5">
        <v>13</v>
      </c>
      <c r="L5">
        <v>13</v>
      </c>
      <c r="M5">
        <v>13</v>
      </c>
      <c r="N5">
        <v>13</v>
      </c>
      <c r="O5">
        <v>13</v>
      </c>
      <c r="P5">
        <v>13</v>
      </c>
      <c r="Q5">
        <v>14</v>
      </c>
      <c r="R5">
        <v>14</v>
      </c>
      <c r="S5">
        <v>14</v>
      </c>
      <c r="T5">
        <v>14</v>
      </c>
      <c r="U5">
        <v>14</v>
      </c>
      <c r="V5">
        <v>14</v>
      </c>
      <c r="W5">
        <v>14</v>
      </c>
      <c r="X5">
        <v>14</v>
      </c>
      <c r="Y5">
        <v>14</v>
      </c>
      <c r="Z5">
        <v>303</v>
      </c>
      <c r="AB5">
        <f>AVERAGE(B5:Y5)</f>
        <v>12.625</v>
      </c>
      <c r="AC5">
        <f>_xlfn.STDEV.S(B5:Y5)</f>
        <v>1.6100904646471967</v>
      </c>
      <c r="AD5" s="3">
        <f>(((L5/B5))^(1/10))-1</f>
        <v>2.6583631304232025E-2</v>
      </c>
      <c r="AE5" s="3">
        <f>(((Y5/L5))^(1/13))-1</f>
        <v>5.7168926577804147E-3</v>
      </c>
      <c r="AG5" t="s">
        <v>68</v>
      </c>
      <c r="AH5" s="4">
        <f>+(B5-$AB5)/$AC5</f>
        <v>-1.6303431748943313</v>
      </c>
      <c r="AI5">
        <f>+(C5-$AB5)/$AC5</f>
        <v>-1.6303431748943313</v>
      </c>
      <c r="AJ5">
        <v>10</v>
      </c>
      <c r="AK5">
        <v>10</v>
      </c>
      <c r="AL5">
        <v>10</v>
      </c>
      <c r="AM5">
        <v>10</v>
      </c>
      <c r="AN5">
        <f t="shared" ref="AN5" si="0">IFERROR(+(H5-$AB5)/$AC5,0)</f>
        <v>0.23290616784204735</v>
      </c>
      <c r="AO5">
        <f t="shared" ref="AO5" si="1">IFERROR(+(I5-$AB5)/$AC5,0)</f>
        <v>0.23290616784204735</v>
      </c>
      <c r="AP5">
        <f t="shared" ref="AP5" si="2">IFERROR(+(J5-$AB5)/$AC5,0)</f>
        <v>0.23290616784204735</v>
      </c>
      <c r="AQ5">
        <f t="shared" ref="AQ5" si="3">IFERROR(+(K5-$AB5)/$AC5,0)</f>
        <v>0.23290616784204735</v>
      </c>
      <c r="AR5" s="4">
        <f t="shared" ref="AR5" si="4">IFERROR(+(L5-$AB5)/$AC5,0)</f>
        <v>0.23290616784204735</v>
      </c>
      <c r="AS5">
        <f t="shared" ref="AS5" si="5">IFERROR(+(M5-$AB5)/$AC5,0)</f>
        <v>0.23290616784204735</v>
      </c>
      <c r="AT5">
        <f t="shared" ref="AT5" si="6">IFERROR(+(N5-$AB5)/$AC5,0)</f>
        <v>0.23290616784204735</v>
      </c>
      <c r="AU5">
        <f t="shared" ref="AU5" si="7">IFERROR(+(O5-$AB5)/$AC5,0)</f>
        <v>0.23290616784204735</v>
      </c>
      <c r="AV5">
        <f t="shared" ref="AV5" si="8">IFERROR(+(P5-$AB5)/$AC5,0)</f>
        <v>0.23290616784204735</v>
      </c>
      <c r="AW5">
        <f t="shared" ref="AW5" si="9">IFERROR(+(Q5-$AB5)/$AC5,0)</f>
        <v>0.85398928208750691</v>
      </c>
      <c r="AX5">
        <f t="shared" ref="AX5" si="10">IFERROR(+(R5-$AB5)/$AC5,0)</f>
        <v>0.85398928208750691</v>
      </c>
      <c r="AY5">
        <f t="shared" ref="AY5" si="11">IFERROR(+(S5-$AB5)/$AC5,0)</f>
        <v>0.85398928208750691</v>
      </c>
      <c r="AZ5">
        <f t="shared" ref="AZ5" si="12">IFERROR(+(T5-$AB5)/$AC5,0)</f>
        <v>0.85398928208750691</v>
      </c>
      <c r="BA5">
        <f t="shared" ref="BA5" si="13">IFERROR(+(U5-$AB5)/$AC5,0)</f>
        <v>0.85398928208750691</v>
      </c>
      <c r="BB5">
        <f t="shared" ref="BB5" si="14">IFERROR(+(V5-$AB5)/$AC5,0)</f>
        <v>0.85398928208750691</v>
      </c>
      <c r="BC5">
        <f t="shared" ref="BC5" si="15">IFERROR(+(W5-$AB5)/$AC5,0)</f>
        <v>0.85398928208750691</v>
      </c>
      <c r="BD5">
        <f t="shared" ref="BD5" si="16">IFERROR(+(X5-$AB5)/$AC5,0)</f>
        <v>0.85398928208750691</v>
      </c>
      <c r="BE5">
        <f t="shared" ref="BE5" si="17">IFERROR(+(Y5-$AB5)/$AC5,0)</f>
        <v>0.85398928208750691</v>
      </c>
      <c r="BG5" s="3" t="e">
        <f>(((AH5/AR5))^(1/10))-1</f>
        <v>#NUM!</v>
      </c>
      <c r="BH5" s="3">
        <f>(((BE5/AO5))^(1/13))-1</f>
        <v>0.10510996398070094</v>
      </c>
    </row>
    <row r="6" spans="1:60" x14ac:dyDescent="0.25">
      <c r="A6" t="s">
        <v>69</v>
      </c>
      <c r="B6">
        <v>11</v>
      </c>
      <c r="C6">
        <v>11</v>
      </c>
      <c r="D6">
        <v>11</v>
      </c>
      <c r="E6">
        <v>11</v>
      </c>
      <c r="F6">
        <v>11</v>
      </c>
      <c r="G6">
        <v>11</v>
      </c>
      <c r="H6">
        <v>11</v>
      </c>
      <c r="I6">
        <v>11</v>
      </c>
      <c r="J6">
        <v>11</v>
      </c>
      <c r="K6">
        <v>11</v>
      </c>
      <c r="L6">
        <v>11</v>
      </c>
      <c r="M6">
        <v>11</v>
      </c>
      <c r="N6">
        <v>11</v>
      </c>
      <c r="O6">
        <v>11</v>
      </c>
      <c r="P6">
        <v>11</v>
      </c>
      <c r="Q6">
        <v>11</v>
      </c>
      <c r="R6">
        <v>11</v>
      </c>
      <c r="S6">
        <v>11</v>
      </c>
      <c r="T6">
        <v>11</v>
      </c>
      <c r="U6">
        <v>11</v>
      </c>
      <c r="V6">
        <v>11</v>
      </c>
      <c r="W6">
        <v>11</v>
      </c>
      <c r="X6">
        <v>11</v>
      </c>
      <c r="Y6">
        <v>11</v>
      </c>
      <c r="Z6">
        <v>264</v>
      </c>
      <c r="AB6">
        <f t="shared" ref="AB6:AB61" si="18">AVERAGE(B6:Y6)</f>
        <v>11</v>
      </c>
      <c r="AC6">
        <f t="shared" ref="AC6:AC61" si="19">_xlfn.STDEV.S(B6:Y6)</f>
        <v>0</v>
      </c>
      <c r="AD6" s="3">
        <f t="shared" ref="AD6:AD61" si="20">(((L6/B6))^(1/10))-1</f>
        <v>0</v>
      </c>
      <c r="AE6" s="3">
        <f t="shared" ref="AE6:AE61" si="21">(((Y6/L6))^(1/13))-1</f>
        <v>0</v>
      </c>
      <c r="AG6" t="s">
        <v>69</v>
      </c>
      <c r="AH6">
        <f>IFERROR(+(B6-$AB6)/$AC6,0)</f>
        <v>0</v>
      </c>
      <c r="AI6">
        <f t="shared" ref="AI6:BE17" si="22">IFERROR(+(C6-$AB6)/$AC6,0)</f>
        <v>0</v>
      </c>
      <c r="AJ6">
        <f t="shared" si="22"/>
        <v>0</v>
      </c>
      <c r="AK6">
        <f t="shared" si="22"/>
        <v>0</v>
      </c>
      <c r="AL6">
        <f t="shared" si="22"/>
        <v>0</v>
      </c>
      <c r="AM6">
        <f t="shared" si="22"/>
        <v>0</v>
      </c>
      <c r="AN6">
        <f t="shared" si="22"/>
        <v>0</v>
      </c>
      <c r="AO6">
        <f t="shared" si="22"/>
        <v>0</v>
      </c>
      <c r="AP6">
        <f t="shared" si="22"/>
        <v>0</v>
      </c>
      <c r="AQ6">
        <f t="shared" si="22"/>
        <v>0</v>
      </c>
      <c r="AR6">
        <f t="shared" si="22"/>
        <v>0</v>
      </c>
      <c r="AS6">
        <f t="shared" si="22"/>
        <v>0</v>
      </c>
      <c r="AT6">
        <f t="shared" si="22"/>
        <v>0</v>
      </c>
      <c r="AU6">
        <f t="shared" si="22"/>
        <v>0</v>
      </c>
      <c r="AV6">
        <f t="shared" si="22"/>
        <v>0</v>
      </c>
      <c r="AW6">
        <f t="shared" si="22"/>
        <v>0</v>
      </c>
      <c r="AX6">
        <f t="shared" si="22"/>
        <v>0</v>
      </c>
      <c r="AY6">
        <f t="shared" si="22"/>
        <v>0</v>
      </c>
      <c r="AZ6">
        <f t="shared" si="22"/>
        <v>0</v>
      </c>
      <c r="BA6">
        <f t="shared" si="22"/>
        <v>0</v>
      </c>
      <c r="BB6">
        <f t="shared" si="22"/>
        <v>0</v>
      </c>
      <c r="BC6">
        <f t="shared" si="22"/>
        <v>0</v>
      </c>
      <c r="BD6">
        <f t="shared" si="22"/>
        <v>0</v>
      </c>
      <c r="BE6">
        <f t="shared" si="22"/>
        <v>0</v>
      </c>
    </row>
    <row r="7" spans="1:60" x14ac:dyDescent="0.25">
      <c r="A7" t="s">
        <v>70</v>
      </c>
      <c r="B7">
        <v>9</v>
      </c>
      <c r="C7">
        <v>9</v>
      </c>
      <c r="D7">
        <v>9</v>
      </c>
      <c r="E7">
        <v>9</v>
      </c>
      <c r="F7">
        <v>9</v>
      </c>
      <c r="G7">
        <v>9</v>
      </c>
      <c r="H7">
        <v>9</v>
      </c>
      <c r="I7">
        <v>9</v>
      </c>
      <c r="J7">
        <v>9</v>
      </c>
      <c r="K7">
        <v>9</v>
      </c>
      <c r="L7">
        <v>9</v>
      </c>
      <c r="M7">
        <v>10</v>
      </c>
      <c r="N7">
        <v>10</v>
      </c>
      <c r="O7">
        <v>10</v>
      </c>
      <c r="P7">
        <v>10</v>
      </c>
      <c r="Q7">
        <v>10</v>
      </c>
      <c r="R7">
        <v>10</v>
      </c>
      <c r="S7">
        <v>13</v>
      </c>
      <c r="T7">
        <v>13</v>
      </c>
      <c r="U7">
        <v>13</v>
      </c>
      <c r="V7">
        <v>13</v>
      </c>
      <c r="W7">
        <v>13</v>
      </c>
      <c r="X7">
        <v>13</v>
      </c>
      <c r="Y7">
        <v>13</v>
      </c>
      <c r="Z7">
        <v>250</v>
      </c>
      <c r="AB7">
        <f t="shared" si="18"/>
        <v>10.416666666666666</v>
      </c>
      <c r="AC7">
        <f t="shared" si="19"/>
        <v>1.7424786610050573</v>
      </c>
      <c r="AD7" s="3">
        <f t="shared" si="20"/>
        <v>0</v>
      </c>
      <c r="AE7" s="3">
        <f t="shared" si="21"/>
        <v>2.8690384161883076E-2</v>
      </c>
      <c r="AG7" t="s">
        <v>70</v>
      </c>
      <c r="AH7">
        <f t="shared" ref="AH7:AH62" si="23">IFERROR(+(B7-$AB7)/$AC7,0)</f>
        <v>-0.81301808645939821</v>
      </c>
      <c r="AI7">
        <f t="shared" si="22"/>
        <v>-0.81301808645939821</v>
      </c>
      <c r="AJ7">
        <f t="shared" si="22"/>
        <v>-0.81301808645939821</v>
      </c>
      <c r="AK7">
        <f t="shared" si="22"/>
        <v>-0.81301808645939821</v>
      </c>
      <c r="AL7">
        <f t="shared" si="22"/>
        <v>-0.81301808645939821</v>
      </c>
      <c r="AM7">
        <f t="shared" si="22"/>
        <v>-0.81301808645939821</v>
      </c>
      <c r="AN7">
        <f t="shared" si="22"/>
        <v>-0.81301808645939821</v>
      </c>
      <c r="AO7">
        <f t="shared" si="22"/>
        <v>-0.81301808645939821</v>
      </c>
      <c r="AP7">
        <f t="shared" si="22"/>
        <v>-0.81301808645939821</v>
      </c>
      <c r="AQ7">
        <f t="shared" si="22"/>
        <v>-0.81301808645939821</v>
      </c>
      <c r="AR7">
        <f t="shared" si="22"/>
        <v>-0.81301808645939821</v>
      </c>
      <c r="AS7">
        <f t="shared" si="22"/>
        <v>-0.23912296660570512</v>
      </c>
      <c r="AT7">
        <f t="shared" si="22"/>
        <v>-0.23912296660570512</v>
      </c>
      <c r="AU7">
        <f t="shared" si="22"/>
        <v>-0.23912296660570512</v>
      </c>
      <c r="AV7">
        <f t="shared" si="22"/>
        <v>-0.23912296660570512</v>
      </c>
      <c r="AW7">
        <f t="shared" si="22"/>
        <v>-0.23912296660570512</v>
      </c>
      <c r="AX7">
        <f t="shared" si="22"/>
        <v>-0.23912296660570512</v>
      </c>
      <c r="AY7">
        <f t="shared" si="22"/>
        <v>1.4825623929553742</v>
      </c>
      <c r="AZ7">
        <f t="shared" si="22"/>
        <v>1.4825623929553742</v>
      </c>
      <c r="BA7">
        <f t="shared" si="22"/>
        <v>1.4825623929553742</v>
      </c>
      <c r="BB7">
        <f t="shared" si="22"/>
        <v>1.4825623929553742</v>
      </c>
      <c r="BC7">
        <f t="shared" si="22"/>
        <v>1.4825623929553742</v>
      </c>
      <c r="BD7">
        <f t="shared" si="22"/>
        <v>1.4825623929553742</v>
      </c>
      <c r="BE7">
        <f t="shared" si="22"/>
        <v>1.4825623929553742</v>
      </c>
    </row>
    <row r="8" spans="1:60" x14ac:dyDescent="0.25">
      <c r="A8" t="s">
        <v>67</v>
      </c>
      <c r="B8">
        <v>12</v>
      </c>
      <c r="C8">
        <v>12</v>
      </c>
      <c r="D8">
        <v>12</v>
      </c>
      <c r="E8">
        <v>12</v>
      </c>
      <c r="F8">
        <v>12</v>
      </c>
      <c r="G8">
        <v>12</v>
      </c>
      <c r="H8">
        <v>12</v>
      </c>
      <c r="I8">
        <v>12</v>
      </c>
      <c r="J8">
        <v>12</v>
      </c>
      <c r="K8">
        <v>12</v>
      </c>
      <c r="L8">
        <v>12</v>
      </c>
      <c r="M8">
        <v>12</v>
      </c>
      <c r="N8">
        <v>12</v>
      </c>
      <c r="O8">
        <v>12</v>
      </c>
      <c r="P8">
        <v>12</v>
      </c>
      <c r="Q8">
        <v>12</v>
      </c>
      <c r="R8">
        <v>12</v>
      </c>
      <c r="S8">
        <v>12</v>
      </c>
      <c r="T8">
        <v>12</v>
      </c>
      <c r="U8">
        <v>12</v>
      </c>
      <c r="V8">
        <v>12</v>
      </c>
      <c r="W8">
        <v>12</v>
      </c>
      <c r="X8">
        <v>12</v>
      </c>
      <c r="Y8">
        <v>12</v>
      </c>
      <c r="Z8">
        <v>288</v>
      </c>
      <c r="AB8">
        <f t="shared" si="18"/>
        <v>12</v>
      </c>
      <c r="AC8">
        <f t="shared" si="19"/>
        <v>0</v>
      </c>
      <c r="AD8" s="3">
        <f t="shared" si="20"/>
        <v>0</v>
      </c>
      <c r="AE8" s="3">
        <f t="shared" si="21"/>
        <v>0</v>
      </c>
      <c r="AG8" t="s">
        <v>67</v>
      </c>
      <c r="AH8">
        <f t="shared" si="23"/>
        <v>0</v>
      </c>
      <c r="AI8">
        <f t="shared" si="22"/>
        <v>0</v>
      </c>
      <c r="AJ8">
        <f t="shared" si="22"/>
        <v>0</v>
      </c>
      <c r="AK8">
        <f t="shared" si="22"/>
        <v>0</v>
      </c>
      <c r="AL8">
        <f t="shared" si="22"/>
        <v>0</v>
      </c>
      <c r="AM8">
        <f t="shared" si="22"/>
        <v>0</v>
      </c>
      <c r="AN8">
        <f t="shared" si="22"/>
        <v>0</v>
      </c>
      <c r="AO8">
        <f t="shared" si="22"/>
        <v>0</v>
      </c>
      <c r="AP8">
        <f t="shared" si="22"/>
        <v>0</v>
      </c>
      <c r="AQ8">
        <f t="shared" si="22"/>
        <v>0</v>
      </c>
      <c r="AR8">
        <f t="shared" si="22"/>
        <v>0</v>
      </c>
      <c r="AS8">
        <f t="shared" si="22"/>
        <v>0</v>
      </c>
      <c r="AT8">
        <f t="shared" si="22"/>
        <v>0</v>
      </c>
      <c r="AU8">
        <f t="shared" si="22"/>
        <v>0</v>
      </c>
      <c r="AV8">
        <f t="shared" si="22"/>
        <v>0</v>
      </c>
      <c r="AW8">
        <f t="shared" si="22"/>
        <v>0</v>
      </c>
      <c r="AX8">
        <f t="shared" si="22"/>
        <v>0</v>
      </c>
      <c r="AY8">
        <f t="shared" si="22"/>
        <v>0</v>
      </c>
      <c r="AZ8">
        <f t="shared" si="22"/>
        <v>0</v>
      </c>
      <c r="BA8">
        <f t="shared" si="22"/>
        <v>0</v>
      </c>
      <c r="BB8">
        <f t="shared" si="22"/>
        <v>0</v>
      </c>
      <c r="BC8">
        <f t="shared" si="22"/>
        <v>0</v>
      </c>
      <c r="BD8">
        <f t="shared" si="22"/>
        <v>0</v>
      </c>
      <c r="BE8">
        <f t="shared" si="22"/>
        <v>0</v>
      </c>
    </row>
    <row r="9" spans="1:60" x14ac:dyDescent="0.25">
      <c r="A9" t="s">
        <v>62</v>
      </c>
      <c r="B9">
        <v>8</v>
      </c>
      <c r="C9">
        <v>8</v>
      </c>
      <c r="D9">
        <v>8</v>
      </c>
      <c r="E9">
        <v>8</v>
      </c>
      <c r="F9">
        <v>8</v>
      </c>
      <c r="G9">
        <v>8</v>
      </c>
      <c r="H9">
        <v>8</v>
      </c>
      <c r="I9">
        <v>8</v>
      </c>
      <c r="J9">
        <v>8</v>
      </c>
      <c r="K9">
        <v>8</v>
      </c>
      <c r="L9">
        <v>8</v>
      </c>
      <c r="M9">
        <v>8</v>
      </c>
      <c r="N9">
        <v>8</v>
      </c>
      <c r="O9">
        <v>14</v>
      </c>
      <c r="P9">
        <v>14</v>
      </c>
      <c r="Q9">
        <v>14</v>
      </c>
      <c r="R9">
        <v>14</v>
      </c>
      <c r="S9">
        <v>14</v>
      </c>
      <c r="T9">
        <v>14</v>
      </c>
      <c r="U9">
        <v>14</v>
      </c>
      <c r="V9">
        <v>14</v>
      </c>
      <c r="W9">
        <v>14</v>
      </c>
      <c r="X9">
        <v>14</v>
      </c>
      <c r="Y9">
        <v>14</v>
      </c>
      <c r="Z9">
        <v>258</v>
      </c>
      <c r="AB9">
        <f t="shared" si="18"/>
        <v>10.75</v>
      </c>
      <c r="AC9">
        <f t="shared" si="19"/>
        <v>3.0538642662243092</v>
      </c>
      <c r="AD9" s="3">
        <f t="shared" si="20"/>
        <v>0</v>
      </c>
      <c r="AE9" s="3">
        <f t="shared" si="21"/>
        <v>4.3987345588031301E-2</v>
      </c>
      <c r="AG9" t="s">
        <v>62</v>
      </c>
      <c r="AH9">
        <f t="shared" si="23"/>
        <v>-0.90049843747639891</v>
      </c>
      <c r="AI9">
        <f t="shared" si="22"/>
        <v>-0.90049843747639891</v>
      </c>
      <c r="AJ9">
        <f t="shared" si="22"/>
        <v>-0.90049843747639891</v>
      </c>
      <c r="AK9">
        <f t="shared" si="22"/>
        <v>-0.90049843747639891</v>
      </c>
      <c r="AL9">
        <f t="shared" si="22"/>
        <v>-0.90049843747639891</v>
      </c>
      <c r="AM9">
        <f t="shared" si="22"/>
        <v>-0.90049843747639891</v>
      </c>
      <c r="AN9">
        <f t="shared" si="22"/>
        <v>-0.90049843747639891</v>
      </c>
      <c r="AO9">
        <f t="shared" si="22"/>
        <v>-0.90049843747639891</v>
      </c>
      <c r="AP9">
        <f t="shared" si="22"/>
        <v>-0.90049843747639891</v>
      </c>
      <c r="AQ9">
        <f t="shared" si="22"/>
        <v>-0.90049843747639891</v>
      </c>
      <c r="AR9">
        <f t="shared" si="22"/>
        <v>-0.90049843747639891</v>
      </c>
      <c r="AS9">
        <f t="shared" si="22"/>
        <v>-0.90049843747639891</v>
      </c>
      <c r="AT9">
        <f t="shared" si="22"/>
        <v>-0.90049843747639891</v>
      </c>
      <c r="AU9">
        <f t="shared" si="22"/>
        <v>1.0642254261084714</v>
      </c>
      <c r="AV9">
        <f t="shared" si="22"/>
        <v>1.0642254261084714</v>
      </c>
      <c r="AW9">
        <f t="shared" si="22"/>
        <v>1.0642254261084714</v>
      </c>
      <c r="AX9">
        <f t="shared" si="22"/>
        <v>1.0642254261084714</v>
      </c>
      <c r="AY9">
        <f t="shared" si="22"/>
        <v>1.0642254261084714</v>
      </c>
      <c r="AZ9">
        <f t="shared" si="22"/>
        <v>1.0642254261084714</v>
      </c>
      <c r="BA9">
        <f t="shared" si="22"/>
        <v>1.0642254261084714</v>
      </c>
      <c r="BB9">
        <f t="shared" si="22"/>
        <v>1.0642254261084714</v>
      </c>
      <c r="BC9">
        <f t="shared" si="22"/>
        <v>1.0642254261084714</v>
      </c>
      <c r="BD9">
        <f t="shared" si="22"/>
        <v>1.0642254261084714</v>
      </c>
      <c r="BE9">
        <f t="shared" si="22"/>
        <v>1.0642254261084714</v>
      </c>
    </row>
    <row r="10" spans="1:60" x14ac:dyDescent="0.25">
      <c r="A10" t="s">
        <v>66</v>
      </c>
      <c r="B10">
        <v>9</v>
      </c>
      <c r="C10">
        <v>9</v>
      </c>
      <c r="D10">
        <v>9</v>
      </c>
      <c r="E10">
        <v>9</v>
      </c>
      <c r="F10">
        <v>9</v>
      </c>
      <c r="G10">
        <v>9</v>
      </c>
      <c r="H10">
        <v>9</v>
      </c>
      <c r="I10">
        <v>9</v>
      </c>
      <c r="J10">
        <v>9</v>
      </c>
      <c r="K10">
        <v>9</v>
      </c>
      <c r="L10">
        <v>9</v>
      </c>
      <c r="M10">
        <v>11</v>
      </c>
      <c r="N10">
        <v>11</v>
      </c>
      <c r="O10">
        <v>11</v>
      </c>
      <c r="P10">
        <v>11</v>
      </c>
      <c r="Q10">
        <v>11</v>
      </c>
      <c r="R10">
        <v>11</v>
      </c>
      <c r="S10">
        <v>11</v>
      </c>
      <c r="T10">
        <v>11</v>
      </c>
      <c r="U10">
        <v>11</v>
      </c>
      <c r="V10">
        <v>11</v>
      </c>
      <c r="W10">
        <v>11</v>
      </c>
      <c r="X10">
        <v>11</v>
      </c>
      <c r="Y10">
        <v>11</v>
      </c>
      <c r="Z10">
        <v>242</v>
      </c>
      <c r="AB10">
        <f t="shared" si="18"/>
        <v>10.083333333333334</v>
      </c>
      <c r="AC10">
        <f t="shared" si="19"/>
        <v>1.0179547554081028</v>
      </c>
      <c r="AD10" s="3">
        <f t="shared" si="20"/>
        <v>0</v>
      </c>
      <c r="AE10" s="3">
        <f t="shared" si="21"/>
        <v>1.5555960979025896E-2</v>
      </c>
      <c r="AG10" t="s">
        <v>66</v>
      </c>
      <c r="AH10">
        <f t="shared" si="23"/>
        <v>-1.0642254261084723</v>
      </c>
      <c r="AI10">
        <f t="shared" si="22"/>
        <v>-1.0642254261084723</v>
      </c>
      <c r="AJ10">
        <f t="shared" si="22"/>
        <v>-1.0642254261084723</v>
      </c>
      <c r="AK10">
        <f t="shared" si="22"/>
        <v>-1.0642254261084723</v>
      </c>
      <c r="AL10">
        <f t="shared" si="22"/>
        <v>-1.0642254261084723</v>
      </c>
      <c r="AM10">
        <f t="shared" si="22"/>
        <v>-1.0642254261084723</v>
      </c>
      <c r="AN10">
        <f t="shared" si="22"/>
        <v>-1.0642254261084723</v>
      </c>
      <c r="AO10">
        <f t="shared" si="22"/>
        <v>-1.0642254261084723</v>
      </c>
      <c r="AP10">
        <f t="shared" si="22"/>
        <v>-1.0642254261084723</v>
      </c>
      <c r="AQ10">
        <f t="shared" si="22"/>
        <v>-1.0642254261084723</v>
      </c>
      <c r="AR10">
        <f t="shared" si="22"/>
        <v>-1.0642254261084723</v>
      </c>
      <c r="AS10">
        <f t="shared" si="22"/>
        <v>0.90049843747639857</v>
      </c>
      <c r="AT10">
        <f t="shared" si="22"/>
        <v>0.90049843747639857</v>
      </c>
      <c r="AU10">
        <f t="shared" si="22"/>
        <v>0.90049843747639857</v>
      </c>
      <c r="AV10">
        <f t="shared" si="22"/>
        <v>0.90049843747639857</v>
      </c>
      <c r="AW10">
        <f t="shared" si="22"/>
        <v>0.90049843747639857</v>
      </c>
      <c r="AX10">
        <f t="shared" si="22"/>
        <v>0.90049843747639857</v>
      </c>
      <c r="AY10">
        <f t="shared" si="22"/>
        <v>0.90049843747639857</v>
      </c>
      <c r="AZ10">
        <f t="shared" si="22"/>
        <v>0.90049843747639857</v>
      </c>
      <c r="BA10">
        <f t="shared" si="22"/>
        <v>0.90049843747639857</v>
      </c>
      <c r="BB10">
        <f t="shared" si="22"/>
        <v>0.90049843747639857</v>
      </c>
      <c r="BC10">
        <f t="shared" si="22"/>
        <v>0.90049843747639857</v>
      </c>
      <c r="BD10">
        <f t="shared" si="22"/>
        <v>0.90049843747639857</v>
      </c>
      <c r="BE10">
        <f t="shared" si="22"/>
        <v>0.90049843747639857</v>
      </c>
    </row>
    <row r="11" spans="1:60" x14ac:dyDescent="0.25">
      <c r="A11" t="s">
        <v>64</v>
      </c>
      <c r="B11">
        <v>10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  <c r="K11">
        <v>10</v>
      </c>
      <c r="L11">
        <v>10</v>
      </c>
      <c r="M11">
        <v>10</v>
      </c>
      <c r="N11">
        <v>10</v>
      </c>
      <c r="O11">
        <v>10</v>
      </c>
      <c r="P11">
        <v>10</v>
      </c>
      <c r="Q11">
        <v>10</v>
      </c>
      <c r="R11">
        <v>10</v>
      </c>
      <c r="S11">
        <v>10</v>
      </c>
      <c r="T11">
        <v>10</v>
      </c>
      <c r="U11">
        <v>10</v>
      </c>
      <c r="V11">
        <v>10</v>
      </c>
      <c r="W11">
        <v>10</v>
      </c>
      <c r="X11">
        <v>10</v>
      </c>
      <c r="Y11">
        <v>10</v>
      </c>
      <c r="Z11">
        <v>240</v>
      </c>
      <c r="AB11">
        <f t="shared" si="18"/>
        <v>10</v>
      </c>
      <c r="AC11">
        <f t="shared" si="19"/>
        <v>0</v>
      </c>
      <c r="AD11" s="3">
        <f t="shared" si="20"/>
        <v>0</v>
      </c>
      <c r="AE11" s="3">
        <f t="shared" si="21"/>
        <v>0</v>
      </c>
      <c r="AG11" t="s">
        <v>64</v>
      </c>
      <c r="AH11">
        <f t="shared" si="23"/>
        <v>0</v>
      </c>
      <c r="AI11">
        <f t="shared" si="22"/>
        <v>0</v>
      </c>
      <c r="AJ11">
        <f t="shared" si="22"/>
        <v>0</v>
      </c>
      <c r="AK11">
        <f t="shared" si="22"/>
        <v>0</v>
      </c>
      <c r="AL11">
        <f t="shared" si="22"/>
        <v>0</v>
      </c>
      <c r="AM11">
        <f t="shared" si="22"/>
        <v>0</v>
      </c>
      <c r="AN11">
        <f t="shared" si="22"/>
        <v>0</v>
      </c>
      <c r="AO11">
        <f t="shared" si="22"/>
        <v>0</v>
      </c>
      <c r="AP11">
        <f t="shared" si="22"/>
        <v>0</v>
      </c>
      <c r="AQ11">
        <f t="shared" si="22"/>
        <v>0</v>
      </c>
      <c r="AR11">
        <f t="shared" si="22"/>
        <v>0</v>
      </c>
      <c r="AS11">
        <f t="shared" si="22"/>
        <v>0</v>
      </c>
      <c r="AT11">
        <f t="shared" si="22"/>
        <v>0</v>
      </c>
      <c r="AU11">
        <f t="shared" si="22"/>
        <v>0</v>
      </c>
      <c r="AV11">
        <f t="shared" si="22"/>
        <v>0</v>
      </c>
      <c r="AW11">
        <f t="shared" si="22"/>
        <v>0</v>
      </c>
      <c r="AX11">
        <f t="shared" si="22"/>
        <v>0</v>
      </c>
      <c r="AY11">
        <f t="shared" si="22"/>
        <v>0</v>
      </c>
      <c r="AZ11">
        <f t="shared" si="22"/>
        <v>0</v>
      </c>
      <c r="BA11">
        <f t="shared" si="22"/>
        <v>0</v>
      </c>
      <c r="BB11">
        <f t="shared" si="22"/>
        <v>0</v>
      </c>
      <c r="BC11">
        <f t="shared" si="22"/>
        <v>0</v>
      </c>
      <c r="BD11">
        <f t="shared" si="22"/>
        <v>0</v>
      </c>
      <c r="BE11">
        <f t="shared" si="22"/>
        <v>0</v>
      </c>
    </row>
    <row r="12" spans="1:60" x14ac:dyDescent="0.25">
      <c r="A12" t="s">
        <v>63</v>
      </c>
      <c r="B12">
        <v>8</v>
      </c>
      <c r="C12">
        <v>8</v>
      </c>
      <c r="D12">
        <v>8</v>
      </c>
      <c r="E12">
        <v>12</v>
      </c>
      <c r="F12">
        <v>12</v>
      </c>
      <c r="G12">
        <v>12</v>
      </c>
      <c r="H12">
        <v>12</v>
      </c>
      <c r="I12">
        <v>12</v>
      </c>
      <c r="J12">
        <v>12</v>
      </c>
      <c r="K12">
        <v>12</v>
      </c>
      <c r="L12">
        <v>12</v>
      </c>
      <c r="M12">
        <v>12</v>
      </c>
      <c r="N12">
        <v>12</v>
      </c>
      <c r="O12">
        <v>12</v>
      </c>
      <c r="P12">
        <v>12</v>
      </c>
      <c r="Q12">
        <v>12</v>
      </c>
      <c r="R12">
        <v>12</v>
      </c>
      <c r="S12">
        <v>12</v>
      </c>
      <c r="T12">
        <v>12</v>
      </c>
      <c r="U12">
        <v>12</v>
      </c>
      <c r="V12">
        <v>12</v>
      </c>
      <c r="W12">
        <v>12</v>
      </c>
      <c r="X12">
        <v>12</v>
      </c>
      <c r="Y12">
        <v>12</v>
      </c>
      <c r="Z12">
        <v>276</v>
      </c>
      <c r="AB12">
        <f t="shared" si="18"/>
        <v>11.5</v>
      </c>
      <c r="AC12">
        <f t="shared" si="19"/>
        <v>1.3513278493843524</v>
      </c>
      <c r="AD12" s="3">
        <f t="shared" si="20"/>
        <v>4.1379743992410623E-2</v>
      </c>
      <c r="AE12" s="3">
        <f t="shared" si="21"/>
        <v>0</v>
      </c>
      <c r="AG12" t="s">
        <v>63</v>
      </c>
      <c r="AH12">
        <f t="shared" si="23"/>
        <v>-2.5900450446533423</v>
      </c>
      <c r="AI12">
        <f t="shared" si="22"/>
        <v>-2.5900450446533423</v>
      </c>
      <c r="AJ12">
        <f t="shared" si="22"/>
        <v>-2.5900450446533423</v>
      </c>
      <c r="AK12">
        <f t="shared" si="22"/>
        <v>0.37000643495047747</v>
      </c>
      <c r="AL12">
        <f t="shared" si="22"/>
        <v>0.37000643495047747</v>
      </c>
      <c r="AM12">
        <f t="shared" si="22"/>
        <v>0.37000643495047747</v>
      </c>
      <c r="AN12">
        <f t="shared" si="22"/>
        <v>0.37000643495047747</v>
      </c>
      <c r="AO12">
        <f t="shared" si="22"/>
        <v>0.37000643495047747</v>
      </c>
      <c r="AP12">
        <f t="shared" si="22"/>
        <v>0.37000643495047747</v>
      </c>
      <c r="AQ12">
        <f t="shared" si="22"/>
        <v>0.37000643495047747</v>
      </c>
      <c r="AR12">
        <f t="shared" si="22"/>
        <v>0.37000643495047747</v>
      </c>
      <c r="AS12">
        <f t="shared" si="22"/>
        <v>0.37000643495047747</v>
      </c>
      <c r="AT12">
        <f t="shared" si="22"/>
        <v>0.37000643495047747</v>
      </c>
      <c r="AU12">
        <f t="shared" si="22"/>
        <v>0.37000643495047747</v>
      </c>
      <c r="AV12">
        <f t="shared" si="22"/>
        <v>0.37000643495047747</v>
      </c>
      <c r="AW12">
        <f t="shared" si="22"/>
        <v>0.37000643495047747</v>
      </c>
      <c r="AX12">
        <f t="shared" si="22"/>
        <v>0.37000643495047747</v>
      </c>
      <c r="AY12">
        <f t="shared" si="22"/>
        <v>0.37000643495047747</v>
      </c>
      <c r="AZ12">
        <f t="shared" si="22"/>
        <v>0.37000643495047747</v>
      </c>
      <c r="BA12">
        <f t="shared" si="22"/>
        <v>0.37000643495047747</v>
      </c>
      <c r="BB12">
        <f t="shared" si="22"/>
        <v>0.37000643495047747</v>
      </c>
      <c r="BC12">
        <f t="shared" si="22"/>
        <v>0.37000643495047747</v>
      </c>
      <c r="BD12">
        <f t="shared" si="22"/>
        <v>0.37000643495047747</v>
      </c>
      <c r="BE12">
        <f t="shared" si="22"/>
        <v>0.37000643495047747</v>
      </c>
    </row>
    <row r="13" spans="1:60" x14ac:dyDescent="0.25">
      <c r="A13" t="s">
        <v>65</v>
      </c>
      <c r="B13">
        <v>9</v>
      </c>
      <c r="C13">
        <v>9</v>
      </c>
      <c r="D13">
        <v>9</v>
      </c>
      <c r="E13">
        <v>9</v>
      </c>
      <c r="F13">
        <v>9</v>
      </c>
      <c r="G13">
        <v>9</v>
      </c>
      <c r="H13">
        <v>9</v>
      </c>
      <c r="I13">
        <v>9</v>
      </c>
      <c r="J13">
        <v>9</v>
      </c>
      <c r="K13">
        <v>9</v>
      </c>
      <c r="L13">
        <v>9</v>
      </c>
      <c r="M13">
        <v>9</v>
      </c>
      <c r="N13">
        <v>9</v>
      </c>
      <c r="O13">
        <v>9</v>
      </c>
      <c r="P13">
        <v>9</v>
      </c>
      <c r="Q13">
        <v>9</v>
      </c>
      <c r="R13">
        <v>9</v>
      </c>
      <c r="S13">
        <v>9</v>
      </c>
      <c r="T13">
        <v>9</v>
      </c>
      <c r="U13">
        <v>9</v>
      </c>
      <c r="V13">
        <v>9</v>
      </c>
      <c r="W13">
        <v>9</v>
      </c>
      <c r="X13">
        <v>9</v>
      </c>
      <c r="Y13">
        <v>9</v>
      </c>
      <c r="Z13">
        <v>216</v>
      </c>
      <c r="AB13">
        <f t="shared" si="18"/>
        <v>9</v>
      </c>
      <c r="AC13">
        <f t="shared" si="19"/>
        <v>0</v>
      </c>
      <c r="AD13" s="3">
        <f t="shared" si="20"/>
        <v>0</v>
      </c>
      <c r="AE13" s="3">
        <f t="shared" si="21"/>
        <v>0</v>
      </c>
      <c r="AG13" t="s">
        <v>65</v>
      </c>
      <c r="AH13">
        <f t="shared" si="23"/>
        <v>0</v>
      </c>
      <c r="AI13">
        <f t="shared" si="22"/>
        <v>0</v>
      </c>
      <c r="AJ13">
        <f t="shared" si="22"/>
        <v>0</v>
      </c>
      <c r="AK13">
        <f t="shared" si="22"/>
        <v>0</v>
      </c>
      <c r="AL13">
        <f t="shared" si="22"/>
        <v>0</v>
      </c>
      <c r="AM13">
        <f t="shared" si="22"/>
        <v>0</v>
      </c>
      <c r="AN13">
        <f t="shared" si="22"/>
        <v>0</v>
      </c>
      <c r="AO13">
        <f t="shared" si="22"/>
        <v>0</v>
      </c>
      <c r="AP13">
        <f t="shared" si="22"/>
        <v>0</v>
      </c>
      <c r="AQ13">
        <f t="shared" si="22"/>
        <v>0</v>
      </c>
      <c r="AR13">
        <f t="shared" si="22"/>
        <v>0</v>
      </c>
      <c r="AS13">
        <f t="shared" si="22"/>
        <v>0</v>
      </c>
      <c r="AT13">
        <f t="shared" si="22"/>
        <v>0</v>
      </c>
      <c r="AU13">
        <f t="shared" si="22"/>
        <v>0</v>
      </c>
      <c r="AV13">
        <f t="shared" si="22"/>
        <v>0</v>
      </c>
      <c r="AW13">
        <f t="shared" si="22"/>
        <v>0</v>
      </c>
      <c r="AX13">
        <f t="shared" si="22"/>
        <v>0</v>
      </c>
      <c r="AY13">
        <f t="shared" si="22"/>
        <v>0</v>
      </c>
      <c r="AZ13">
        <f t="shared" si="22"/>
        <v>0</v>
      </c>
      <c r="BA13">
        <f t="shared" si="22"/>
        <v>0</v>
      </c>
      <c r="BB13">
        <f t="shared" si="22"/>
        <v>0</v>
      </c>
      <c r="BC13">
        <f t="shared" si="22"/>
        <v>0</v>
      </c>
      <c r="BD13">
        <f t="shared" si="22"/>
        <v>0</v>
      </c>
      <c r="BE13">
        <f t="shared" si="22"/>
        <v>0</v>
      </c>
    </row>
    <row r="14" spans="1:60" x14ac:dyDescent="0.25">
      <c r="A14" t="s">
        <v>60</v>
      </c>
      <c r="B14">
        <v>10</v>
      </c>
      <c r="C14">
        <v>10</v>
      </c>
      <c r="D14">
        <v>10</v>
      </c>
      <c r="E14">
        <v>10</v>
      </c>
      <c r="F14">
        <v>10</v>
      </c>
      <c r="G14">
        <v>10</v>
      </c>
      <c r="H14">
        <v>10</v>
      </c>
      <c r="I14">
        <v>10</v>
      </c>
      <c r="J14">
        <v>10</v>
      </c>
      <c r="K14">
        <v>10</v>
      </c>
      <c r="L14">
        <v>10</v>
      </c>
      <c r="M14">
        <v>10</v>
      </c>
      <c r="N14">
        <v>10</v>
      </c>
      <c r="O14">
        <v>10</v>
      </c>
      <c r="P14">
        <v>10</v>
      </c>
      <c r="Q14">
        <v>12</v>
      </c>
      <c r="R14">
        <v>12</v>
      </c>
      <c r="S14">
        <v>12</v>
      </c>
      <c r="T14">
        <v>12</v>
      </c>
      <c r="U14">
        <v>12</v>
      </c>
      <c r="V14">
        <v>12</v>
      </c>
      <c r="W14">
        <v>12</v>
      </c>
      <c r="X14">
        <v>12</v>
      </c>
      <c r="Y14">
        <v>12</v>
      </c>
      <c r="Z14">
        <v>258</v>
      </c>
      <c r="AB14">
        <f t="shared" si="18"/>
        <v>10.75</v>
      </c>
      <c r="AC14">
        <f t="shared" si="19"/>
        <v>0.98907071009368053</v>
      </c>
      <c r="AD14" s="3">
        <f t="shared" si="20"/>
        <v>0</v>
      </c>
      <c r="AE14" s="3">
        <f t="shared" si="21"/>
        <v>1.4123543114045178E-2</v>
      </c>
      <c r="AG14" t="s">
        <v>60</v>
      </c>
      <c r="AH14">
        <f t="shared" si="23"/>
        <v>-0.758287544405155</v>
      </c>
      <c r="AI14">
        <f t="shared" si="22"/>
        <v>-0.758287544405155</v>
      </c>
      <c r="AJ14">
        <f t="shared" si="22"/>
        <v>-0.758287544405155</v>
      </c>
      <c r="AK14">
        <f t="shared" si="22"/>
        <v>-0.758287544405155</v>
      </c>
      <c r="AL14">
        <f t="shared" si="22"/>
        <v>-0.758287544405155</v>
      </c>
      <c r="AM14">
        <f t="shared" si="22"/>
        <v>-0.758287544405155</v>
      </c>
      <c r="AN14">
        <f t="shared" si="22"/>
        <v>-0.758287544405155</v>
      </c>
      <c r="AO14">
        <f t="shared" si="22"/>
        <v>-0.758287544405155</v>
      </c>
      <c r="AP14">
        <f t="shared" si="22"/>
        <v>-0.758287544405155</v>
      </c>
      <c r="AQ14">
        <f t="shared" si="22"/>
        <v>-0.758287544405155</v>
      </c>
      <c r="AR14">
        <f t="shared" si="22"/>
        <v>-0.758287544405155</v>
      </c>
      <c r="AS14">
        <f t="shared" si="22"/>
        <v>-0.758287544405155</v>
      </c>
      <c r="AT14">
        <f t="shared" si="22"/>
        <v>-0.758287544405155</v>
      </c>
      <c r="AU14">
        <f t="shared" si="22"/>
        <v>-0.758287544405155</v>
      </c>
      <c r="AV14">
        <f t="shared" si="22"/>
        <v>-0.758287544405155</v>
      </c>
      <c r="AW14">
        <f t="shared" si="22"/>
        <v>1.2638125740085917</v>
      </c>
      <c r="AX14">
        <f t="shared" si="22"/>
        <v>1.2638125740085917</v>
      </c>
      <c r="AY14">
        <f t="shared" si="22"/>
        <v>1.2638125740085917</v>
      </c>
      <c r="AZ14">
        <f t="shared" si="22"/>
        <v>1.2638125740085917</v>
      </c>
      <c r="BA14">
        <f t="shared" si="22"/>
        <v>1.2638125740085917</v>
      </c>
      <c r="BB14">
        <f t="shared" si="22"/>
        <v>1.2638125740085917</v>
      </c>
      <c r="BC14">
        <f t="shared" si="22"/>
        <v>1.2638125740085917</v>
      </c>
      <c r="BD14">
        <f t="shared" si="22"/>
        <v>1.2638125740085917</v>
      </c>
      <c r="BE14">
        <f t="shared" si="22"/>
        <v>1.2638125740085917</v>
      </c>
    </row>
    <row r="15" spans="1:60" x14ac:dyDescent="0.25">
      <c r="A15" t="s">
        <v>61</v>
      </c>
      <c r="B15">
        <v>11</v>
      </c>
      <c r="C15">
        <v>11</v>
      </c>
      <c r="D15">
        <v>11</v>
      </c>
      <c r="E15">
        <v>11</v>
      </c>
      <c r="F15">
        <v>11</v>
      </c>
      <c r="G15">
        <v>11</v>
      </c>
      <c r="H15">
        <v>11</v>
      </c>
      <c r="I15">
        <v>11</v>
      </c>
      <c r="J15">
        <v>11</v>
      </c>
      <c r="K15">
        <v>11</v>
      </c>
      <c r="L15">
        <v>11</v>
      </c>
      <c r="M15">
        <v>13</v>
      </c>
      <c r="N15">
        <v>13</v>
      </c>
      <c r="O15">
        <v>13</v>
      </c>
      <c r="P15">
        <v>13</v>
      </c>
      <c r="Q15">
        <v>13</v>
      </c>
      <c r="R15">
        <v>13</v>
      </c>
      <c r="S15">
        <v>13</v>
      </c>
      <c r="T15">
        <v>13</v>
      </c>
      <c r="U15">
        <v>13</v>
      </c>
      <c r="V15">
        <v>13</v>
      </c>
      <c r="W15">
        <v>13</v>
      </c>
      <c r="X15">
        <v>13</v>
      </c>
      <c r="Y15">
        <v>13</v>
      </c>
      <c r="Z15">
        <v>290</v>
      </c>
      <c r="AB15">
        <f t="shared" si="18"/>
        <v>12.083333333333334</v>
      </c>
      <c r="AC15">
        <f t="shared" si="19"/>
        <v>1.0179547554081028</v>
      </c>
      <c r="AD15" s="3">
        <f t="shared" si="20"/>
        <v>0</v>
      </c>
      <c r="AE15" s="3">
        <f t="shared" si="21"/>
        <v>1.2933234294834062E-2</v>
      </c>
      <c r="AG15" t="s">
        <v>61</v>
      </c>
      <c r="AH15">
        <f t="shared" si="23"/>
        <v>-1.0642254261084723</v>
      </c>
      <c r="AI15">
        <f t="shared" si="22"/>
        <v>-1.0642254261084723</v>
      </c>
      <c r="AJ15">
        <f t="shared" si="22"/>
        <v>-1.0642254261084723</v>
      </c>
      <c r="AK15">
        <f t="shared" si="22"/>
        <v>-1.0642254261084723</v>
      </c>
      <c r="AL15">
        <f t="shared" si="22"/>
        <v>-1.0642254261084723</v>
      </c>
      <c r="AM15">
        <f t="shared" si="22"/>
        <v>-1.0642254261084723</v>
      </c>
      <c r="AN15">
        <f t="shared" si="22"/>
        <v>-1.0642254261084723</v>
      </c>
      <c r="AO15">
        <f t="shared" si="22"/>
        <v>-1.0642254261084723</v>
      </c>
      <c r="AP15">
        <f t="shared" si="22"/>
        <v>-1.0642254261084723</v>
      </c>
      <c r="AQ15">
        <f t="shared" si="22"/>
        <v>-1.0642254261084723</v>
      </c>
      <c r="AR15">
        <f t="shared" si="22"/>
        <v>-1.0642254261084723</v>
      </c>
      <c r="AS15">
        <f t="shared" si="22"/>
        <v>0.90049843747639857</v>
      </c>
      <c r="AT15">
        <f t="shared" si="22"/>
        <v>0.90049843747639857</v>
      </c>
      <c r="AU15">
        <f t="shared" si="22"/>
        <v>0.90049843747639857</v>
      </c>
      <c r="AV15">
        <f t="shared" si="22"/>
        <v>0.90049843747639857</v>
      </c>
      <c r="AW15">
        <f t="shared" si="22"/>
        <v>0.90049843747639857</v>
      </c>
      <c r="AX15">
        <f t="shared" si="22"/>
        <v>0.90049843747639857</v>
      </c>
      <c r="AY15">
        <f t="shared" si="22"/>
        <v>0.90049843747639857</v>
      </c>
      <c r="AZ15">
        <f t="shared" si="22"/>
        <v>0.90049843747639857</v>
      </c>
      <c r="BA15">
        <f t="shared" si="22"/>
        <v>0.90049843747639857</v>
      </c>
      <c r="BB15">
        <f t="shared" si="22"/>
        <v>0.90049843747639857</v>
      </c>
      <c r="BC15">
        <f t="shared" si="22"/>
        <v>0.90049843747639857</v>
      </c>
      <c r="BD15">
        <f t="shared" si="22"/>
        <v>0.90049843747639857</v>
      </c>
      <c r="BE15">
        <f t="shared" si="22"/>
        <v>0.90049843747639857</v>
      </c>
    </row>
    <row r="16" spans="1:60" x14ac:dyDescent="0.25">
      <c r="A16" t="s">
        <v>58</v>
      </c>
      <c r="B16">
        <v>8</v>
      </c>
      <c r="C16">
        <v>8</v>
      </c>
      <c r="D16">
        <v>8</v>
      </c>
      <c r="E16">
        <v>8</v>
      </c>
      <c r="F16">
        <v>8</v>
      </c>
      <c r="G16">
        <v>8</v>
      </c>
      <c r="H16">
        <v>8</v>
      </c>
      <c r="I16">
        <v>8</v>
      </c>
      <c r="J16">
        <v>8</v>
      </c>
      <c r="K16">
        <v>8</v>
      </c>
      <c r="L16">
        <v>8</v>
      </c>
      <c r="M16">
        <v>8</v>
      </c>
      <c r="N16">
        <v>8</v>
      </c>
      <c r="O16">
        <v>8</v>
      </c>
      <c r="P16">
        <v>8</v>
      </c>
      <c r="Q16">
        <v>8</v>
      </c>
      <c r="R16">
        <v>8</v>
      </c>
      <c r="S16">
        <v>8</v>
      </c>
      <c r="T16">
        <v>8</v>
      </c>
      <c r="U16">
        <v>8</v>
      </c>
      <c r="V16">
        <v>8</v>
      </c>
      <c r="W16">
        <v>8</v>
      </c>
      <c r="X16">
        <v>8</v>
      </c>
      <c r="Y16">
        <v>8</v>
      </c>
      <c r="Z16">
        <v>192</v>
      </c>
      <c r="AB16">
        <f t="shared" si="18"/>
        <v>8</v>
      </c>
      <c r="AC16">
        <f t="shared" si="19"/>
        <v>0</v>
      </c>
      <c r="AD16" s="3">
        <f t="shared" si="20"/>
        <v>0</v>
      </c>
      <c r="AE16" s="3">
        <f t="shared" si="21"/>
        <v>0</v>
      </c>
      <c r="AG16" t="s">
        <v>58</v>
      </c>
      <c r="AH16">
        <f t="shared" si="23"/>
        <v>0</v>
      </c>
      <c r="AI16">
        <f t="shared" si="22"/>
        <v>0</v>
      </c>
      <c r="AJ16">
        <f t="shared" si="22"/>
        <v>0</v>
      </c>
      <c r="AK16">
        <f t="shared" si="22"/>
        <v>0</v>
      </c>
      <c r="AL16">
        <f t="shared" si="22"/>
        <v>0</v>
      </c>
      <c r="AM16">
        <f t="shared" si="22"/>
        <v>0</v>
      </c>
      <c r="AN16">
        <f t="shared" si="22"/>
        <v>0</v>
      </c>
      <c r="AO16">
        <f t="shared" si="22"/>
        <v>0</v>
      </c>
      <c r="AP16">
        <f t="shared" si="22"/>
        <v>0</v>
      </c>
      <c r="AQ16">
        <f t="shared" si="22"/>
        <v>0</v>
      </c>
      <c r="AR16">
        <f t="shared" si="22"/>
        <v>0</v>
      </c>
      <c r="AS16">
        <f t="shared" si="22"/>
        <v>0</v>
      </c>
      <c r="AT16">
        <f t="shared" si="22"/>
        <v>0</v>
      </c>
      <c r="AU16">
        <f t="shared" si="22"/>
        <v>0</v>
      </c>
      <c r="AV16">
        <f t="shared" si="22"/>
        <v>0</v>
      </c>
      <c r="AW16">
        <f t="shared" si="22"/>
        <v>0</v>
      </c>
      <c r="AX16">
        <f t="shared" si="22"/>
        <v>0</v>
      </c>
      <c r="AY16">
        <f t="shared" si="22"/>
        <v>0</v>
      </c>
      <c r="AZ16">
        <f t="shared" si="22"/>
        <v>0</v>
      </c>
      <c r="BA16">
        <f t="shared" si="22"/>
        <v>0</v>
      </c>
      <c r="BB16">
        <f t="shared" si="22"/>
        <v>0</v>
      </c>
      <c r="BC16">
        <f t="shared" si="22"/>
        <v>0</v>
      </c>
      <c r="BD16">
        <f t="shared" si="22"/>
        <v>0</v>
      </c>
      <c r="BE16">
        <f t="shared" si="22"/>
        <v>0</v>
      </c>
    </row>
    <row r="17" spans="1:57" x14ac:dyDescent="0.25">
      <c r="A17" t="s">
        <v>56</v>
      </c>
      <c r="B17">
        <v>9</v>
      </c>
      <c r="C17">
        <v>9</v>
      </c>
      <c r="D17">
        <v>9</v>
      </c>
      <c r="E17">
        <v>9</v>
      </c>
      <c r="F17">
        <v>9</v>
      </c>
      <c r="G17">
        <v>9</v>
      </c>
      <c r="H17">
        <v>9</v>
      </c>
      <c r="I17">
        <v>9</v>
      </c>
      <c r="J17">
        <v>9</v>
      </c>
      <c r="K17">
        <v>9</v>
      </c>
      <c r="L17">
        <v>9</v>
      </c>
      <c r="M17">
        <v>9</v>
      </c>
      <c r="N17">
        <v>9</v>
      </c>
      <c r="O17">
        <v>9</v>
      </c>
      <c r="P17">
        <v>9</v>
      </c>
      <c r="Q17">
        <v>9</v>
      </c>
      <c r="R17">
        <v>9</v>
      </c>
      <c r="S17">
        <v>9</v>
      </c>
      <c r="T17">
        <v>9</v>
      </c>
      <c r="U17">
        <v>9</v>
      </c>
      <c r="V17">
        <v>9</v>
      </c>
      <c r="W17">
        <v>9</v>
      </c>
      <c r="X17">
        <v>9</v>
      </c>
      <c r="Y17">
        <v>9</v>
      </c>
      <c r="Z17">
        <v>216</v>
      </c>
      <c r="AB17">
        <f t="shared" si="18"/>
        <v>9</v>
      </c>
      <c r="AC17">
        <f t="shared" si="19"/>
        <v>0</v>
      </c>
      <c r="AD17" s="3">
        <f t="shared" si="20"/>
        <v>0</v>
      </c>
      <c r="AE17" s="3">
        <f t="shared" si="21"/>
        <v>0</v>
      </c>
      <c r="AG17" t="s">
        <v>56</v>
      </c>
      <c r="AH17">
        <f t="shared" si="23"/>
        <v>0</v>
      </c>
      <c r="AI17">
        <f t="shared" si="22"/>
        <v>0</v>
      </c>
      <c r="AJ17">
        <f t="shared" si="22"/>
        <v>0</v>
      </c>
      <c r="AK17">
        <f t="shared" ref="AK17:AK62" si="24">IFERROR(+(E17-$AB17)/$AC17,0)</f>
        <v>0</v>
      </c>
      <c r="AL17">
        <f t="shared" ref="AL17:AL62" si="25">IFERROR(+(F17-$AB17)/$AC17,0)</f>
        <v>0</v>
      </c>
      <c r="AM17">
        <f t="shared" ref="AM17:AM62" si="26">IFERROR(+(G17-$AB17)/$AC17,0)</f>
        <v>0</v>
      </c>
      <c r="AN17">
        <f t="shared" ref="AN17:AN62" si="27">IFERROR(+(H17-$AB17)/$AC17,0)</f>
        <v>0</v>
      </c>
      <c r="AO17">
        <f t="shared" ref="AO17:AO62" si="28">IFERROR(+(I17-$AB17)/$AC17,0)</f>
        <v>0</v>
      </c>
      <c r="AP17">
        <f t="shared" ref="AP17:AP62" si="29">IFERROR(+(J17-$AB17)/$AC17,0)</f>
        <v>0</v>
      </c>
      <c r="AQ17">
        <f t="shared" ref="AQ17:AQ62" si="30">IFERROR(+(K17-$AB17)/$AC17,0)</f>
        <v>0</v>
      </c>
      <c r="AR17">
        <f t="shared" ref="AR17:AR62" si="31">IFERROR(+(L17-$AB17)/$AC17,0)</f>
        <v>0</v>
      </c>
      <c r="AS17">
        <f t="shared" ref="AS17:AS62" si="32">IFERROR(+(M17-$AB17)/$AC17,0)</f>
        <v>0</v>
      </c>
      <c r="AT17">
        <f t="shared" ref="AT17:AT62" si="33">IFERROR(+(N17-$AB17)/$AC17,0)</f>
        <v>0</v>
      </c>
      <c r="AU17">
        <f t="shared" ref="AU17:AU62" si="34">IFERROR(+(O17-$AB17)/$AC17,0)</f>
        <v>0</v>
      </c>
      <c r="AV17">
        <f t="shared" ref="AV17:AV62" si="35">IFERROR(+(P17-$AB17)/$AC17,0)</f>
        <v>0</v>
      </c>
      <c r="AW17">
        <f t="shared" ref="AW17:AW62" si="36">IFERROR(+(Q17-$AB17)/$AC17,0)</f>
        <v>0</v>
      </c>
      <c r="AX17">
        <f t="shared" ref="AX17:AX62" si="37">IFERROR(+(R17-$AB17)/$AC17,0)</f>
        <v>0</v>
      </c>
      <c r="AY17">
        <f t="shared" ref="AY17:AY62" si="38">IFERROR(+(S17-$AB17)/$AC17,0)</f>
        <v>0</v>
      </c>
      <c r="AZ17">
        <f t="shared" ref="AZ17:AZ62" si="39">IFERROR(+(T17-$AB17)/$AC17,0)</f>
        <v>0</v>
      </c>
      <c r="BA17">
        <f t="shared" ref="BA17:BA62" si="40">IFERROR(+(U17-$AB17)/$AC17,0)</f>
        <v>0</v>
      </c>
      <c r="BB17">
        <f t="shared" ref="BB17:BB62" si="41">IFERROR(+(V17-$AB17)/$AC17,0)</f>
        <v>0</v>
      </c>
      <c r="BC17">
        <f t="shared" ref="BC17:BC62" si="42">IFERROR(+(W17-$AB17)/$AC17,0)</f>
        <v>0</v>
      </c>
      <c r="BD17">
        <f t="shared" ref="BD17:BD62" si="43">IFERROR(+(X17-$AB17)/$AC17,0)</f>
        <v>0</v>
      </c>
      <c r="BE17">
        <f t="shared" ref="BE17:BE62" si="44">IFERROR(+(Y17-$AB17)/$AC17,0)</f>
        <v>0</v>
      </c>
    </row>
    <row r="18" spans="1:57" x14ac:dyDescent="0.25">
      <c r="A18" t="s">
        <v>55</v>
      </c>
      <c r="B18">
        <v>9</v>
      </c>
      <c r="C18">
        <v>9</v>
      </c>
      <c r="D18">
        <v>9</v>
      </c>
      <c r="E18">
        <v>9</v>
      </c>
      <c r="F18">
        <v>9</v>
      </c>
      <c r="G18">
        <v>9</v>
      </c>
      <c r="H18">
        <v>9</v>
      </c>
      <c r="I18">
        <v>9</v>
      </c>
      <c r="J18">
        <v>9</v>
      </c>
      <c r="K18">
        <v>9</v>
      </c>
      <c r="L18">
        <v>9</v>
      </c>
      <c r="M18">
        <v>9</v>
      </c>
      <c r="N18">
        <v>9</v>
      </c>
      <c r="O18">
        <v>9</v>
      </c>
      <c r="P18">
        <v>9</v>
      </c>
      <c r="Q18">
        <v>9</v>
      </c>
      <c r="R18">
        <v>9</v>
      </c>
      <c r="S18">
        <v>10</v>
      </c>
      <c r="T18">
        <v>10</v>
      </c>
      <c r="U18">
        <v>10</v>
      </c>
      <c r="V18">
        <v>10</v>
      </c>
      <c r="W18">
        <v>10</v>
      </c>
      <c r="X18">
        <v>10</v>
      </c>
      <c r="Y18">
        <v>10</v>
      </c>
      <c r="Z18">
        <v>187</v>
      </c>
      <c r="AB18">
        <f t="shared" si="18"/>
        <v>9.2916666666666661</v>
      </c>
      <c r="AC18">
        <f t="shared" si="19"/>
        <v>0.46430562148753651</v>
      </c>
      <c r="AD18" s="3">
        <f t="shared" si="20"/>
        <v>0</v>
      </c>
      <c r="AE18" s="3">
        <f t="shared" si="21"/>
        <v>8.1375866737092295E-3</v>
      </c>
      <c r="AG18" t="s">
        <v>55</v>
      </c>
      <c r="AH18">
        <f t="shared" si="23"/>
        <v>-0.62817819377725403</v>
      </c>
      <c r="AI18">
        <f t="shared" ref="AI18:AI62" si="45">IFERROR(+(C18-$AB18)/$AC18,0)</f>
        <v>-0.62817819377725403</v>
      </c>
      <c r="AJ18">
        <f t="shared" ref="AJ18:AJ62" si="46">IFERROR(+(D18-$AB18)/$AC18,0)</f>
        <v>-0.62817819377725403</v>
      </c>
      <c r="AK18">
        <f t="shared" si="24"/>
        <v>-0.62817819377725403</v>
      </c>
      <c r="AL18">
        <f t="shared" si="25"/>
        <v>-0.62817819377725403</v>
      </c>
      <c r="AM18">
        <f t="shared" si="26"/>
        <v>-0.62817819377725403</v>
      </c>
      <c r="AN18">
        <f t="shared" si="27"/>
        <v>-0.62817819377725403</v>
      </c>
      <c r="AO18">
        <f t="shared" si="28"/>
        <v>-0.62817819377725403</v>
      </c>
      <c r="AP18">
        <f t="shared" si="29"/>
        <v>-0.62817819377725403</v>
      </c>
      <c r="AQ18">
        <f t="shared" si="30"/>
        <v>-0.62817819377725403</v>
      </c>
      <c r="AR18">
        <f t="shared" si="31"/>
        <v>-0.62817819377725403</v>
      </c>
      <c r="AS18">
        <f t="shared" si="32"/>
        <v>-0.62817819377725403</v>
      </c>
      <c r="AT18">
        <f t="shared" si="33"/>
        <v>-0.62817819377725403</v>
      </c>
      <c r="AU18">
        <f t="shared" si="34"/>
        <v>-0.62817819377725403</v>
      </c>
      <c r="AV18">
        <f t="shared" si="35"/>
        <v>-0.62817819377725403</v>
      </c>
      <c r="AW18">
        <f t="shared" si="36"/>
        <v>-0.62817819377725403</v>
      </c>
      <c r="AX18">
        <f t="shared" si="37"/>
        <v>-0.62817819377725403</v>
      </c>
      <c r="AY18">
        <f t="shared" si="38"/>
        <v>1.5255756134590499</v>
      </c>
      <c r="AZ18">
        <f t="shared" si="39"/>
        <v>1.5255756134590499</v>
      </c>
      <c r="BA18">
        <f t="shared" si="40"/>
        <v>1.5255756134590499</v>
      </c>
      <c r="BB18">
        <f t="shared" si="41"/>
        <v>1.5255756134590499</v>
      </c>
      <c r="BC18">
        <f t="shared" si="42"/>
        <v>1.5255756134590499</v>
      </c>
      <c r="BD18">
        <f t="shared" si="43"/>
        <v>1.5255756134590499</v>
      </c>
      <c r="BE18">
        <f t="shared" si="44"/>
        <v>1.5255756134590499</v>
      </c>
    </row>
    <row r="19" spans="1:57" x14ac:dyDescent="0.25">
      <c r="A19" t="s">
        <v>51</v>
      </c>
      <c r="B19">
        <v>9</v>
      </c>
      <c r="C19">
        <v>9</v>
      </c>
      <c r="D19">
        <v>9</v>
      </c>
      <c r="E19">
        <v>9</v>
      </c>
      <c r="F19">
        <v>9</v>
      </c>
      <c r="G19">
        <v>9</v>
      </c>
      <c r="H19">
        <v>9</v>
      </c>
      <c r="I19">
        <v>9</v>
      </c>
      <c r="J19">
        <v>9</v>
      </c>
      <c r="K19">
        <v>9</v>
      </c>
      <c r="L19">
        <v>10</v>
      </c>
      <c r="M19">
        <v>10</v>
      </c>
      <c r="N19">
        <v>10</v>
      </c>
      <c r="O19">
        <v>10</v>
      </c>
      <c r="P19">
        <v>10</v>
      </c>
      <c r="Q19">
        <v>10</v>
      </c>
      <c r="R19">
        <v>10</v>
      </c>
      <c r="S19">
        <v>10</v>
      </c>
      <c r="T19">
        <v>10</v>
      </c>
      <c r="U19">
        <v>10</v>
      </c>
      <c r="V19">
        <v>10</v>
      </c>
      <c r="W19">
        <v>10</v>
      </c>
      <c r="X19">
        <v>10</v>
      </c>
      <c r="Y19">
        <v>10</v>
      </c>
      <c r="Z19">
        <v>230</v>
      </c>
      <c r="AB19">
        <f t="shared" si="18"/>
        <v>9.5833333333333339</v>
      </c>
      <c r="AC19">
        <f t="shared" si="19"/>
        <v>0.50361015518533492</v>
      </c>
      <c r="AD19" s="3">
        <f t="shared" si="20"/>
        <v>1.0591751203291366E-2</v>
      </c>
      <c r="AE19" s="3">
        <f t="shared" si="21"/>
        <v>0</v>
      </c>
      <c r="AG19" t="s">
        <v>51</v>
      </c>
      <c r="AH19">
        <f t="shared" si="23"/>
        <v>-1.1583033569262715</v>
      </c>
      <c r="AI19">
        <f t="shared" si="45"/>
        <v>-1.1583033569262715</v>
      </c>
      <c r="AJ19">
        <f t="shared" si="46"/>
        <v>-1.1583033569262715</v>
      </c>
      <c r="AK19">
        <f t="shared" si="24"/>
        <v>-1.1583033569262715</v>
      </c>
      <c r="AL19">
        <f t="shared" si="25"/>
        <v>-1.1583033569262715</v>
      </c>
      <c r="AM19">
        <f t="shared" si="26"/>
        <v>-1.1583033569262715</v>
      </c>
      <c r="AN19">
        <f t="shared" si="27"/>
        <v>-1.1583033569262715</v>
      </c>
      <c r="AO19">
        <f t="shared" si="28"/>
        <v>-1.1583033569262715</v>
      </c>
      <c r="AP19">
        <f t="shared" si="29"/>
        <v>-1.1583033569262715</v>
      </c>
      <c r="AQ19">
        <f t="shared" si="30"/>
        <v>-1.1583033569262715</v>
      </c>
      <c r="AR19">
        <f t="shared" si="31"/>
        <v>0.82735954066162043</v>
      </c>
      <c r="AS19">
        <f t="shared" si="32"/>
        <v>0.82735954066162043</v>
      </c>
      <c r="AT19">
        <f t="shared" si="33"/>
        <v>0.82735954066162043</v>
      </c>
      <c r="AU19">
        <f t="shared" si="34"/>
        <v>0.82735954066162043</v>
      </c>
      <c r="AV19">
        <f t="shared" si="35"/>
        <v>0.82735954066162043</v>
      </c>
      <c r="AW19">
        <f t="shared" si="36"/>
        <v>0.82735954066162043</v>
      </c>
      <c r="AX19">
        <f t="shared" si="37"/>
        <v>0.82735954066162043</v>
      </c>
      <c r="AY19">
        <f t="shared" si="38"/>
        <v>0.82735954066162043</v>
      </c>
      <c r="AZ19">
        <f t="shared" si="39"/>
        <v>0.82735954066162043</v>
      </c>
      <c r="BA19">
        <f t="shared" si="40"/>
        <v>0.82735954066162043</v>
      </c>
      <c r="BB19">
        <f t="shared" si="41"/>
        <v>0.82735954066162043</v>
      </c>
      <c r="BC19">
        <f t="shared" si="42"/>
        <v>0.82735954066162043</v>
      </c>
      <c r="BD19">
        <f t="shared" si="43"/>
        <v>0.82735954066162043</v>
      </c>
      <c r="BE19">
        <f t="shared" si="44"/>
        <v>0.82735954066162043</v>
      </c>
    </row>
    <row r="20" spans="1:57" x14ac:dyDescent="0.25">
      <c r="A20" t="s">
        <v>49</v>
      </c>
      <c r="B20">
        <v>10</v>
      </c>
      <c r="C20">
        <v>10</v>
      </c>
      <c r="D20">
        <v>10</v>
      </c>
      <c r="E20">
        <v>10</v>
      </c>
      <c r="F20">
        <v>10</v>
      </c>
      <c r="G20">
        <v>10</v>
      </c>
      <c r="H20">
        <v>10</v>
      </c>
      <c r="I20">
        <v>10</v>
      </c>
      <c r="J20">
        <v>10</v>
      </c>
      <c r="K20">
        <v>10</v>
      </c>
      <c r="L20">
        <v>15</v>
      </c>
      <c r="M20">
        <v>15</v>
      </c>
      <c r="N20">
        <v>15</v>
      </c>
      <c r="O20">
        <v>15</v>
      </c>
      <c r="P20">
        <v>15</v>
      </c>
      <c r="Q20">
        <v>15</v>
      </c>
      <c r="R20">
        <v>15</v>
      </c>
      <c r="S20">
        <v>15</v>
      </c>
      <c r="T20">
        <v>15</v>
      </c>
      <c r="U20">
        <v>15</v>
      </c>
      <c r="V20">
        <v>15</v>
      </c>
      <c r="W20">
        <v>15</v>
      </c>
      <c r="X20">
        <v>15</v>
      </c>
      <c r="Y20">
        <v>15</v>
      </c>
      <c r="Z20">
        <v>310</v>
      </c>
      <c r="AB20">
        <f t="shared" si="18"/>
        <v>12.916666666666666</v>
      </c>
      <c r="AC20">
        <f t="shared" si="19"/>
        <v>2.5180507759266759</v>
      </c>
      <c r="AD20" s="3">
        <f t="shared" si="20"/>
        <v>4.1379743992410623E-2</v>
      </c>
      <c r="AE20" s="3">
        <f t="shared" si="21"/>
        <v>0</v>
      </c>
      <c r="AG20" t="s">
        <v>49</v>
      </c>
      <c r="AH20">
        <f t="shared" si="23"/>
        <v>-1.1583033569262693</v>
      </c>
      <c r="AI20">
        <f t="shared" si="45"/>
        <v>-1.1583033569262693</v>
      </c>
      <c r="AJ20">
        <f t="shared" si="46"/>
        <v>-1.1583033569262693</v>
      </c>
      <c r="AK20">
        <f t="shared" si="24"/>
        <v>-1.1583033569262693</v>
      </c>
      <c r="AL20">
        <f t="shared" si="25"/>
        <v>-1.1583033569262693</v>
      </c>
      <c r="AM20">
        <f t="shared" si="26"/>
        <v>-1.1583033569262693</v>
      </c>
      <c r="AN20">
        <f t="shared" si="27"/>
        <v>-1.1583033569262693</v>
      </c>
      <c r="AO20">
        <f t="shared" si="28"/>
        <v>-1.1583033569262693</v>
      </c>
      <c r="AP20">
        <f t="shared" si="29"/>
        <v>-1.1583033569262693</v>
      </c>
      <c r="AQ20">
        <f t="shared" si="30"/>
        <v>-1.1583033569262693</v>
      </c>
      <c r="AR20">
        <f t="shared" si="31"/>
        <v>0.82735954066162143</v>
      </c>
      <c r="AS20">
        <f t="shared" si="32"/>
        <v>0.82735954066162143</v>
      </c>
      <c r="AT20">
        <f t="shared" si="33"/>
        <v>0.82735954066162143</v>
      </c>
      <c r="AU20">
        <f t="shared" si="34"/>
        <v>0.82735954066162143</v>
      </c>
      <c r="AV20">
        <f t="shared" si="35"/>
        <v>0.82735954066162143</v>
      </c>
      <c r="AW20">
        <f t="shared" si="36"/>
        <v>0.82735954066162143</v>
      </c>
      <c r="AX20">
        <f t="shared" si="37"/>
        <v>0.82735954066162143</v>
      </c>
      <c r="AY20">
        <f t="shared" si="38"/>
        <v>0.82735954066162143</v>
      </c>
      <c r="AZ20">
        <f t="shared" si="39"/>
        <v>0.82735954066162143</v>
      </c>
      <c r="BA20">
        <f t="shared" si="40"/>
        <v>0.82735954066162143</v>
      </c>
      <c r="BB20">
        <f t="shared" si="41"/>
        <v>0.82735954066162143</v>
      </c>
      <c r="BC20">
        <f t="shared" si="42"/>
        <v>0.82735954066162143</v>
      </c>
      <c r="BD20">
        <f t="shared" si="43"/>
        <v>0.82735954066162143</v>
      </c>
      <c r="BE20">
        <f t="shared" si="44"/>
        <v>0.82735954066162143</v>
      </c>
    </row>
    <row r="21" spans="1:57" x14ac:dyDescent="0.25">
      <c r="A21" t="s">
        <v>57</v>
      </c>
      <c r="B21">
        <v>9</v>
      </c>
      <c r="C21">
        <v>9</v>
      </c>
      <c r="D21">
        <v>9</v>
      </c>
      <c r="E21">
        <v>9</v>
      </c>
      <c r="F21">
        <v>9</v>
      </c>
      <c r="G21">
        <v>9</v>
      </c>
      <c r="H21">
        <v>9</v>
      </c>
      <c r="I21">
        <v>9</v>
      </c>
      <c r="J21">
        <v>9</v>
      </c>
      <c r="K21">
        <v>9</v>
      </c>
      <c r="L21">
        <v>9</v>
      </c>
      <c r="M21">
        <v>9</v>
      </c>
      <c r="N21">
        <v>9</v>
      </c>
      <c r="O21">
        <v>9</v>
      </c>
      <c r="P21">
        <v>9</v>
      </c>
      <c r="Q21">
        <v>9</v>
      </c>
      <c r="R21">
        <v>9</v>
      </c>
      <c r="S21">
        <v>9</v>
      </c>
      <c r="T21">
        <v>9</v>
      </c>
      <c r="U21">
        <v>9</v>
      </c>
      <c r="V21">
        <v>9</v>
      </c>
      <c r="W21">
        <v>9</v>
      </c>
      <c r="X21">
        <v>9</v>
      </c>
      <c r="Y21">
        <v>9</v>
      </c>
      <c r="Z21">
        <v>216</v>
      </c>
      <c r="AB21">
        <f t="shared" si="18"/>
        <v>9</v>
      </c>
      <c r="AC21">
        <f t="shared" si="19"/>
        <v>0</v>
      </c>
      <c r="AD21" s="3">
        <f t="shared" si="20"/>
        <v>0</v>
      </c>
      <c r="AE21" s="3">
        <f t="shared" si="21"/>
        <v>0</v>
      </c>
      <c r="AG21" t="s">
        <v>57</v>
      </c>
      <c r="AH21">
        <f t="shared" si="23"/>
        <v>0</v>
      </c>
      <c r="AI21">
        <f t="shared" si="45"/>
        <v>0</v>
      </c>
      <c r="AJ21">
        <f t="shared" si="46"/>
        <v>0</v>
      </c>
      <c r="AK21">
        <f t="shared" si="24"/>
        <v>0</v>
      </c>
      <c r="AL21">
        <f t="shared" si="25"/>
        <v>0</v>
      </c>
      <c r="AM21">
        <f t="shared" si="26"/>
        <v>0</v>
      </c>
      <c r="AN21">
        <f t="shared" si="27"/>
        <v>0</v>
      </c>
      <c r="AO21">
        <f t="shared" si="28"/>
        <v>0</v>
      </c>
      <c r="AP21">
        <f t="shared" si="29"/>
        <v>0</v>
      </c>
      <c r="AQ21">
        <f t="shared" si="30"/>
        <v>0</v>
      </c>
      <c r="AR21">
        <f t="shared" si="31"/>
        <v>0</v>
      </c>
      <c r="AS21">
        <f t="shared" si="32"/>
        <v>0</v>
      </c>
      <c r="AT21">
        <f t="shared" si="33"/>
        <v>0</v>
      </c>
      <c r="AU21">
        <f t="shared" si="34"/>
        <v>0</v>
      </c>
      <c r="AV21">
        <f t="shared" si="35"/>
        <v>0</v>
      </c>
      <c r="AW21">
        <f t="shared" si="36"/>
        <v>0</v>
      </c>
      <c r="AX21">
        <f t="shared" si="37"/>
        <v>0</v>
      </c>
      <c r="AY21">
        <f t="shared" si="38"/>
        <v>0</v>
      </c>
      <c r="AZ21">
        <f t="shared" si="39"/>
        <v>0</v>
      </c>
      <c r="BA21">
        <f t="shared" si="40"/>
        <v>0</v>
      </c>
      <c r="BB21">
        <f t="shared" si="41"/>
        <v>0</v>
      </c>
      <c r="BC21">
        <f t="shared" si="42"/>
        <v>0</v>
      </c>
      <c r="BD21">
        <f t="shared" si="43"/>
        <v>0</v>
      </c>
      <c r="BE21">
        <f t="shared" si="44"/>
        <v>0</v>
      </c>
    </row>
    <row r="22" spans="1:57" x14ac:dyDescent="0.25">
      <c r="A22" t="s">
        <v>53</v>
      </c>
      <c r="B22">
        <v>9</v>
      </c>
      <c r="C22">
        <v>9</v>
      </c>
      <c r="D22">
        <v>9</v>
      </c>
      <c r="E22">
        <v>9</v>
      </c>
      <c r="F22">
        <v>9</v>
      </c>
      <c r="G22">
        <v>9</v>
      </c>
      <c r="H22">
        <v>9</v>
      </c>
      <c r="I22">
        <v>9</v>
      </c>
      <c r="J22">
        <v>9</v>
      </c>
      <c r="K22">
        <v>9</v>
      </c>
      <c r="L22">
        <v>9</v>
      </c>
      <c r="M22">
        <v>9</v>
      </c>
      <c r="N22">
        <v>9</v>
      </c>
      <c r="O22">
        <v>9</v>
      </c>
      <c r="P22">
        <v>9</v>
      </c>
      <c r="Q22">
        <v>9</v>
      </c>
      <c r="R22">
        <v>10</v>
      </c>
      <c r="S22">
        <v>10</v>
      </c>
      <c r="T22">
        <v>10</v>
      </c>
      <c r="U22">
        <v>10</v>
      </c>
      <c r="V22">
        <v>10</v>
      </c>
      <c r="W22">
        <v>10</v>
      </c>
      <c r="X22">
        <v>11</v>
      </c>
      <c r="Y22">
        <v>11</v>
      </c>
      <c r="Z22">
        <v>226</v>
      </c>
      <c r="AB22">
        <f t="shared" si="18"/>
        <v>9.4166666666666661</v>
      </c>
      <c r="AC22">
        <f t="shared" si="19"/>
        <v>0.65386254815829459</v>
      </c>
      <c r="AD22" s="3">
        <f t="shared" si="20"/>
        <v>0</v>
      </c>
      <c r="AE22" s="3">
        <f t="shared" si="21"/>
        <v>1.5555960979025896E-2</v>
      </c>
      <c r="AG22" t="s">
        <v>53</v>
      </c>
      <c r="AH22">
        <f t="shared" si="23"/>
        <v>-0.6372389240525741</v>
      </c>
      <c r="AI22">
        <f t="shared" si="45"/>
        <v>-0.6372389240525741</v>
      </c>
      <c r="AJ22">
        <f t="shared" si="46"/>
        <v>-0.6372389240525741</v>
      </c>
      <c r="AK22">
        <f t="shared" si="24"/>
        <v>-0.6372389240525741</v>
      </c>
      <c r="AL22">
        <f t="shared" si="25"/>
        <v>-0.6372389240525741</v>
      </c>
      <c r="AM22">
        <f t="shared" si="26"/>
        <v>-0.6372389240525741</v>
      </c>
      <c r="AN22">
        <f t="shared" si="27"/>
        <v>-0.6372389240525741</v>
      </c>
      <c r="AO22">
        <f t="shared" si="28"/>
        <v>-0.6372389240525741</v>
      </c>
      <c r="AP22">
        <f t="shared" si="29"/>
        <v>-0.6372389240525741</v>
      </c>
      <c r="AQ22">
        <f t="shared" si="30"/>
        <v>-0.6372389240525741</v>
      </c>
      <c r="AR22">
        <f t="shared" si="31"/>
        <v>-0.6372389240525741</v>
      </c>
      <c r="AS22">
        <f t="shared" si="32"/>
        <v>-0.6372389240525741</v>
      </c>
      <c r="AT22">
        <f t="shared" si="33"/>
        <v>-0.6372389240525741</v>
      </c>
      <c r="AU22">
        <f t="shared" si="34"/>
        <v>-0.6372389240525741</v>
      </c>
      <c r="AV22">
        <f t="shared" si="35"/>
        <v>-0.6372389240525741</v>
      </c>
      <c r="AW22">
        <f t="shared" si="36"/>
        <v>-0.6372389240525741</v>
      </c>
      <c r="AX22">
        <f t="shared" si="37"/>
        <v>0.89213449367360598</v>
      </c>
      <c r="AY22">
        <f t="shared" si="38"/>
        <v>0.89213449367360598</v>
      </c>
      <c r="AZ22">
        <f t="shared" si="39"/>
        <v>0.89213449367360598</v>
      </c>
      <c r="BA22">
        <f t="shared" si="40"/>
        <v>0.89213449367360598</v>
      </c>
      <c r="BB22">
        <f t="shared" si="41"/>
        <v>0.89213449367360598</v>
      </c>
      <c r="BC22">
        <f t="shared" si="42"/>
        <v>0.89213449367360598</v>
      </c>
      <c r="BD22">
        <f t="shared" si="43"/>
        <v>2.4215079113997859</v>
      </c>
      <c r="BE22">
        <f t="shared" si="44"/>
        <v>2.4215079113997859</v>
      </c>
    </row>
    <row r="23" spans="1:57" x14ac:dyDescent="0.25">
      <c r="A23" t="s">
        <v>50</v>
      </c>
      <c r="B23">
        <v>10</v>
      </c>
      <c r="C23">
        <v>10</v>
      </c>
      <c r="D23">
        <v>10</v>
      </c>
      <c r="E23">
        <v>10</v>
      </c>
      <c r="F23">
        <v>10</v>
      </c>
      <c r="G23">
        <v>10</v>
      </c>
      <c r="H23">
        <v>10</v>
      </c>
      <c r="I23">
        <v>10</v>
      </c>
      <c r="J23">
        <v>10</v>
      </c>
      <c r="K23">
        <v>10</v>
      </c>
      <c r="L23">
        <v>10</v>
      </c>
      <c r="M23">
        <v>10</v>
      </c>
      <c r="N23">
        <v>10</v>
      </c>
      <c r="O23">
        <v>10</v>
      </c>
      <c r="P23">
        <v>10</v>
      </c>
      <c r="Q23">
        <v>10</v>
      </c>
      <c r="R23">
        <v>10</v>
      </c>
      <c r="S23">
        <v>10</v>
      </c>
      <c r="T23">
        <v>10</v>
      </c>
      <c r="U23">
        <v>10</v>
      </c>
      <c r="V23">
        <v>13</v>
      </c>
      <c r="W23">
        <v>13</v>
      </c>
      <c r="X23">
        <v>13</v>
      </c>
      <c r="Y23">
        <v>13</v>
      </c>
      <c r="Z23">
        <v>252</v>
      </c>
      <c r="AB23">
        <f t="shared" si="18"/>
        <v>10.5</v>
      </c>
      <c r="AC23">
        <f t="shared" si="19"/>
        <v>1.1420804814403216</v>
      </c>
      <c r="AD23" s="3">
        <f t="shared" si="20"/>
        <v>0</v>
      </c>
      <c r="AE23" s="3">
        <f t="shared" si="21"/>
        <v>2.0386897344028876E-2</v>
      </c>
      <c r="AG23" t="s">
        <v>50</v>
      </c>
      <c r="AH23">
        <f t="shared" si="23"/>
        <v>-0.43779751788545651</v>
      </c>
      <c r="AI23">
        <f t="shared" si="45"/>
        <v>-0.43779751788545651</v>
      </c>
      <c r="AJ23">
        <f t="shared" si="46"/>
        <v>-0.43779751788545651</v>
      </c>
      <c r="AK23">
        <f t="shared" si="24"/>
        <v>-0.43779751788545651</v>
      </c>
      <c r="AL23">
        <f t="shared" si="25"/>
        <v>-0.43779751788545651</v>
      </c>
      <c r="AM23">
        <f t="shared" si="26"/>
        <v>-0.43779751788545651</v>
      </c>
      <c r="AN23">
        <f t="shared" si="27"/>
        <v>-0.43779751788545651</v>
      </c>
      <c r="AO23">
        <f t="shared" si="28"/>
        <v>-0.43779751788545651</v>
      </c>
      <c r="AP23">
        <f t="shared" si="29"/>
        <v>-0.43779751788545651</v>
      </c>
      <c r="AQ23">
        <f t="shared" si="30"/>
        <v>-0.43779751788545651</v>
      </c>
      <c r="AR23">
        <f t="shared" si="31"/>
        <v>-0.43779751788545651</v>
      </c>
      <c r="AS23">
        <f t="shared" si="32"/>
        <v>-0.43779751788545651</v>
      </c>
      <c r="AT23">
        <f t="shared" si="33"/>
        <v>-0.43779751788545651</v>
      </c>
      <c r="AU23">
        <f t="shared" si="34"/>
        <v>-0.43779751788545651</v>
      </c>
      <c r="AV23">
        <f t="shared" si="35"/>
        <v>-0.43779751788545651</v>
      </c>
      <c r="AW23">
        <f t="shared" si="36"/>
        <v>-0.43779751788545651</v>
      </c>
      <c r="AX23">
        <f t="shared" si="37"/>
        <v>-0.43779751788545651</v>
      </c>
      <c r="AY23">
        <f t="shared" si="38"/>
        <v>-0.43779751788545651</v>
      </c>
      <c r="AZ23">
        <f t="shared" si="39"/>
        <v>-0.43779751788545651</v>
      </c>
      <c r="BA23">
        <f t="shared" si="40"/>
        <v>-0.43779751788545651</v>
      </c>
      <c r="BB23">
        <f t="shared" si="41"/>
        <v>2.1889875894272826</v>
      </c>
      <c r="BC23">
        <f t="shared" si="42"/>
        <v>2.1889875894272826</v>
      </c>
      <c r="BD23">
        <f t="shared" si="43"/>
        <v>2.1889875894272826</v>
      </c>
      <c r="BE23">
        <f t="shared" si="44"/>
        <v>2.1889875894272826</v>
      </c>
    </row>
    <row r="24" spans="1:57" x14ac:dyDescent="0.25">
      <c r="A24" t="s">
        <v>54</v>
      </c>
      <c r="B24">
        <v>13</v>
      </c>
      <c r="C24">
        <v>13</v>
      </c>
      <c r="D24">
        <v>13</v>
      </c>
      <c r="E24">
        <v>13</v>
      </c>
      <c r="F24">
        <v>13</v>
      </c>
      <c r="G24">
        <v>13</v>
      </c>
      <c r="H24">
        <v>13</v>
      </c>
      <c r="I24">
        <v>13</v>
      </c>
      <c r="J24">
        <v>13</v>
      </c>
      <c r="K24">
        <v>13</v>
      </c>
      <c r="L24">
        <v>13</v>
      </c>
      <c r="M24">
        <v>13</v>
      </c>
      <c r="N24">
        <v>13</v>
      </c>
      <c r="O24">
        <v>13</v>
      </c>
      <c r="P24">
        <v>13</v>
      </c>
      <c r="Q24">
        <v>13</v>
      </c>
      <c r="R24">
        <v>13</v>
      </c>
      <c r="S24">
        <v>13</v>
      </c>
      <c r="T24">
        <v>13</v>
      </c>
      <c r="U24">
        <v>13</v>
      </c>
      <c r="V24">
        <v>13</v>
      </c>
      <c r="W24">
        <v>13</v>
      </c>
      <c r="X24">
        <v>13</v>
      </c>
      <c r="Y24">
        <v>13</v>
      </c>
      <c r="Z24">
        <v>312</v>
      </c>
      <c r="AB24">
        <f t="shared" si="18"/>
        <v>13</v>
      </c>
      <c r="AC24">
        <f t="shared" si="19"/>
        <v>0</v>
      </c>
      <c r="AD24" s="3">
        <f t="shared" si="20"/>
        <v>0</v>
      </c>
      <c r="AE24" s="3">
        <f t="shared" si="21"/>
        <v>0</v>
      </c>
      <c r="AG24" t="s">
        <v>54</v>
      </c>
      <c r="AH24">
        <f t="shared" si="23"/>
        <v>0</v>
      </c>
      <c r="AI24">
        <f t="shared" si="45"/>
        <v>0</v>
      </c>
      <c r="AJ24">
        <f t="shared" si="46"/>
        <v>0</v>
      </c>
      <c r="AK24">
        <f t="shared" si="24"/>
        <v>0</v>
      </c>
      <c r="AL24">
        <f t="shared" si="25"/>
        <v>0</v>
      </c>
      <c r="AM24">
        <f t="shared" si="26"/>
        <v>0</v>
      </c>
      <c r="AN24">
        <f t="shared" si="27"/>
        <v>0</v>
      </c>
      <c r="AO24">
        <f t="shared" si="28"/>
        <v>0</v>
      </c>
      <c r="AP24">
        <f t="shared" si="29"/>
        <v>0</v>
      </c>
      <c r="AQ24">
        <f t="shared" si="30"/>
        <v>0</v>
      </c>
      <c r="AR24">
        <f t="shared" si="31"/>
        <v>0</v>
      </c>
      <c r="AS24">
        <f t="shared" si="32"/>
        <v>0</v>
      </c>
      <c r="AT24">
        <f t="shared" si="33"/>
        <v>0</v>
      </c>
      <c r="AU24">
        <f t="shared" si="34"/>
        <v>0</v>
      </c>
      <c r="AV24">
        <f t="shared" si="35"/>
        <v>0</v>
      </c>
      <c r="AW24">
        <f t="shared" si="36"/>
        <v>0</v>
      </c>
      <c r="AX24">
        <f t="shared" si="37"/>
        <v>0</v>
      </c>
      <c r="AY24">
        <f t="shared" si="38"/>
        <v>0</v>
      </c>
      <c r="AZ24">
        <f t="shared" si="39"/>
        <v>0</v>
      </c>
      <c r="BA24">
        <f t="shared" si="40"/>
        <v>0</v>
      </c>
      <c r="BB24">
        <f t="shared" si="41"/>
        <v>0</v>
      </c>
      <c r="BC24">
        <f t="shared" si="42"/>
        <v>0</v>
      </c>
      <c r="BD24">
        <f t="shared" si="43"/>
        <v>0</v>
      </c>
      <c r="BE24">
        <f t="shared" si="44"/>
        <v>0</v>
      </c>
    </row>
    <row r="25" spans="1:57" x14ac:dyDescent="0.25">
      <c r="A25" t="s">
        <v>52</v>
      </c>
      <c r="B25">
        <v>9</v>
      </c>
      <c r="C25">
        <v>9</v>
      </c>
      <c r="D25">
        <v>9</v>
      </c>
      <c r="E25">
        <v>9</v>
      </c>
      <c r="F25">
        <v>9</v>
      </c>
      <c r="G25">
        <v>9</v>
      </c>
      <c r="H25">
        <v>9</v>
      </c>
      <c r="I25">
        <v>9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10</v>
      </c>
      <c r="W25">
        <v>10</v>
      </c>
      <c r="X25">
        <v>10</v>
      </c>
      <c r="Y25">
        <v>10</v>
      </c>
      <c r="Z25">
        <v>232</v>
      </c>
      <c r="AB25">
        <f t="shared" si="18"/>
        <v>9.6666666666666661</v>
      </c>
      <c r="AC25">
        <f t="shared" si="19"/>
        <v>0.48154341234307685</v>
      </c>
      <c r="AD25" s="3">
        <f t="shared" si="20"/>
        <v>1.0591751203291366E-2</v>
      </c>
      <c r="AE25" s="3">
        <f t="shared" si="21"/>
        <v>0</v>
      </c>
      <c r="AG25" t="s">
        <v>52</v>
      </c>
      <c r="AH25">
        <f t="shared" si="23"/>
        <v>-1.3844373104863446</v>
      </c>
      <c r="AI25">
        <f t="shared" si="45"/>
        <v>-1.3844373104863446</v>
      </c>
      <c r="AJ25">
        <f t="shared" si="46"/>
        <v>-1.3844373104863446</v>
      </c>
      <c r="AK25">
        <f t="shared" si="24"/>
        <v>-1.3844373104863446</v>
      </c>
      <c r="AL25">
        <f t="shared" si="25"/>
        <v>-1.3844373104863446</v>
      </c>
      <c r="AM25">
        <f t="shared" si="26"/>
        <v>-1.3844373104863446</v>
      </c>
      <c r="AN25">
        <f t="shared" si="27"/>
        <v>-1.3844373104863446</v>
      </c>
      <c r="AO25">
        <f t="shared" si="28"/>
        <v>-1.3844373104863446</v>
      </c>
      <c r="AP25">
        <f t="shared" si="29"/>
        <v>0.69221865524317405</v>
      </c>
      <c r="AQ25">
        <f t="shared" si="30"/>
        <v>0.69221865524317405</v>
      </c>
      <c r="AR25">
        <f t="shared" si="31"/>
        <v>0.69221865524317405</v>
      </c>
      <c r="AS25">
        <f t="shared" si="32"/>
        <v>0.69221865524317405</v>
      </c>
      <c r="AT25">
        <f t="shared" si="33"/>
        <v>0.69221865524317405</v>
      </c>
      <c r="AU25">
        <f t="shared" si="34"/>
        <v>0.69221865524317405</v>
      </c>
      <c r="AV25">
        <f t="shared" si="35"/>
        <v>0.69221865524317405</v>
      </c>
      <c r="AW25">
        <f t="shared" si="36"/>
        <v>0.69221865524317405</v>
      </c>
      <c r="AX25">
        <f t="shared" si="37"/>
        <v>0.69221865524317405</v>
      </c>
      <c r="AY25">
        <f t="shared" si="38"/>
        <v>0.69221865524317405</v>
      </c>
      <c r="AZ25">
        <f t="shared" si="39"/>
        <v>0.69221865524317405</v>
      </c>
      <c r="BA25">
        <f t="shared" si="40"/>
        <v>0.69221865524317405</v>
      </c>
      <c r="BB25">
        <f t="shared" si="41"/>
        <v>0.69221865524317405</v>
      </c>
      <c r="BC25">
        <f t="shared" si="42"/>
        <v>0.69221865524317405</v>
      </c>
      <c r="BD25">
        <f t="shared" si="43"/>
        <v>0.69221865524317405</v>
      </c>
      <c r="BE25">
        <f t="shared" si="44"/>
        <v>0.69221865524317405</v>
      </c>
    </row>
    <row r="26" spans="1:57" x14ac:dyDescent="0.25">
      <c r="A26" t="s">
        <v>48</v>
      </c>
      <c r="B26">
        <v>9</v>
      </c>
      <c r="C26">
        <v>9</v>
      </c>
      <c r="D26">
        <v>9</v>
      </c>
      <c r="E26">
        <v>9</v>
      </c>
      <c r="F26">
        <v>9</v>
      </c>
      <c r="G26">
        <v>9</v>
      </c>
      <c r="H26">
        <v>9</v>
      </c>
      <c r="I26">
        <v>9</v>
      </c>
      <c r="J26">
        <v>9</v>
      </c>
      <c r="K26">
        <v>9</v>
      </c>
      <c r="L26">
        <v>9</v>
      </c>
      <c r="M26">
        <v>9</v>
      </c>
      <c r="N26">
        <v>9</v>
      </c>
      <c r="O26">
        <v>9</v>
      </c>
      <c r="P26">
        <v>9</v>
      </c>
      <c r="Q26">
        <v>9</v>
      </c>
      <c r="R26">
        <v>9</v>
      </c>
      <c r="S26">
        <v>9</v>
      </c>
      <c r="T26">
        <v>9</v>
      </c>
      <c r="U26">
        <v>9</v>
      </c>
      <c r="V26">
        <v>9</v>
      </c>
      <c r="W26">
        <v>9</v>
      </c>
      <c r="X26">
        <v>9</v>
      </c>
      <c r="Y26">
        <v>9</v>
      </c>
      <c r="Z26">
        <v>216</v>
      </c>
      <c r="AB26">
        <f t="shared" si="18"/>
        <v>9</v>
      </c>
      <c r="AC26">
        <f t="shared" si="19"/>
        <v>0</v>
      </c>
      <c r="AD26" s="3">
        <f t="shared" si="20"/>
        <v>0</v>
      </c>
      <c r="AE26" s="3">
        <f t="shared" si="21"/>
        <v>0</v>
      </c>
      <c r="AG26" t="s">
        <v>48</v>
      </c>
      <c r="AH26">
        <f t="shared" si="23"/>
        <v>0</v>
      </c>
      <c r="AI26">
        <f t="shared" si="45"/>
        <v>0</v>
      </c>
      <c r="AJ26">
        <f t="shared" si="46"/>
        <v>0</v>
      </c>
      <c r="AK26">
        <f t="shared" si="24"/>
        <v>0</v>
      </c>
      <c r="AL26">
        <f t="shared" si="25"/>
        <v>0</v>
      </c>
      <c r="AM26">
        <f t="shared" si="26"/>
        <v>0</v>
      </c>
      <c r="AN26">
        <f t="shared" si="27"/>
        <v>0</v>
      </c>
      <c r="AO26">
        <f t="shared" si="28"/>
        <v>0</v>
      </c>
      <c r="AP26">
        <f t="shared" si="29"/>
        <v>0</v>
      </c>
      <c r="AQ26">
        <f t="shared" si="30"/>
        <v>0</v>
      </c>
      <c r="AR26">
        <f t="shared" si="31"/>
        <v>0</v>
      </c>
      <c r="AS26">
        <f t="shared" si="32"/>
        <v>0</v>
      </c>
      <c r="AT26">
        <f t="shared" si="33"/>
        <v>0</v>
      </c>
      <c r="AU26">
        <f t="shared" si="34"/>
        <v>0</v>
      </c>
      <c r="AV26">
        <f t="shared" si="35"/>
        <v>0</v>
      </c>
      <c r="AW26">
        <f t="shared" si="36"/>
        <v>0</v>
      </c>
      <c r="AX26">
        <f t="shared" si="37"/>
        <v>0</v>
      </c>
      <c r="AY26">
        <f t="shared" si="38"/>
        <v>0</v>
      </c>
      <c r="AZ26">
        <f t="shared" si="39"/>
        <v>0</v>
      </c>
      <c r="BA26">
        <f t="shared" si="40"/>
        <v>0</v>
      </c>
      <c r="BB26">
        <f t="shared" si="41"/>
        <v>0</v>
      </c>
      <c r="BC26">
        <f t="shared" si="42"/>
        <v>0</v>
      </c>
      <c r="BD26">
        <f t="shared" si="43"/>
        <v>0</v>
      </c>
      <c r="BE26">
        <f t="shared" si="44"/>
        <v>0</v>
      </c>
    </row>
    <row r="27" spans="1:57" x14ac:dyDescent="0.25">
      <c r="A27" t="s">
        <v>44</v>
      </c>
      <c r="B27">
        <v>13</v>
      </c>
      <c r="C27">
        <v>13</v>
      </c>
      <c r="D27">
        <v>13</v>
      </c>
      <c r="E27">
        <v>13</v>
      </c>
      <c r="F27">
        <v>13</v>
      </c>
      <c r="G27">
        <v>13</v>
      </c>
      <c r="H27">
        <v>13</v>
      </c>
      <c r="I27">
        <v>13</v>
      </c>
      <c r="J27">
        <v>13</v>
      </c>
      <c r="K27">
        <v>13</v>
      </c>
      <c r="L27">
        <v>13</v>
      </c>
      <c r="M27">
        <v>13</v>
      </c>
      <c r="N27">
        <v>13</v>
      </c>
      <c r="O27">
        <v>11</v>
      </c>
      <c r="P27">
        <v>11</v>
      </c>
      <c r="Q27">
        <v>13</v>
      </c>
      <c r="R27">
        <v>13</v>
      </c>
      <c r="S27">
        <v>13</v>
      </c>
      <c r="T27">
        <v>13</v>
      </c>
      <c r="U27">
        <v>13</v>
      </c>
      <c r="V27">
        <v>13</v>
      </c>
      <c r="W27">
        <v>13</v>
      </c>
      <c r="X27">
        <v>13</v>
      </c>
      <c r="Y27">
        <v>13</v>
      </c>
      <c r="Z27">
        <v>308</v>
      </c>
      <c r="AB27">
        <f t="shared" si="18"/>
        <v>12.833333333333334</v>
      </c>
      <c r="AC27">
        <f t="shared" si="19"/>
        <v>0.56465970257328002</v>
      </c>
      <c r="AD27" s="3">
        <f t="shared" si="20"/>
        <v>0</v>
      </c>
      <c r="AE27" s="3">
        <f t="shared" si="21"/>
        <v>0</v>
      </c>
      <c r="AG27" t="s">
        <v>44</v>
      </c>
      <c r="AH27">
        <f t="shared" si="23"/>
        <v>0.29516302634512248</v>
      </c>
      <c r="AI27">
        <f t="shared" si="45"/>
        <v>0.29516302634512248</v>
      </c>
      <c r="AJ27">
        <f t="shared" si="46"/>
        <v>0.29516302634512248</v>
      </c>
      <c r="AK27">
        <f t="shared" si="24"/>
        <v>0.29516302634512248</v>
      </c>
      <c r="AL27">
        <f t="shared" si="25"/>
        <v>0.29516302634512248</v>
      </c>
      <c r="AM27">
        <f t="shared" si="26"/>
        <v>0.29516302634512248</v>
      </c>
      <c r="AN27">
        <f t="shared" si="27"/>
        <v>0.29516302634512248</v>
      </c>
      <c r="AO27">
        <f t="shared" si="28"/>
        <v>0.29516302634512248</v>
      </c>
      <c r="AP27">
        <f t="shared" si="29"/>
        <v>0.29516302634512248</v>
      </c>
      <c r="AQ27">
        <f t="shared" si="30"/>
        <v>0.29516302634512248</v>
      </c>
      <c r="AR27">
        <f t="shared" si="31"/>
        <v>0.29516302634512248</v>
      </c>
      <c r="AS27">
        <f t="shared" si="32"/>
        <v>0.29516302634512248</v>
      </c>
      <c r="AT27">
        <f t="shared" si="33"/>
        <v>0.29516302634512248</v>
      </c>
      <c r="AU27">
        <f t="shared" si="34"/>
        <v>-3.2467932897963601</v>
      </c>
      <c r="AV27">
        <f t="shared" si="35"/>
        <v>-3.2467932897963601</v>
      </c>
      <c r="AW27">
        <f t="shared" si="36"/>
        <v>0.29516302634512248</v>
      </c>
      <c r="AX27">
        <f t="shared" si="37"/>
        <v>0.29516302634512248</v>
      </c>
      <c r="AY27">
        <f t="shared" si="38"/>
        <v>0.29516302634512248</v>
      </c>
      <c r="AZ27">
        <f t="shared" si="39"/>
        <v>0.29516302634512248</v>
      </c>
      <c r="BA27">
        <f t="shared" si="40"/>
        <v>0.29516302634512248</v>
      </c>
      <c r="BB27">
        <f t="shared" si="41"/>
        <v>0.29516302634512248</v>
      </c>
      <c r="BC27">
        <f t="shared" si="42"/>
        <v>0.29516302634512248</v>
      </c>
      <c r="BD27">
        <f t="shared" si="43"/>
        <v>0.29516302634512248</v>
      </c>
      <c r="BE27">
        <f t="shared" si="44"/>
        <v>0.29516302634512248</v>
      </c>
    </row>
    <row r="28" spans="1:57" x14ac:dyDescent="0.25">
      <c r="A28" t="s">
        <v>47</v>
      </c>
      <c r="B28">
        <v>10</v>
      </c>
      <c r="C28">
        <v>10</v>
      </c>
      <c r="D28">
        <v>10</v>
      </c>
      <c r="E28">
        <v>10</v>
      </c>
      <c r="F28">
        <v>10</v>
      </c>
      <c r="G28">
        <v>10</v>
      </c>
      <c r="H28">
        <v>10</v>
      </c>
      <c r="I28">
        <v>10</v>
      </c>
      <c r="J28">
        <v>10</v>
      </c>
      <c r="K28">
        <v>10</v>
      </c>
      <c r="L28">
        <v>10</v>
      </c>
      <c r="M28">
        <v>10</v>
      </c>
      <c r="N28">
        <v>10</v>
      </c>
      <c r="O28">
        <v>10</v>
      </c>
      <c r="P28">
        <v>10</v>
      </c>
      <c r="Q28">
        <v>10</v>
      </c>
      <c r="R28">
        <v>10</v>
      </c>
      <c r="S28">
        <v>10</v>
      </c>
      <c r="T28">
        <v>10</v>
      </c>
      <c r="U28">
        <v>10</v>
      </c>
      <c r="V28">
        <v>10</v>
      </c>
      <c r="W28">
        <v>10</v>
      </c>
      <c r="X28">
        <v>10</v>
      </c>
      <c r="Y28">
        <v>10</v>
      </c>
      <c r="Z28">
        <v>240</v>
      </c>
      <c r="AB28">
        <f t="shared" si="18"/>
        <v>10</v>
      </c>
      <c r="AC28">
        <f t="shared" si="19"/>
        <v>0</v>
      </c>
      <c r="AD28" s="3">
        <f t="shared" si="20"/>
        <v>0</v>
      </c>
      <c r="AE28" s="3">
        <f t="shared" si="21"/>
        <v>0</v>
      </c>
      <c r="AG28" t="s">
        <v>47</v>
      </c>
      <c r="AH28">
        <f t="shared" si="23"/>
        <v>0</v>
      </c>
      <c r="AI28">
        <f t="shared" si="45"/>
        <v>0</v>
      </c>
      <c r="AJ28">
        <f t="shared" si="46"/>
        <v>0</v>
      </c>
      <c r="AK28">
        <f t="shared" si="24"/>
        <v>0</v>
      </c>
      <c r="AL28">
        <f t="shared" si="25"/>
        <v>0</v>
      </c>
      <c r="AM28">
        <f t="shared" si="26"/>
        <v>0</v>
      </c>
      <c r="AN28">
        <f t="shared" si="27"/>
        <v>0</v>
      </c>
      <c r="AO28">
        <f t="shared" si="28"/>
        <v>0</v>
      </c>
      <c r="AP28">
        <f t="shared" si="29"/>
        <v>0</v>
      </c>
      <c r="AQ28">
        <f t="shared" si="30"/>
        <v>0</v>
      </c>
      <c r="AR28">
        <f t="shared" si="31"/>
        <v>0</v>
      </c>
      <c r="AS28">
        <f t="shared" si="32"/>
        <v>0</v>
      </c>
      <c r="AT28">
        <f t="shared" si="33"/>
        <v>0</v>
      </c>
      <c r="AU28">
        <f t="shared" si="34"/>
        <v>0</v>
      </c>
      <c r="AV28">
        <f t="shared" si="35"/>
        <v>0</v>
      </c>
      <c r="AW28">
        <f t="shared" si="36"/>
        <v>0</v>
      </c>
      <c r="AX28">
        <f t="shared" si="37"/>
        <v>0</v>
      </c>
      <c r="AY28">
        <f t="shared" si="38"/>
        <v>0</v>
      </c>
      <c r="AZ28">
        <f t="shared" si="39"/>
        <v>0</v>
      </c>
      <c r="BA28">
        <f t="shared" si="40"/>
        <v>0</v>
      </c>
      <c r="BB28">
        <f t="shared" si="41"/>
        <v>0</v>
      </c>
      <c r="BC28">
        <f t="shared" si="42"/>
        <v>0</v>
      </c>
      <c r="BD28">
        <f t="shared" si="43"/>
        <v>0</v>
      </c>
      <c r="BE28">
        <f t="shared" si="44"/>
        <v>0</v>
      </c>
    </row>
    <row r="29" spans="1:57" x14ac:dyDescent="0.25">
      <c r="A29" t="s">
        <v>39</v>
      </c>
      <c r="B29">
        <v>8</v>
      </c>
      <c r="C29">
        <v>8</v>
      </c>
      <c r="D29">
        <v>8</v>
      </c>
      <c r="E29">
        <v>8</v>
      </c>
      <c r="F29">
        <v>8</v>
      </c>
      <c r="G29">
        <v>8</v>
      </c>
      <c r="H29">
        <v>8</v>
      </c>
      <c r="I29">
        <v>8</v>
      </c>
      <c r="J29">
        <v>8</v>
      </c>
      <c r="K29">
        <v>8</v>
      </c>
      <c r="L29">
        <v>8</v>
      </c>
      <c r="M29">
        <v>8</v>
      </c>
      <c r="N29">
        <v>8</v>
      </c>
      <c r="O29">
        <v>8</v>
      </c>
      <c r="P29">
        <v>8</v>
      </c>
      <c r="Q29">
        <v>8</v>
      </c>
      <c r="R29">
        <v>8</v>
      </c>
      <c r="S29">
        <v>8</v>
      </c>
      <c r="T29">
        <v>8</v>
      </c>
      <c r="U29">
        <v>8</v>
      </c>
      <c r="V29">
        <v>8</v>
      </c>
      <c r="W29">
        <v>8</v>
      </c>
      <c r="X29">
        <v>8</v>
      </c>
      <c r="Y29">
        <v>8</v>
      </c>
      <c r="Z29">
        <v>120</v>
      </c>
      <c r="AB29">
        <f t="shared" si="18"/>
        <v>8</v>
      </c>
      <c r="AC29">
        <f t="shared" si="19"/>
        <v>0</v>
      </c>
      <c r="AD29" s="3">
        <f t="shared" si="20"/>
        <v>0</v>
      </c>
      <c r="AE29" s="3">
        <f t="shared" si="21"/>
        <v>0</v>
      </c>
      <c r="AG29" t="s">
        <v>39</v>
      </c>
      <c r="AH29">
        <f t="shared" si="23"/>
        <v>0</v>
      </c>
      <c r="AI29">
        <f t="shared" si="45"/>
        <v>0</v>
      </c>
      <c r="AJ29">
        <f t="shared" si="46"/>
        <v>0</v>
      </c>
      <c r="AK29">
        <f t="shared" si="24"/>
        <v>0</v>
      </c>
      <c r="AL29">
        <f t="shared" si="25"/>
        <v>0</v>
      </c>
      <c r="AM29">
        <f t="shared" si="26"/>
        <v>0</v>
      </c>
      <c r="AN29">
        <f t="shared" si="27"/>
        <v>0</v>
      </c>
      <c r="AO29">
        <f t="shared" si="28"/>
        <v>0</v>
      </c>
      <c r="AP29">
        <f t="shared" si="29"/>
        <v>0</v>
      </c>
      <c r="AQ29">
        <f t="shared" si="30"/>
        <v>0</v>
      </c>
      <c r="AR29">
        <f t="shared" si="31"/>
        <v>0</v>
      </c>
      <c r="AS29">
        <f t="shared" si="32"/>
        <v>0</v>
      </c>
      <c r="AT29">
        <f t="shared" si="33"/>
        <v>0</v>
      </c>
      <c r="AU29">
        <f t="shared" si="34"/>
        <v>0</v>
      </c>
      <c r="AV29">
        <f t="shared" si="35"/>
        <v>0</v>
      </c>
      <c r="AW29">
        <f t="shared" si="36"/>
        <v>0</v>
      </c>
      <c r="AX29">
        <f t="shared" si="37"/>
        <v>0</v>
      </c>
      <c r="AY29">
        <f t="shared" si="38"/>
        <v>0</v>
      </c>
      <c r="AZ29">
        <f t="shared" si="39"/>
        <v>0</v>
      </c>
      <c r="BA29">
        <f t="shared" si="40"/>
        <v>0</v>
      </c>
      <c r="BB29">
        <f t="shared" si="41"/>
        <v>0</v>
      </c>
      <c r="BC29">
        <f t="shared" si="42"/>
        <v>0</v>
      </c>
      <c r="BD29">
        <f t="shared" si="43"/>
        <v>0</v>
      </c>
      <c r="BE29">
        <f t="shared" si="44"/>
        <v>0</v>
      </c>
    </row>
    <row r="30" spans="1:57" x14ac:dyDescent="0.25">
      <c r="A30" t="s">
        <v>40</v>
      </c>
      <c r="B30">
        <v>9</v>
      </c>
      <c r="C30">
        <v>9</v>
      </c>
      <c r="D30">
        <v>9</v>
      </c>
      <c r="E30">
        <v>9</v>
      </c>
      <c r="F30">
        <v>9</v>
      </c>
      <c r="G30">
        <v>9</v>
      </c>
      <c r="H30">
        <v>9</v>
      </c>
      <c r="I30">
        <v>9</v>
      </c>
      <c r="J30">
        <v>9</v>
      </c>
      <c r="K30">
        <v>9</v>
      </c>
      <c r="L30">
        <v>9</v>
      </c>
      <c r="M30">
        <v>9</v>
      </c>
      <c r="N30">
        <v>9</v>
      </c>
      <c r="O30">
        <v>9</v>
      </c>
      <c r="P30">
        <v>9</v>
      </c>
      <c r="Q30">
        <v>9</v>
      </c>
      <c r="R30">
        <v>9</v>
      </c>
      <c r="S30">
        <v>9</v>
      </c>
      <c r="T30">
        <v>9</v>
      </c>
      <c r="U30">
        <v>9</v>
      </c>
      <c r="V30">
        <v>9</v>
      </c>
      <c r="W30">
        <v>9</v>
      </c>
      <c r="X30">
        <v>9</v>
      </c>
      <c r="Y30">
        <v>9</v>
      </c>
      <c r="Z30">
        <v>198</v>
      </c>
      <c r="AB30">
        <f t="shared" si="18"/>
        <v>9</v>
      </c>
      <c r="AC30">
        <f t="shared" si="19"/>
        <v>0</v>
      </c>
      <c r="AD30" s="3">
        <f t="shared" si="20"/>
        <v>0</v>
      </c>
      <c r="AE30" s="3">
        <f t="shared" si="21"/>
        <v>0</v>
      </c>
      <c r="AG30" t="s">
        <v>40</v>
      </c>
      <c r="AH30">
        <f t="shared" si="23"/>
        <v>0</v>
      </c>
      <c r="AI30">
        <f t="shared" si="45"/>
        <v>0</v>
      </c>
      <c r="AJ30">
        <f t="shared" si="46"/>
        <v>0</v>
      </c>
      <c r="AK30">
        <f t="shared" si="24"/>
        <v>0</v>
      </c>
      <c r="AL30">
        <f t="shared" si="25"/>
        <v>0</v>
      </c>
      <c r="AM30">
        <f t="shared" si="26"/>
        <v>0</v>
      </c>
      <c r="AN30">
        <f t="shared" si="27"/>
        <v>0</v>
      </c>
      <c r="AO30">
        <f t="shared" si="28"/>
        <v>0</v>
      </c>
      <c r="AP30">
        <f t="shared" si="29"/>
        <v>0</v>
      </c>
      <c r="AQ30">
        <f t="shared" si="30"/>
        <v>0</v>
      </c>
      <c r="AR30">
        <f t="shared" si="31"/>
        <v>0</v>
      </c>
      <c r="AS30">
        <f t="shared" si="32"/>
        <v>0</v>
      </c>
      <c r="AT30">
        <f t="shared" si="33"/>
        <v>0</v>
      </c>
      <c r="AU30">
        <f t="shared" si="34"/>
        <v>0</v>
      </c>
      <c r="AV30">
        <f t="shared" si="35"/>
        <v>0</v>
      </c>
      <c r="AW30">
        <f t="shared" si="36"/>
        <v>0</v>
      </c>
      <c r="AX30">
        <f t="shared" si="37"/>
        <v>0</v>
      </c>
      <c r="AY30">
        <f t="shared" si="38"/>
        <v>0</v>
      </c>
      <c r="AZ30">
        <f t="shared" si="39"/>
        <v>0</v>
      </c>
      <c r="BA30">
        <f t="shared" si="40"/>
        <v>0</v>
      </c>
      <c r="BB30">
        <f t="shared" si="41"/>
        <v>0</v>
      </c>
      <c r="BC30">
        <f t="shared" si="42"/>
        <v>0</v>
      </c>
      <c r="BD30">
        <f t="shared" si="43"/>
        <v>0</v>
      </c>
      <c r="BE30">
        <f t="shared" si="44"/>
        <v>0</v>
      </c>
    </row>
    <row r="31" spans="1:57" x14ac:dyDescent="0.25">
      <c r="A31" t="s">
        <v>45</v>
      </c>
      <c r="B31">
        <v>10</v>
      </c>
      <c r="C31">
        <v>10</v>
      </c>
      <c r="D31">
        <v>10</v>
      </c>
      <c r="E31">
        <v>10</v>
      </c>
      <c r="F31">
        <v>10</v>
      </c>
      <c r="G31">
        <v>10</v>
      </c>
      <c r="H31">
        <v>10</v>
      </c>
      <c r="I31">
        <v>10</v>
      </c>
      <c r="J31">
        <v>10</v>
      </c>
      <c r="K31">
        <v>10</v>
      </c>
      <c r="L31">
        <v>10</v>
      </c>
      <c r="M31">
        <v>10</v>
      </c>
      <c r="N31">
        <v>10</v>
      </c>
      <c r="O31">
        <v>10</v>
      </c>
      <c r="P31">
        <v>10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10</v>
      </c>
      <c r="X31">
        <v>10</v>
      </c>
      <c r="Y31">
        <v>10</v>
      </c>
      <c r="Z31">
        <v>240</v>
      </c>
      <c r="AB31">
        <f t="shared" si="18"/>
        <v>10</v>
      </c>
      <c r="AC31">
        <f t="shared" si="19"/>
        <v>0</v>
      </c>
      <c r="AD31" s="3">
        <f t="shared" si="20"/>
        <v>0</v>
      </c>
      <c r="AE31" s="3">
        <f t="shared" si="21"/>
        <v>0</v>
      </c>
      <c r="AG31" t="s">
        <v>45</v>
      </c>
      <c r="AH31">
        <f t="shared" si="23"/>
        <v>0</v>
      </c>
      <c r="AI31">
        <f t="shared" si="45"/>
        <v>0</v>
      </c>
      <c r="AJ31">
        <f t="shared" si="46"/>
        <v>0</v>
      </c>
      <c r="AK31">
        <f t="shared" si="24"/>
        <v>0</v>
      </c>
      <c r="AL31">
        <f t="shared" si="25"/>
        <v>0</v>
      </c>
      <c r="AM31">
        <f t="shared" si="26"/>
        <v>0</v>
      </c>
      <c r="AN31">
        <f t="shared" si="27"/>
        <v>0</v>
      </c>
      <c r="AO31">
        <f t="shared" si="28"/>
        <v>0</v>
      </c>
      <c r="AP31">
        <f t="shared" si="29"/>
        <v>0</v>
      </c>
      <c r="AQ31">
        <f t="shared" si="30"/>
        <v>0</v>
      </c>
      <c r="AR31">
        <f t="shared" si="31"/>
        <v>0</v>
      </c>
      <c r="AS31">
        <f t="shared" si="32"/>
        <v>0</v>
      </c>
      <c r="AT31">
        <f t="shared" si="33"/>
        <v>0</v>
      </c>
      <c r="AU31">
        <f t="shared" si="34"/>
        <v>0</v>
      </c>
      <c r="AV31">
        <f t="shared" si="35"/>
        <v>0</v>
      </c>
      <c r="AW31">
        <f t="shared" si="36"/>
        <v>0</v>
      </c>
      <c r="AX31">
        <f t="shared" si="37"/>
        <v>0</v>
      </c>
      <c r="AY31">
        <f t="shared" si="38"/>
        <v>0</v>
      </c>
      <c r="AZ31">
        <f t="shared" si="39"/>
        <v>0</v>
      </c>
      <c r="BA31">
        <f t="shared" si="40"/>
        <v>0</v>
      </c>
      <c r="BB31">
        <f t="shared" si="41"/>
        <v>0</v>
      </c>
      <c r="BC31">
        <f t="shared" si="42"/>
        <v>0</v>
      </c>
      <c r="BD31">
        <f t="shared" si="43"/>
        <v>0</v>
      </c>
      <c r="BE31">
        <f t="shared" si="44"/>
        <v>0</v>
      </c>
    </row>
    <row r="32" spans="1:57" x14ac:dyDescent="0.25">
      <c r="A32" t="s">
        <v>43</v>
      </c>
      <c r="B32">
        <v>11</v>
      </c>
      <c r="C32">
        <v>11</v>
      </c>
      <c r="D32">
        <v>11</v>
      </c>
      <c r="E32">
        <v>11</v>
      </c>
      <c r="F32">
        <v>11</v>
      </c>
      <c r="G32">
        <v>11</v>
      </c>
      <c r="H32">
        <v>11</v>
      </c>
      <c r="I32">
        <v>11</v>
      </c>
      <c r="J32">
        <v>11</v>
      </c>
      <c r="K32">
        <v>13</v>
      </c>
      <c r="L32">
        <v>13</v>
      </c>
      <c r="M32">
        <v>13</v>
      </c>
      <c r="N32">
        <v>13</v>
      </c>
      <c r="O32">
        <v>13</v>
      </c>
      <c r="P32">
        <v>13</v>
      </c>
      <c r="Q32">
        <v>13</v>
      </c>
      <c r="R32">
        <v>15</v>
      </c>
      <c r="S32">
        <v>15</v>
      </c>
      <c r="T32">
        <v>15</v>
      </c>
      <c r="U32">
        <v>15</v>
      </c>
      <c r="V32">
        <v>15</v>
      </c>
      <c r="W32">
        <v>15</v>
      </c>
      <c r="X32">
        <v>15</v>
      </c>
      <c r="Y32">
        <v>15</v>
      </c>
      <c r="Z32">
        <v>310</v>
      </c>
      <c r="AB32">
        <f t="shared" si="18"/>
        <v>12.916666666666666</v>
      </c>
      <c r="AC32">
        <f t="shared" si="19"/>
        <v>1.717345440591044</v>
      </c>
      <c r="AD32" s="3">
        <f t="shared" si="20"/>
        <v>1.6845724056481437E-2</v>
      </c>
      <c r="AE32" s="3">
        <f t="shared" si="21"/>
        <v>1.1068565478538961E-2</v>
      </c>
      <c r="AG32" t="s">
        <v>43</v>
      </c>
      <c r="AH32">
        <f t="shared" si="23"/>
        <v>-1.1160635602858231</v>
      </c>
      <c r="AI32">
        <f t="shared" si="45"/>
        <v>-1.1160635602858231</v>
      </c>
      <c r="AJ32">
        <f t="shared" si="46"/>
        <v>-1.1160635602858231</v>
      </c>
      <c r="AK32">
        <f t="shared" si="24"/>
        <v>-1.1160635602858231</v>
      </c>
      <c r="AL32">
        <f t="shared" si="25"/>
        <v>-1.1160635602858231</v>
      </c>
      <c r="AM32">
        <f t="shared" si="26"/>
        <v>-1.1160635602858231</v>
      </c>
      <c r="AN32">
        <f t="shared" si="27"/>
        <v>-1.1160635602858231</v>
      </c>
      <c r="AO32">
        <f t="shared" si="28"/>
        <v>-1.1160635602858231</v>
      </c>
      <c r="AP32">
        <f t="shared" si="29"/>
        <v>-1.1160635602858231</v>
      </c>
      <c r="AQ32">
        <f t="shared" si="30"/>
        <v>4.8524502621123101E-2</v>
      </c>
      <c r="AR32">
        <f t="shared" si="31"/>
        <v>4.8524502621123101E-2</v>
      </c>
      <c r="AS32">
        <f t="shared" si="32"/>
        <v>4.8524502621123101E-2</v>
      </c>
      <c r="AT32">
        <f t="shared" si="33"/>
        <v>4.8524502621123101E-2</v>
      </c>
      <c r="AU32">
        <f t="shared" si="34"/>
        <v>4.8524502621123101E-2</v>
      </c>
      <c r="AV32">
        <f t="shared" si="35"/>
        <v>4.8524502621123101E-2</v>
      </c>
      <c r="AW32">
        <f t="shared" si="36"/>
        <v>4.8524502621123101E-2</v>
      </c>
      <c r="AX32">
        <f t="shared" si="37"/>
        <v>1.2131125655280692</v>
      </c>
      <c r="AY32">
        <f t="shared" si="38"/>
        <v>1.2131125655280692</v>
      </c>
      <c r="AZ32">
        <f t="shared" si="39"/>
        <v>1.2131125655280692</v>
      </c>
      <c r="BA32">
        <f t="shared" si="40"/>
        <v>1.2131125655280692</v>
      </c>
      <c r="BB32">
        <f t="shared" si="41"/>
        <v>1.2131125655280692</v>
      </c>
      <c r="BC32">
        <f t="shared" si="42"/>
        <v>1.2131125655280692</v>
      </c>
      <c r="BD32">
        <f t="shared" si="43"/>
        <v>1.2131125655280692</v>
      </c>
      <c r="BE32">
        <f t="shared" si="44"/>
        <v>1.2131125655280692</v>
      </c>
    </row>
    <row r="33" spans="1:57" x14ac:dyDescent="0.25">
      <c r="A33" t="s">
        <v>42</v>
      </c>
      <c r="B33">
        <v>8</v>
      </c>
      <c r="C33">
        <v>8</v>
      </c>
      <c r="D33">
        <v>8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  <c r="P33">
        <v>12</v>
      </c>
      <c r="Q33">
        <v>12</v>
      </c>
      <c r="R33">
        <v>12</v>
      </c>
      <c r="S33">
        <v>12</v>
      </c>
      <c r="T33">
        <v>12</v>
      </c>
      <c r="U33">
        <v>12</v>
      </c>
      <c r="V33">
        <v>12</v>
      </c>
      <c r="W33">
        <v>12</v>
      </c>
      <c r="X33">
        <v>12</v>
      </c>
      <c r="Y33">
        <v>12</v>
      </c>
      <c r="Z33">
        <v>276</v>
      </c>
      <c r="AB33">
        <f t="shared" si="18"/>
        <v>11.5</v>
      </c>
      <c r="AC33">
        <f t="shared" si="19"/>
        <v>1.3513278493843524</v>
      </c>
      <c r="AD33" s="3">
        <f t="shared" si="20"/>
        <v>4.1379743992410623E-2</v>
      </c>
      <c r="AE33" s="3">
        <f t="shared" si="21"/>
        <v>0</v>
      </c>
      <c r="AG33" t="s">
        <v>42</v>
      </c>
      <c r="AH33">
        <f t="shared" si="23"/>
        <v>-2.5900450446533423</v>
      </c>
      <c r="AI33">
        <f t="shared" si="45"/>
        <v>-2.5900450446533423</v>
      </c>
      <c r="AJ33">
        <f t="shared" si="46"/>
        <v>-2.5900450446533423</v>
      </c>
      <c r="AK33">
        <f t="shared" si="24"/>
        <v>0.37000643495047747</v>
      </c>
      <c r="AL33">
        <f t="shared" si="25"/>
        <v>0.37000643495047747</v>
      </c>
      <c r="AM33">
        <f t="shared" si="26"/>
        <v>0.37000643495047747</v>
      </c>
      <c r="AN33">
        <f t="shared" si="27"/>
        <v>0.37000643495047747</v>
      </c>
      <c r="AO33">
        <f t="shared" si="28"/>
        <v>0.37000643495047747</v>
      </c>
      <c r="AP33">
        <f t="shared" si="29"/>
        <v>0.37000643495047747</v>
      </c>
      <c r="AQ33">
        <f t="shared" si="30"/>
        <v>0.37000643495047747</v>
      </c>
      <c r="AR33">
        <f t="shared" si="31"/>
        <v>0.37000643495047747</v>
      </c>
      <c r="AS33">
        <f t="shared" si="32"/>
        <v>0.37000643495047747</v>
      </c>
      <c r="AT33">
        <f t="shared" si="33"/>
        <v>0.37000643495047747</v>
      </c>
      <c r="AU33">
        <f t="shared" si="34"/>
        <v>0.37000643495047747</v>
      </c>
      <c r="AV33">
        <f t="shared" si="35"/>
        <v>0.37000643495047747</v>
      </c>
      <c r="AW33">
        <f t="shared" si="36"/>
        <v>0.37000643495047747</v>
      </c>
      <c r="AX33">
        <f t="shared" si="37"/>
        <v>0.37000643495047747</v>
      </c>
      <c r="AY33">
        <f t="shared" si="38"/>
        <v>0.37000643495047747</v>
      </c>
      <c r="AZ33">
        <f t="shared" si="39"/>
        <v>0.37000643495047747</v>
      </c>
      <c r="BA33">
        <f t="shared" si="40"/>
        <v>0.37000643495047747</v>
      </c>
      <c r="BB33">
        <f t="shared" si="41"/>
        <v>0.37000643495047747</v>
      </c>
      <c r="BC33">
        <f t="shared" si="42"/>
        <v>0.37000643495047747</v>
      </c>
      <c r="BD33">
        <f t="shared" si="43"/>
        <v>0.37000643495047747</v>
      </c>
      <c r="BE33">
        <f t="shared" si="44"/>
        <v>0.37000643495047747</v>
      </c>
    </row>
    <row r="34" spans="1:57" x14ac:dyDescent="0.25">
      <c r="A34" t="s">
        <v>46</v>
      </c>
      <c r="B34">
        <v>9</v>
      </c>
      <c r="C34">
        <v>9</v>
      </c>
      <c r="D34">
        <v>9</v>
      </c>
      <c r="E34">
        <v>9</v>
      </c>
      <c r="F34">
        <v>9</v>
      </c>
      <c r="G34">
        <v>9</v>
      </c>
      <c r="H34">
        <v>9</v>
      </c>
      <c r="I34">
        <v>9</v>
      </c>
      <c r="J34">
        <v>9</v>
      </c>
      <c r="K34">
        <v>9</v>
      </c>
      <c r="L34">
        <v>9</v>
      </c>
      <c r="M34">
        <v>9</v>
      </c>
      <c r="N34">
        <v>9</v>
      </c>
      <c r="O34">
        <v>9</v>
      </c>
      <c r="P34">
        <v>9</v>
      </c>
      <c r="Q34">
        <v>9</v>
      </c>
      <c r="R34">
        <v>9</v>
      </c>
      <c r="S34">
        <v>9</v>
      </c>
      <c r="T34">
        <v>9</v>
      </c>
      <c r="U34">
        <v>9</v>
      </c>
      <c r="V34">
        <v>9</v>
      </c>
      <c r="W34">
        <v>9</v>
      </c>
      <c r="X34">
        <v>9</v>
      </c>
      <c r="Y34">
        <v>9</v>
      </c>
      <c r="Z34">
        <v>216</v>
      </c>
      <c r="AB34">
        <f t="shared" si="18"/>
        <v>9</v>
      </c>
      <c r="AC34">
        <f t="shared" si="19"/>
        <v>0</v>
      </c>
      <c r="AD34" s="3">
        <f t="shared" si="20"/>
        <v>0</v>
      </c>
      <c r="AE34" s="3">
        <f t="shared" si="21"/>
        <v>0</v>
      </c>
      <c r="AG34" t="s">
        <v>46</v>
      </c>
      <c r="AH34">
        <f t="shared" si="23"/>
        <v>0</v>
      </c>
      <c r="AI34">
        <f t="shared" si="45"/>
        <v>0</v>
      </c>
      <c r="AJ34">
        <f t="shared" si="46"/>
        <v>0</v>
      </c>
      <c r="AK34">
        <f t="shared" si="24"/>
        <v>0</v>
      </c>
      <c r="AL34">
        <f t="shared" si="25"/>
        <v>0</v>
      </c>
      <c r="AM34">
        <f t="shared" si="26"/>
        <v>0</v>
      </c>
      <c r="AN34">
        <f t="shared" si="27"/>
        <v>0</v>
      </c>
      <c r="AO34">
        <f t="shared" si="28"/>
        <v>0</v>
      </c>
      <c r="AP34">
        <f t="shared" si="29"/>
        <v>0</v>
      </c>
      <c r="AQ34">
        <f t="shared" si="30"/>
        <v>0</v>
      </c>
      <c r="AR34">
        <f t="shared" si="31"/>
        <v>0</v>
      </c>
      <c r="AS34">
        <f t="shared" si="32"/>
        <v>0</v>
      </c>
      <c r="AT34">
        <f t="shared" si="33"/>
        <v>0</v>
      </c>
      <c r="AU34">
        <f t="shared" si="34"/>
        <v>0</v>
      </c>
      <c r="AV34">
        <f t="shared" si="35"/>
        <v>0</v>
      </c>
      <c r="AW34">
        <f t="shared" si="36"/>
        <v>0</v>
      </c>
      <c r="AX34">
        <f t="shared" si="37"/>
        <v>0</v>
      </c>
      <c r="AY34">
        <f t="shared" si="38"/>
        <v>0</v>
      </c>
      <c r="AZ34">
        <f t="shared" si="39"/>
        <v>0</v>
      </c>
      <c r="BA34">
        <f t="shared" si="40"/>
        <v>0</v>
      </c>
      <c r="BB34">
        <f t="shared" si="41"/>
        <v>0</v>
      </c>
      <c r="BC34">
        <f t="shared" si="42"/>
        <v>0</v>
      </c>
      <c r="BD34">
        <f t="shared" si="43"/>
        <v>0</v>
      </c>
      <c r="BE34">
        <f t="shared" si="44"/>
        <v>0</v>
      </c>
    </row>
    <row r="35" spans="1:57" x14ac:dyDescent="0.25">
      <c r="A35" t="s">
        <v>41</v>
      </c>
      <c r="B35">
        <v>6</v>
      </c>
      <c r="C35">
        <v>6</v>
      </c>
      <c r="D35">
        <v>7</v>
      </c>
      <c r="E35">
        <v>8</v>
      </c>
      <c r="F35">
        <v>9</v>
      </c>
      <c r="G35">
        <v>9</v>
      </c>
      <c r="H35">
        <v>9</v>
      </c>
      <c r="I35">
        <v>9</v>
      </c>
      <c r="J35">
        <v>9</v>
      </c>
      <c r="K35">
        <v>9</v>
      </c>
      <c r="L35">
        <v>9</v>
      </c>
      <c r="M35">
        <v>9</v>
      </c>
      <c r="N35">
        <v>9</v>
      </c>
      <c r="O35">
        <v>9</v>
      </c>
      <c r="P35">
        <v>9</v>
      </c>
      <c r="Q35">
        <v>9</v>
      </c>
      <c r="R35">
        <v>9</v>
      </c>
      <c r="S35">
        <v>9</v>
      </c>
      <c r="T35">
        <v>9</v>
      </c>
      <c r="U35">
        <v>9</v>
      </c>
      <c r="V35">
        <v>9</v>
      </c>
      <c r="W35">
        <v>9</v>
      </c>
      <c r="X35">
        <v>9</v>
      </c>
      <c r="Y35">
        <v>9</v>
      </c>
      <c r="Z35">
        <v>207</v>
      </c>
      <c r="AB35">
        <f t="shared" si="18"/>
        <v>8.625</v>
      </c>
      <c r="AC35">
        <f t="shared" si="19"/>
        <v>0.92372120770566779</v>
      </c>
      <c r="AD35" s="3">
        <f t="shared" si="20"/>
        <v>4.1379743992410623E-2</v>
      </c>
      <c r="AE35" s="3">
        <f t="shared" si="21"/>
        <v>0</v>
      </c>
      <c r="AG35" t="s">
        <v>41</v>
      </c>
      <c r="AH35">
        <f t="shared" si="23"/>
        <v>-2.8417665179734874</v>
      </c>
      <c r="AI35">
        <f t="shared" si="45"/>
        <v>-2.8417665179734874</v>
      </c>
      <c r="AJ35">
        <f t="shared" si="46"/>
        <v>-1.7591887968407303</v>
      </c>
      <c r="AK35">
        <f t="shared" si="24"/>
        <v>-0.67661107570797319</v>
      </c>
      <c r="AL35">
        <f t="shared" si="25"/>
        <v>0.40596664542478389</v>
      </c>
      <c r="AM35">
        <f t="shared" si="26"/>
        <v>0.40596664542478389</v>
      </c>
      <c r="AN35">
        <f t="shared" si="27"/>
        <v>0.40596664542478389</v>
      </c>
      <c r="AO35">
        <f t="shared" si="28"/>
        <v>0.40596664542478389</v>
      </c>
      <c r="AP35">
        <f t="shared" si="29"/>
        <v>0.40596664542478389</v>
      </c>
      <c r="AQ35">
        <f t="shared" si="30"/>
        <v>0.40596664542478389</v>
      </c>
      <c r="AR35">
        <f t="shared" si="31"/>
        <v>0.40596664542478389</v>
      </c>
      <c r="AS35">
        <f t="shared" si="32"/>
        <v>0.40596664542478389</v>
      </c>
      <c r="AT35">
        <f t="shared" si="33"/>
        <v>0.40596664542478389</v>
      </c>
      <c r="AU35">
        <f t="shared" si="34"/>
        <v>0.40596664542478389</v>
      </c>
      <c r="AV35">
        <f t="shared" si="35"/>
        <v>0.40596664542478389</v>
      </c>
      <c r="AW35">
        <f t="shared" si="36"/>
        <v>0.40596664542478389</v>
      </c>
      <c r="AX35">
        <f t="shared" si="37"/>
        <v>0.40596664542478389</v>
      </c>
      <c r="AY35">
        <f t="shared" si="38"/>
        <v>0.40596664542478389</v>
      </c>
      <c r="AZ35">
        <f t="shared" si="39"/>
        <v>0.40596664542478389</v>
      </c>
      <c r="BA35">
        <f t="shared" si="40"/>
        <v>0.40596664542478389</v>
      </c>
      <c r="BB35">
        <f t="shared" si="41"/>
        <v>0.40596664542478389</v>
      </c>
      <c r="BC35">
        <f t="shared" si="42"/>
        <v>0.40596664542478389</v>
      </c>
      <c r="BD35">
        <f t="shared" si="43"/>
        <v>0.40596664542478389</v>
      </c>
      <c r="BE35">
        <f t="shared" si="44"/>
        <v>0.40596664542478389</v>
      </c>
    </row>
    <row r="36" spans="1:57" x14ac:dyDescent="0.25">
      <c r="A36" t="s">
        <v>38</v>
      </c>
      <c r="B36">
        <v>11</v>
      </c>
      <c r="C36">
        <v>11</v>
      </c>
      <c r="D36">
        <v>11</v>
      </c>
      <c r="E36">
        <v>11</v>
      </c>
      <c r="F36">
        <v>11</v>
      </c>
      <c r="G36">
        <v>11</v>
      </c>
      <c r="H36">
        <v>11</v>
      </c>
      <c r="I36">
        <v>11</v>
      </c>
      <c r="J36">
        <v>11</v>
      </c>
      <c r="K36">
        <v>11</v>
      </c>
      <c r="L36">
        <v>11</v>
      </c>
      <c r="M36">
        <v>11</v>
      </c>
      <c r="N36">
        <v>11</v>
      </c>
      <c r="O36">
        <v>11</v>
      </c>
      <c r="P36">
        <v>11</v>
      </c>
      <c r="Q36">
        <v>11</v>
      </c>
      <c r="R36">
        <v>11</v>
      </c>
      <c r="S36">
        <v>11</v>
      </c>
      <c r="T36">
        <v>11</v>
      </c>
      <c r="U36">
        <v>11</v>
      </c>
      <c r="V36">
        <v>11</v>
      </c>
      <c r="W36">
        <v>11</v>
      </c>
      <c r="X36">
        <v>11</v>
      </c>
      <c r="Y36">
        <v>11</v>
      </c>
      <c r="Z36">
        <v>264</v>
      </c>
      <c r="AB36">
        <f t="shared" si="18"/>
        <v>11</v>
      </c>
      <c r="AC36">
        <f t="shared" si="19"/>
        <v>0</v>
      </c>
      <c r="AD36" s="3">
        <f t="shared" si="20"/>
        <v>0</v>
      </c>
      <c r="AE36" s="3">
        <f t="shared" si="21"/>
        <v>0</v>
      </c>
      <c r="AG36" t="s">
        <v>38</v>
      </c>
      <c r="AH36">
        <f t="shared" si="23"/>
        <v>0</v>
      </c>
      <c r="AI36">
        <f t="shared" si="45"/>
        <v>0</v>
      </c>
      <c r="AJ36">
        <f t="shared" si="46"/>
        <v>0</v>
      </c>
      <c r="AK36">
        <f t="shared" si="24"/>
        <v>0</v>
      </c>
      <c r="AL36">
        <f t="shared" si="25"/>
        <v>0</v>
      </c>
      <c r="AM36">
        <f t="shared" si="26"/>
        <v>0</v>
      </c>
      <c r="AN36">
        <f t="shared" si="27"/>
        <v>0</v>
      </c>
      <c r="AO36">
        <f t="shared" si="28"/>
        <v>0</v>
      </c>
      <c r="AP36">
        <f t="shared" si="29"/>
        <v>0</v>
      </c>
      <c r="AQ36">
        <f t="shared" si="30"/>
        <v>0</v>
      </c>
      <c r="AR36">
        <f t="shared" si="31"/>
        <v>0</v>
      </c>
      <c r="AS36">
        <f t="shared" si="32"/>
        <v>0</v>
      </c>
      <c r="AT36">
        <f t="shared" si="33"/>
        <v>0</v>
      </c>
      <c r="AU36">
        <f t="shared" si="34"/>
        <v>0</v>
      </c>
      <c r="AV36">
        <f t="shared" si="35"/>
        <v>0</v>
      </c>
      <c r="AW36">
        <f t="shared" si="36"/>
        <v>0</v>
      </c>
      <c r="AX36">
        <f t="shared" si="37"/>
        <v>0</v>
      </c>
      <c r="AY36">
        <f t="shared" si="38"/>
        <v>0</v>
      </c>
      <c r="AZ36">
        <f t="shared" si="39"/>
        <v>0</v>
      </c>
      <c r="BA36">
        <f t="shared" si="40"/>
        <v>0</v>
      </c>
      <c r="BB36">
        <f t="shared" si="41"/>
        <v>0</v>
      </c>
      <c r="BC36">
        <f t="shared" si="42"/>
        <v>0</v>
      </c>
      <c r="BD36">
        <f t="shared" si="43"/>
        <v>0</v>
      </c>
      <c r="BE36">
        <f t="shared" si="44"/>
        <v>0</v>
      </c>
    </row>
    <row r="37" spans="1:57" x14ac:dyDescent="0.25">
      <c r="A37" t="s">
        <v>37</v>
      </c>
      <c r="B37">
        <v>11</v>
      </c>
      <c r="C37">
        <v>11</v>
      </c>
      <c r="D37">
        <v>11</v>
      </c>
      <c r="E37">
        <v>11</v>
      </c>
      <c r="F37">
        <v>11</v>
      </c>
      <c r="G37">
        <v>11</v>
      </c>
      <c r="H37">
        <v>11</v>
      </c>
      <c r="I37">
        <v>11</v>
      </c>
      <c r="J37">
        <v>11</v>
      </c>
      <c r="K37">
        <v>12</v>
      </c>
      <c r="L37">
        <v>12</v>
      </c>
      <c r="M37">
        <v>12</v>
      </c>
      <c r="N37">
        <v>12</v>
      </c>
      <c r="O37">
        <v>12</v>
      </c>
      <c r="P37">
        <v>12</v>
      </c>
      <c r="Q37">
        <v>12</v>
      </c>
      <c r="R37">
        <v>12</v>
      </c>
      <c r="S37">
        <v>12</v>
      </c>
      <c r="T37">
        <v>12</v>
      </c>
      <c r="U37">
        <v>12</v>
      </c>
      <c r="V37">
        <v>12</v>
      </c>
      <c r="W37">
        <v>12</v>
      </c>
      <c r="X37">
        <v>12</v>
      </c>
      <c r="Y37">
        <v>12</v>
      </c>
      <c r="Z37">
        <v>279</v>
      </c>
      <c r="AB37">
        <f t="shared" si="18"/>
        <v>11.625</v>
      </c>
      <c r="AC37">
        <f t="shared" si="19"/>
        <v>0.49453535504684026</v>
      </c>
      <c r="AD37" s="3">
        <f t="shared" si="20"/>
        <v>8.7391026304013408E-3</v>
      </c>
      <c r="AE37" s="3">
        <f t="shared" si="21"/>
        <v>0</v>
      </c>
      <c r="AG37" t="s">
        <v>37</v>
      </c>
      <c r="AH37">
        <f t="shared" si="23"/>
        <v>-1.2638125740085917</v>
      </c>
      <c r="AI37">
        <f t="shared" si="45"/>
        <v>-1.2638125740085917</v>
      </c>
      <c r="AJ37">
        <f t="shared" si="46"/>
        <v>-1.2638125740085917</v>
      </c>
      <c r="AK37">
        <f t="shared" si="24"/>
        <v>-1.2638125740085917</v>
      </c>
      <c r="AL37">
        <f t="shared" si="25"/>
        <v>-1.2638125740085917</v>
      </c>
      <c r="AM37">
        <f t="shared" si="26"/>
        <v>-1.2638125740085917</v>
      </c>
      <c r="AN37">
        <f t="shared" si="27"/>
        <v>-1.2638125740085917</v>
      </c>
      <c r="AO37">
        <f t="shared" si="28"/>
        <v>-1.2638125740085917</v>
      </c>
      <c r="AP37">
        <f t="shared" si="29"/>
        <v>-1.2638125740085917</v>
      </c>
      <c r="AQ37">
        <f t="shared" si="30"/>
        <v>0.758287544405155</v>
      </c>
      <c r="AR37">
        <f t="shared" si="31"/>
        <v>0.758287544405155</v>
      </c>
      <c r="AS37">
        <f t="shared" si="32"/>
        <v>0.758287544405155</v>
      </c>
      <c r="AT37">
        <f t="shared" si="33"/>
        <v>0.758287544405155</v>
      </c>
      <c r="AU37">
        <f t="shared" si="34"/>
        <v>0.758287544405155</v>
      </c>
      <c r="AV37">
        <f t="shared" si="35"/>
        <v>0.758287544405155</v>
      </c>
      <c r="AW37">
        <f t="shared" si="36"/>
        <v>0.758287544405155</v>
      </c>
      <c r="AX37">
        <f t="shared" si="37"/>
        <v>0.758287544405155</v>
      </c>
      <c r="AY37">
        <f t="shared" si="38"/>
        <v>0.758287544405155</v>
      </c>
      <c r="AZ37">
        <f t="shared" si="39"/>
        <v>0.758287544405155</v>
      </c>
      <c r="BA37">
        <f t="shared" si="40"/>
        <v>0.758287544405155</v>
      </c>
      <c r="BB37">
        <f t="shared" si="41"/>
        <v>0.758287544405155</v>
      </c>
      <c r="BC37">
        <f t="shared" si="42"/>
        <v>0.758287544405155</v>
      </c>
      <c r="BD37">
        <f t="shared" si="43"/>
        <v>0.758287544405155</v>
      </c>
      <c r="BE37">
        <f t="shared" si="44"/>
        <v>0.758287544405155</v>
      </c>
    </row>
    <row r="38" spans="1:57" x14ac:dyDescent="0.25">
      <c r="A38" t="s">
        <v>36</v>
      </c>
      <c r="B38">
        <v>6</v>
      </c>
      <c r="C38">
        <v>6</v>
      </c>
      <c r="D38">
        <v>6</v>
      </c>
      <c r="E38">
        <v>6</v>
      </c>
      <c r="F38">
        <v>6</v>
      </c>
      <c r="G38">
        <v>6</v>
      </c>
      <c r="H38">
        <v>6</v>
      </c>
      <c r="I38">
        <v>6</v>
      </c>
      <c r="J38">
        <v>6</v>
      </c>
      <c r="K38">
        <v>6</v>
      </c>
      <c r="L38">
        <v>6</v>
      </c>
      <c r="M38">
        <v>6</v>
      </c>
      <c r="N38">
        <v>6</v>
      </c>
      <c r="O38">
        <v>6</v>
      </c>
      <c r="P38">
        <v>6</v>
      </c>
      <c r="Q38">
        <v>6</v>
      </c>
      <c r="R38">
        <v>6</v>
      </c>
      <c r="S38">
        <v>6</v>
      </c>
      <c r="T38">
        <v>6</v>
      </c>
      <c r="U38">
        <v>6</v>
      </c>
      <c r="V38">
        <v>6</v>
      </c>
      <c r="W38">
        <v>6</v>
      </c>
      <c r="X38">
        <v>6</v>
      </c>
      <c r="Y38">
        <v>6</v>
      </c>
      <c r="Z38">
        <v>126</v>
      </c>
      <c r="AB38">
        <f t="shared" si="18"/>
        <v>6</v>
      </c>
      <c r="AC38">
        <f t="shared" si="19"/>
        <v>0</v>
      </c>
      <c r="AD38" s="3">
        <f t="shared" si="20"/>
        <v>0</v>
      </c>
      <c r="AE38" s="3">
        <f t="shared" si="21"/>
        <v>0</v>
      </c>
      <c r="AG38" t="s">
        <v>36</v>
      </c>
      <c r="AH38">
        <f t="shared" si="23"/>
        <v>0</v>
      </c>
      <c r="AI38">
        <f t="shared" si="45"/>
        <v>0</v>
      </c>
      <c r="AJ38">
        <f t="shared" si="46"/>
        <v>0</v>
      </c>
      <c r="AK38">
        <f t="shared" si="24"/>
        <v>0</v>
      </c>
      <c r="AL38">
        <f t="shared" si="25"/>
        <v>0</v>
      </c>
      <c r="AM38">
        <f t="shared" si="26"/>
        <v>0</v>
      </c>
      <c r="AN38">
        <f t="shared" si="27"/>
        <v>0</v>
      </c>
      <c r="AO38">
        <f t="shared" si="28"/>
        <v>0</v>
      </c>
      <c r="AP38">
        <f t="shared" si="29"/>
        <v>0</v>
      </c>
      <c r="AQ38">
        <f t="shared" si="30"/>
        <v>0</v>
      </c>
      <c r="AR38">
        <f t="shared" si="31"/>
        <v>0</v>
      </c>
      <c r="AS38">
        <f t="shared" si="32"/>
        <v>0</v>
      </c>
      <c r="AT38">
        <f t="shared" si="33"/>
        <v>0</v>
      </c>
      <c r="AU38">
        <f t="shared" si="34"/>
        <v>0</v>
      </c>
      <c r="AV38">
        <f t="shared" si="35"/>
        <v>0</v>
      </c>
      <c r="AW38">
        <f t="shared" si="36"/>
        <v>0</v>
      </c>
      <c r="AX38">
        <f t="shared" si="37"/>
        <v>0</v>
      </c>
      <c r="AY38">
        <f t="shared" si="38"/>
        <v>0</v>
      </c>
      <c r="AZ38">
        <f t="shared" si="39"/>
        <v>0</v>
      </c>
      <c r="BA38">
        <f t="shared" si="40"/>
        <v>0</v>
      </c>
      <c r="BB38">
        <f t="shared" si="41"/>
        <v>0</v>
      </c>
      <c r="BC38">
        <f t="shared" si="42"/>
        <v>0</v>
      </c>
      <c r="BD38">
        <f t="shared" si="43"/>
        <v>0</v>
      </c>
      <c r="BE38">
        <f t="shared" si="44"/>
        <v>0</v>
      </c>
    </row>
    <row r="39" spans="1:57" x14ac:dyDescent="0.25">
      <c r="A39" t="s">
        <v>35</v>
      </c>
      <c r="B39">
        <v>9</v>
      </c>
      <c r="C39">
        <v>11</v>
      </c>
      <c r="D39">
        <v>11</v>
      </c>
      <c r="E39">
        <v>11</v>
      </c>
      <c r="F39">
        <v>11</v>
      </c>
      <c r="G39">
        <v>11</v>
      </c>
      <c r="H39">
        <v>11</v>
      </c>
      <c r="I39">
        <v>11</v>
      </c>
      <c r="J39">
        <v>11</v>
      </c>
      <c r="K39">
        <v>11</v>
      </c>
      <c r="L39">
        <v>11</v>
      </c>
      <c r="M39">
        <v>11</v>
      </c>
      <c r="N39">
        <v>14</v>
      </c>
      <c r="O39">
        <v>14</v>
      </c>
      <c r="P39">
        <v>14</v>
      </c>
      <c r="Q39">
        <v>14</v>
      </c>
      <c r="R39">
        <v>14</v>
      </c>
      <c r="S39">
        <v>14</v>
      </c>
      <c r="T39">
        <v>14</v>
      </c>
      <c r="U39">
        <v>14</v>
      </c>
      <c r="V39">
        <v>14</v>
      </c>
      <c r="W39">
        <v>14</v>
      </c>
      <c r="X39">
        <v>14</v>
      </c>
      <c r="Y39">
        <v>14</v>
      </c>
      <c r="Z39">
        <v>298</v>
      </c>
      <c r="AB39">
        <f t="shared" si="18"/>
        <v>12.416666666666666</v>
      </c>
      <c r="AC39">
        <f t="shared" si="19"/>
        <v>1.66594187138705</v>
      </c>
      <c r="AD39" s="3">
        <f t="shared" si="20"/>
        <v>2.0269766762328834E-2</v>
      </c>
      <c r="AE39" s="3">
        <f t="shared" si="21"/>
        <v>1.8724064864796164E-2</v>
      </c>
      <c r="AG39" t="s">
        <v>35</v>
      </c>
      <c r="AH39">
        <f t="shared" si="23"/>
        <v>-2.0508918860548095</v>
      </c>
      <c r="AI39">
        <f t="shared" si="45"/>
        <v>-0.85036980641296966</v>
      </c>
      <c r="AJ39">
        <f t="shared" si="46"/>
        <v>-0.85036980641296966</v>
      </c>
      <c r="AK39">
        <f t="shared" si="24"/>
        <v>-0.85036980641296966</v>
      </c>
      <c r="AL39">
        <f t="shared" si="25"/>
        <v>-0.85036980641296966</v>
      </c>
      <c r="AM39">
        <f t="shared" si="26"/>
        <v>-0.85036980641296966</v>
      </c>
      <c r="AN39">
        <f t="shared" si="27"/>
        <v>-0.85036980641296966</v>
      </c>
      <c r="AO39">
        <f t="shared" si="28"/>
        <v>-0.85036980641296966</v>
      </c>
      <c r="AP39">
        <f t="shared" si="29"/>
        <v>-0.85036980641296966</v>
      </c>
      <c r="AQ39">
        <f t="shared" si="30"/>
        <v>-0.85036980641296966</v>
      </c>
      <c r="AR39">
        <f t="shared" si="31"/>
        <v>-0.85036980641296966</v>
      </c>
      <c r="AS39">
        <f t="shared" si="32"/>
        <v>-0.85036980641296966</v>
      </c>
      <c r="AT39">
        <f t="shared" si="33"/>
        <v>0.95041331304979038</v>
      </c>
      <c r="AU39">
        <f t="shared" si="34"/>
        <v>0.95041331304979038</v>
      </c>
      <c r="AV39">
        <f t="shared" si="35"/>
        <v>0.95041331304979038</v>
      </c>
      <c r="AW39">
        <f t="shared" si="36"/>
        <v>0.95041331304979038</v>
      </c>
      <c r="AX39">
        <f t="shared" si="37"/>
        <v>0.95041331304979038</v>
      </c>
      <c r="AY39">
        <f t="shared" si="38"/>
        <v>0.95041331304979038</v>
      </c>
      <c r="AZ39">
        <f t="shared" si="39"/>
        <v>0.95041331304979038</v>
      </c>
      <c r="BA39">
        <f t="shared" si="40"/>
        <v>0.95041331304979038</v>
      </c>
      <c r="BB39">
        <f t="shared" si="41"/>
        <v>0.95041331304979038</v>
      </c>
      <c r="BC39">
        <f t="shared" si="42"/>
        <v>0.95041331304979038</v>
      </c>
      <c r="BD39">
        <f t="shared" si="43"/>
        <v>0.95041331304979038</v>
      </c>
      <c r="BE39">
        <f t="shared" si="44"/>
        <v>0.95041331304979038</v>
      </c>
    </row>
    <row r="40" spans="1:57" x14ac:dyDescent="0.25">
      <c r="A40" t="s">
        <v>34</v>
      </c>
      <c r="B40">
        <v>13</v>
      </c>
      <c r="C40">
        <v>13</v>
      </c>
      <c r="D40">
        <v>13</v>
      </c>
      <c r="E40">
        <v>13</v>
      </c>
      <c r="F40">
        <v>13</v>
      </c>
      <c r="G40">
        <v>13</v>
      </c>
      <c r="H40">
        <v>13</v>
      </c>
      <c r="I40">
        <v>13</v>
      </c>
      <c r="J40">
        <v>13</v>
      </c>
      <c r="K40">
        <v>13</v>
      </c>
      <c r="L40">
        <v>13</v>
      </c>
      <c r="M40">
        <v>13</v>
      </c>
      <c r="N40">
        <v>13</v>
      </c>
      <c r="O40">
        <v>13</v>
      </c>
      <c r="P40">
        <v>13</v>
      </c>
      <c r="Q40">
        <v>13</v>
      </c>
      <c r="R40">
        <v>13</v>
      </c>
      <c r="S40">
        <v>13</v>
      </c>
      <c r="T40">
        <v>13</v>
      </c>
      <c r="U40">
        <v>13</v>
      </c>
      <c r="V40">
        <v>13</v>
      </c>
      <c r="W40">
        <v>13</v>
      </c>
      <c r="X40">
        <v>13</v>
      </c>
      <c r="Y40">
        <v>13</v>
      </c>
      <c r="Z40">
        <v>312</v>
      </c>
      <c r="AB40">
        <f t="shared" si="18"/>
        <v>13</v>
      </c>
      <c r="AC40">
        <f t="shared" si="19"/>
        <v>0</v>
      </c>
      <c r="AD40" s="3">
        <f t="shared" si="20"/>
        <v>0</v>
      </c>
      <c r="AE40" s="3">
        <f t="shared" si="21"/>
        <v>0</v>
      </c>
      <c r="AG40" t="s">
        <v>34</v>
      </c>
      <c r="AH40">
        <f t="shared" si="23"/>
        <v>0</v>
      </c>
      <c r="AI40">
        <f t="shared" si="45"/>
        <v>0</v>
      </c>
      <c r="AJ40">
        <f t="shared" si="46"/>
        <v>0</v>
      </c>
      <c r="AK40">
        <f t="shared" si="24"/>
        <v>0</v>
      </c>
      <c r="AL40">
        <f t="shared" si="25"/>
        <v>0</v>
      </c>
      <c r="AM40">
        <f t="shared" si="26"/>
        <v>0</v>
      </c>
      <c r="AN40">
        <f t="shared" si="27"/>
        <v>0</v>
      </c>
      <c r="AO40">
        <f t="shared" si="28"/>
        <v>0</v>
      </c>
      <c r="AP40">
        <f t="shared" si="29"/>
        <v>0</v>
      </c>
      <c r="AQ40">
        <f t="shared" si="30"/>
        <v>0</v>
      </c>
      <c r="AR40">
        <f t="shared" si="31"/>
        <v>0</v>
      </c>
      <c r="AS40">
        <f t="shared" si="32"/>
        <v>0</v>
      </c>
      <c r="AT40">
        <f t="shared" si="33"/>
        <v>0</v>
      </c>
      <c r="AU40">
        <f t="shared" si="34"/>
        <v>0</v>
      </c>
      <c r="AV40">
        <f t="shared" si="35"/>
        <v>0</v>
      </c>
      <c r="AW40">
        <f t="shared" si="36"/>
        <v>0</v>
      </c>
      <c r="AX40">
        <f t="shared" si="37"/>
        <v>0</v>
      </c>
      <c r="AY40">
        <f t="shared" si="38"/>
        <v>0</v>
      </c>
      <c r="AZ40">
        <f t="shared" si="39"/>
        <v>0</v>
      </c>
      <c r="BA40">
        <f t="shared" si="40"/>
        <v>0</v>
      </c>
      <c r="BB40">
        <f t="shared" si="41"/>
        <v>0</v>
      </c>
      <c r="BC40">
        <f t="shared" si="42"/>
        <v>0</v>
      </c>
      <c r="BD40">
        <f t="shared" si="43"/>
        <v>0</v>
      </c>
      <c r="BE40">
        <f t="shared" si="44"/>
        <v>0</v>
      </c>
    </row>
    <row r="41" spans="1:57" x14ac:dyDescent="0.25">
      <c r="A41" t="s">
        <v>30</v>
      </c>
      <c r="B41">
        <v>10</v>
      </c>
      <c r="C41">
        <v>10</v>
      </c>
      <c r="D41">
        <v>10</v>
      </c>
      <c r="E41">
        <v>10</v>
      </c>
      <c r="F41">
        <v>10</v>
      </c>
      <c r="G41">
        <v>10</v>
      </c>
      <c r="H41">
        <v>10</v>
      </c>
      <c r="I41">
        <v>10</v>
      </c>
      <c r="J41">
        <v>10</v>
      </c>
      <c r="K41">
        <v>10</v>
      </c>
      <c r="L41">
        <v>10</v>
      </c>
      <c r="M41">
        <v>10</v>
      </c>
      <c r="N41">
        <v>10</v>
      </c>
      <c r="O41">
        <v>10</v>
      </c>
      <c r="P41">
        <v>10</v>
      </c>
      <c r="Q41">
        <v>10</v>
      </c>
      <c r="R41">
        <v>10</v>
      </c>
      <c r="S41">
        <v>10</v>
      </c>
      <c r="T41">
        <v>10</v>
      </c>
      <c r="U41">
        <v>10</v>
      </c>
      <c r="V41">
        <v>10</v>
      </c>
      <c r="W41">
        <v>10</v>
      </c>
      <c r="X41">
        <v>10</v>
      </c>
      <c r="Y41">
        <v>10</v>
      </c>
      <c r="Z41">
        <v>240</v>
      </c>
      <c r="AB41">
        <f t="shared" si="18"/>
        <v>10</v>
      </c>
      <c r="AC41">
        <f t="shared" si="19"/>
        <v>0</v>
      </c>
      <c r="AD41" s="3">
        <f t="shared" si="20"/>
        <v>0</v>
      </c>
      <c r="AE41" s="3">
        <f t="shared" si="21"/>
        <v>0</v>
      </c>
      <c r="AG41" t="s">
        <v>30</v>
      </c>
      <c r="AH41">
        <f t="shared" si="23"/>
        <v>0</v>
      </c>
      <c r="AI41">
        <f t="shared" si="45"/>
        <v>0</v>
      </c>
      <c r="AJ41">
        <f t="shared" si="46"/>
        <v>0</v>
      </c>
      <c r="AK41">
        <f t="shared" si="24"/>
        <v>0</v>
      </c>
      <c r="AL41">
        <f t="shared" si="25"/>
        <v>0</v>
      </c>
      <c r="AM41">
        <f t="shared" si="26"/>
        <v>0</v>
      </c>
      <c r="AN41">
        <f t="shared" si="27"/>
        <v>0</v>
      </c>
      <c r="AO41">
        <f t="shared" si="28"/>
        <v>0</v>
      </c>
      <c r="AP41">
        <f t="shared" si="29"/>
        <v>0</v>
      </c>
      <c r="AQ41">
        <f t="shared" si="30"/>
        <v>0</v>
      </c>
      <c r="AR41">
        <f t="shared" si="31"/>
        <v>0</v>
      </c>
      <c r="AS41">
        <f t="shared" si="32"/>
        <v>0</v>
      </c>
      <c r="AT41">
        <f t="shared" si="33"/>
        <v>0</v>
      </c>
      <c r="AU41">
        <f t="shared" si="34"/>
        <v>0</v>
      </c>
      <c r="AV41">
        <f t="shared" si="35"/>
        <v>0</v>
      </c>
      <c r="AW41">
        <f t="shared" si="36"/>
        <v>0</v>
      </c>
      <c r="AX41">
        <f t="shared" si="37"/>
        <v>0</v>
      </c>
      <c r="AY41">
        <f t="shared" si="38"/>
        <v>0</v>
      </c>
      <c r="AZ41">
        <f t="shared" si="39"/>
        <v>0</v>
      </c>
      <c r="BA41">
        <f t="shared" si="40"/>
        <v>0</v>
      </c>
      <c r="BB41">
        <f t="shared" si="41"/>
        <v>0</v>
      </c>
      <c r="BC41">
        <f t="shared" si="42"/>
        <v>0</v>
      </c>
      <c r="BD41">
        <f t="shared" si="43"/>
        <v>0</v>
      </c>
      <c r="BE41">
        <f t="shared" si="44"/>
        <v>0</v>
      </c>
    </row>
    <row r="42" spans="1:57" x14ac:dyDescent="0.25">
      <c r="A42" t="s">
        <v>28</v>
      </c>
      <c r="B42">
        <v>10</v>
      </c>
      <c r="C42">
        <v>10</v>
      </c>
      <c r="D42">
        <v>10</v>
      </c>
      <c r="E42">
        <v>10</v>
      </c>
      <c r="F42">
        <v>10</v>
      </c>
      <c r="G42">
        <v>10</v>
      </c>
      <c r="H42">
        <v>10</v>
      </c>
      <c r="I42">
        <v>10</v>
      </c>
      <c r="J42">
        <v>10</v>
      </c>
      <c r="K42">
        <v>10</v>
      </c>
      <c r="L42">
        <v>10</v>
      </c>
      <c r="M42">
        <v>10</v>
      </c>
      <c r="N42">
        <v>10</v>
      </c>
      <c r="O42">
        <v>10</v>
      </c>
      <c r="P42">
        <v>10</v>
      </c>
      <c r="Q42">
        <v>10</v>
      </c>
      <c r="R42">
        <v>10</v>
      </c>
      <c r="S42">
        <v>10</v>
      </c>
      <c r="T42">
        <v>10</v>
      </c>
      <c r="U42">
        <v>10</v>
      </c>
      <c r="V42">
        <v>10</v>
      </c>
      <c r="W42">
        <v>10</v>
      </c>
      <c r="X42">
        <v>10</v>
      </c>
      <c r="Y42">
        <v>10</v>
      </c>
      <c r="Z42">
        <v>240</v>
      </c>
      <c r="AB42">
        <f t="shared" si="18"/>
        <v>10</v>
      </c>
      <c r="AC42">
        <f t="shared" si="19"/>
        <v>0</v>
      </c>
      <c r="AD42" s="3">
        <f t="shared" si="20"/>
        <v>0</v>
      </c>
      <c r="AE42" s="3">
        <f t="shared" si="21"/>
        <v>0</v>
      </c>
      <c r="AG42" t="s">
        <v>28</v>
      </c>
      <c r="AH42">
        <f t="shared" si="23"/>
        <v>0</v>
      </c>
      <c r="AI42">
        <f t="shared" si="45"/>
        <v>0</v>
      </c>
      <c r="AJ42">
        <f t="shared" si="46"/>
        <v>0</v>
      </c>
      <c r="AK42">
        <f t="shared" si="24"/>
        <v>0</v>
      </c>
      <c r="AL42">
        <f t="shared" si="25"/>
        <v>0</v>
      </c>
      <c r="AM42">
        <f t="shared" si="26"/>
        <v>0</v>
      </c>
      <c r="AN42">
        <f t="shared" si="27"/>
        <v>0</v>
      </c>
      <c r="AO42">
        <f t="shared" si="28"/>
        <v>0</v>
      </c>
      <c r="AP42">
        <f t="shared" si="29"/>
        <v>0</v>
      </c>
      <c r="AQ42">
        <f t="shared" si="30"/>
        <v>0</v>
      </c>
      <c r="AR42">
        <f t="shared" si="31"/>
        <v>0</v>
      </c>
      <c r="AS42">
        <f t="shared" si="32"/>
        <v>0</v>
      </c>
      <c r="AT42">
        <f t="shared" si="33"/>
        <v>0</v>
      </c>
      <c r="AU42">
        <f t="shared" si="34"/>
        <v>0</v>
      </c>
      <c r="AV42">
        <f t="shared" si="35"/>
        <v>0</v>
      </c>
      <c r="AW42">
        <f t="shared" si="36"/>
        <v>0</v>
      </c>
      <c r="AX42">
        <f t="shared" si="37"/>
        <v>0</v>
      </c>
      <c r="AY42">
        <f t="shared" si="38"/>
        <v>0</v>
      </c>
      <c r="AZ42">
        <f t="shared" si="39"/>
        <v>0</v>
      </c>
      <c r="BA42">
        <f t="shared" si="40"/>
        <v>0</v>
      </c>
      <c r="BB42">
        <f t="shared" si="41"/>
        <v>0</v>
      </c>
      <c r="BC42">
        <f t="shared" si="42"/>
        <v>0</v>
      </c>
      <c r="BD42">
        <f t="shared" si="43"/>
        <v>0</v>
      </c>
      <c r="BE42">
        <f t="shared" si="44"/>
        <v>0</v>
      </c>
    </row>
    <row r="43" spans="1:57" x14ac:dyDescent="0.25">
      <c r="A43" t="s">
        <v>26</v>
      </c>
      <c r="B43">
        <v>12</v>
      </c>
      <c r="C43">
        <v>12</v>
      </c>
      <c r="D43">
        <v>12</v>
      </c>
      <c r="E43">
        <v>12</v>
      </c>
      <c r="F43">
        <v>12</v>
      </c>
      <c r="G43">
        <v>12</v>
      </c>
      <c r="H43">
        <v>12</v>
      </c>
      <c r="I43">
        <v>12</v>
      </c>
      <c r="J43">
        <v>12</v>
      </c>
      <c r="K43">
        <v>12</v>
      </c>
      <c r="L43">
        <v>12</v>
      </c>
      <c r="M43">
        <v>12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312</v>
      </c>
      <c r="AB43">
        <f t="shared" si="18"/>
        <v>13</v>
      </c>
      <c r="AC43">
        <f t="shared" si="19"/>
        <v>1.0215078369104984</v>
      </c>
      <c r="AD43" s="3">
        <f t="shared" si="20"/>
        <v>0</v>
      </c>
      <c r="AE43" s="3">
        <f t="shared" si="21"/>
        <v>1.1928326359882835E-2</v>
      </c>
      <c r="AG43" t="s">
        <v>26</v>
      </c>
      <c r="AH43">
        <f t="shared" si="23"/>
        <v>-0.97894501037256076</v>
      </c>
      <c r="AI43">
        <f t="shared" si="45"/>
        <v>-0.97894501037256076</v>
      </c>
      <c r="AJ43">
        <f t="shared" si="46"/>
        <v>-0.97894501037256076</v>
      </c>
      <c r="AK43">
        <f t="shared" si="24"/>
        <v>-0.97894501037256076</v>
      </c>
      <c r="AL43">
        <f t="shared" si="25"/>
        <v>-0.97894501037256076</v>
      </c>
      <c r="AM43">
        <f t="shared" si="26"/>
        <v>-0.97894501037256076</v>
      </c>
      <c r="AN43">
        <f t="shared" si="27"/>
        <v>-0.97894501037256076</v>
      </c>
      <c r="AO43">
        <f t="shared" si="28"/>
        <v>-0.97894501037256076</v>
      </c>
      <c r="AP43">
        <f t="shared" si="29"/>
        <v>-0.97894501037256076</v>
      </c>
      <c r="AQ43">
        <f t="shared" si="30"/>
        <v>-0.97894501037256076</v>
      </c>
      <c r="AR43">
        <f t="shared" si="31"/>
        <v>-0.97894501037256076</v>
      </c>
      <c r="AS43">
        <f t="shared" si="32"/>
        <v>-0.97894501037256076</v>
      </c>
      <c r="AT43">
        <f t="shared" si="33"/>
        <v>0.97894501037256076</v>
      </c>
      <c r="AU43">
        <f t="shared" si="34"/>
        <v>0.97894501037256076</v>
      </c>
      <c r="AV43">
        <f t="shared" si="35"/>
        <v>0.97894501037256076</v>
      </c>
      <c r="AW43">
        <f t="shared" si="36"/>
        <v>0.97894501037256076</v>
      </c>
      <c r="AX43">
        <f t="shared" si="37"/>
        <v>0.97894501037256076</v>
      </c>
      <c r="AY43">
        <f t="shared" si="38"/>
        <v>0.97894501037256076</v>
      </c>
      <c r="AZ43">
        <f t="shared" si="39"/>
        <v>0.97894501037256076</v>
      </c>
      <c r="BA43">
        <f t="shared" si="40"/>
        <v>0.97894501037256076</v>
      </c>
      <c r="BB43">
        <f t="shared" si="41"/>
        <v>0.97894501037256076</v>
      </c>
      <c r="BC43">
        <f t="shared" si="42"/>
        <v>0.97894501037256076</v>
      </c>
      <c r="BD43">
        <f t="shared" si="43"/>
        <v>0.97894501037256076</v>
      </c>
      <c r="BE43">
        <f t="shared" si="44"/>
        <v>0.97894501037256076</v>
      </c>
    </row>
    <row r="44" spans="1:57" x14ac:dyDescent="0.25">
      <c r="A44" t="s">
        <v>27</v>
      </c>
      <c r="B44">
        <v>10</v>
      </c>
      <c r="C44">
        <v>10</v>
      </c>
      <c r="D44">
        <v>10</v>
      </c>
      <c r="E44">
        <v>10</v>
      </c>
      <c r="F44">
        <v>10</v>
      </c>
      <c r="G44">
        <v>10</v>
      </c>
      <c r="H44">
        <v>10</v>
      </c>
      <c r="I44">
        <v>10</v>
      </c>
      <c r="J44">
        <v>10</v>
      </c>
      <c r="K44">
        <v>10</v>
      </c>
      <c r="L44">
        <v>10</v>
      </c>
      <c r="M44">
        <v>10</v>
      </c>
      <c r="N44">
        <v>11</v>
      </c>
      <c r="O44">
        <v>11</v>
      </c>
      <c r="P44">
        <v>11</v>
      </c>
      <c r="Q44">
        <v>11</v>
      </c>
      <c r="R44">
        <v>11</v>
      </c>
      <c r="S44">
        <v>11</v>
      </c>
      <c r="T44">
        <v>13</v>
      </c>
      <c r="U44">
        <v>13</v>
      </c>
      <c r="V44">
        <v>13</v>
      </c>
      <c r="W44">
        <v>13</v>
      </c>
      <c r="X44">
        <v>13</v>
      </c>
      <c r="Y44">
        <v>13</v>
      </c>
      <c r="Z44">
        <v>264</v>
      </c>
      <c r="AB44">
        <f t="shared" si="18"/>
        <v>11</v>
      </c>
      <c r="AC44">
        <f t="shared" si="19"/>
        <v>1.2510864843424485</v>
      </c>
      <c r="AD44" s="3">
        <f t="shared" si="20"/>
        <v>0</v>
      </c>
      <c r="AE44" s="3">
        <f t="shared" si="21"/>
        <v>2.0386897344028876E-2</v>
      </c>
      <c r="AG44" t="s">
        <v>27</v>
      </c>
      <c r="AH44">
        <f t="shared" si="23"/>
        <v>-0.79930525388545326</v>
      </c>
      <c r="AI44">
        <f t="shared" si="45"/>
        <v>-0.79930525388545326</v>
      </c>
      <c r="AJ44">
        <f t="shared" si="46"/>
        <v>-0.79930525388545326</v>
      </c>
      <c r="AK44">
        <f t="shared" si="24"/>
        <v>-0.79930525388545326</v>
      </c>
      <c r="AL44">
        <f t="shared" si="25"/>
        <v>-0.79930525388545326</v>
      </c>
      <c r="AM44">
        <f t="shared" si="26"/>
        <v>-0.79930525388545326</v>
      </c>
      <c r="AN44">
        <f t="shared" si="27"/>
        <v>-0.79930525388545326</v>
      </c>
      <c r="AO44">
        <f t="shared" si="28"/>
        <v>-0.79930525388545326</v>
      </c>
      <c r="AP44">
        <f t="shared" si="29"/>
        <v>-0.79930525388545326</v>
      </c>
      <c r="AQ44">
        <f t="shared" si="30"/>
        <v>-0.79930525388545326</v>
      </c>
      <c r="AR44">
        <f t="shared" si="31"/>
        <v>-0.79930525388545326</v>
      </c>
      <c r="AS44">
        <f t="shared" si="32"/>
        <v>-0.79930525388545326</v>
      </c>
      <c r="AT44">
        <f t="shared" si="33"/>
        <v>0</v>
      </c>
      <c r="AU44">
        <f t="shared" si="34"/>
        <v>0</v>
      </c>
      <c r="AV44">
        <f t="shared" si="35"/>
        <v>0</v>
      </c>
      <c r="AW44">
        <f t="shared" si="36"/>
        <v>0</v>
      </c>
      <c r="AX44">
        <f t="shared" si="37"/>
        <v>0</v>
      </c>
      <c r="AY44">
        <f t="shared" si="38"/>
        <v>0</v>
      </c>
      <c r="AZ44">
        <f t="shared" si="39"/>
        <v>1.5986105077709065</v>
      </c>
      <c r="BA44">
        <f t="shared" si="40"/>
        <v>1.5986105077709065</v>
      </c>
      <c r="BB44">
        <f t="shared" si="41"/>
        <v>1.5986105077709065</v>
      </c>
      <c r="BC44">
        <f t="shared" si="42"/>
        <v>1.5986105077709065</v>
      </c>
      <c r="BD44">
        <f t="shared" si="43"/>
        <v>1.5986105077709065</v>
      </c>
      <c r="BE44">
        <f t="shared" si="44"/>
        <v>1.5986105077709065</v>
      </c>
    </row>
    <row r="45" spans="1:57" x14ac:dyDescent="0.25">
      <c r="A45" t="s">
        <v>32</v>
      </c>
      <c r="B45">
        <v>9</v>
      </c>
      <c r="C45">
        <v>9</v>
      </c>
      <c r="D45">
        <v>9</v>
      </c>
      <c r="E45">
        <v>9</v>
      </c>
      <c r="F45">
        <v>9</v>
      </c>
      <c r="G45">
        <v>10</v>
      </c>
      <c r="H45">
        <v>10</v>
      </c>
      <c r="I45">
        <v>10</v>
      </c>
      <c r="J45">
        <v>10</v>
      </c>
      <c r="K45">
        <v>10</v>
      </c>
      <c r="L45">
        <v>10</v>
      </c>
      <c r="M45">
        <v>10</v>
      </c>
      <c r="N45">
        <v>10</v>
      </c>
      <c r="O45">
        <v>10</v>
      </c>
      <c r="P45">
        <v>10</v>
      </c>
      <c r="Q45">
        <v>10</v>
      </c>
      <c r="R45">
        <v>10</v>
      </c>
      <c r="S45">
        <v>10</v>
      </c>
      <c r="T45">
        <v>10</v>
      </c>
      <c r="U45">
        <v>10</v>
      </c>
      <c r="V45">
        <v>9</v>
      </c>
      <c r="W45">
        <v>9</v>
      </c>
      <c r="X45">
        <v>9</v>
      </c>
      <c r="Y45">
        <v>9</v>
      </c>
      <c r="Z45">
        <v>231</v>
      </c>
      <c r="AB45">
        <f t="shared" si="18"/>
        <v>9.625</v>
      </c>
      <c r="AC45">
        <f t="shared" si="19"/>
        <v>0.49453535504684026</v>
      </c>
      <c r="AD45" s="3">
        <f t="shared" si="20"/>
        <v>1.0591751203291366E-2</v>
      </c>
      <c r="AE45" s="3">
        <f t="shared" si="21"/>
        <v>-8.0719008806711123E-3</v>
      </c>
      <c r="AG45" t="s">
        <v>32</v>
      </c>
      <c r="AH45">
        <f t="shared" si="23"/>
        <v>-1.2638125740085917</v>
      </c>
      <c r="AI45">
        <f t="shared" si="45"/>
        <v>-1.2638125740085917</v>
      </c>
      <c r="AJ45">
        <f t="shared" si="46"/>
        <v>-1.2638125740085917</v>
      </c>
      <c r="AK45">
        <f t="shared" si="24"/>
        <v>-1.2638125740085917</v>
      </c>
      <c r="AL45">
        <f t="shared" si="25"/>
        <v>-1.2638125740085917</v>
      </c>
      <c r="AM45">
        <f t="shared" si="26"/>
        <v>0.758287544405155</v>
      </c>
      <c r="AN45">
        <f t="shared" si="27"/>
        <v>0.758287544405155</v>
      </c>
      <c r="AO45">
        <f t="shared" si="28"/>
        <v>0.758287544405155</v>
      </c>
      <c r="AP45">
        <f t="shared" si="29"/>
        <v>0.758287544405155</v>
      </c>
      <c r="AQ45">
        <f t="shared" si="30"/>
        <v>0.758287544405155</v>
      </c>
      <c r="AR45">
        <f t="shared" si="31"/>
        <v>0.758287544405155</v>
      </c>
      <c r="AS45">
        <f t="shared" si="32"/>
        <v>0.758287544405155</v>
      </c>
      <c r="AT45">
        <f t="shared" si="33"/>
        <v>0.758287544405155</v>
      </c>
      <c r="AU45">
        <f t="shared" si="34"/>
        <v>0.758287544405155</v>
      </c>
      <c r="AV45">
        <f t="shared" si="35"/>
        <v>0.758287544405155</v>
      </c>
      <c r="AW45">
        <f t="shared" si="36"/>
        <v>0.758287544405155</v>
      </c>
      <c r="AX45">
        <f t="shared" si="37"/>
        <v>0.758287544405155</v>
      </c>
      <c r="AY45">
        <f t="shared" si="38"/>
        <v>0.758287544405155</v>
      </c>
      <c r="AZ45">
        <f t="shared" si="39"/>
        <v>0.758287544405155</v>
      </c>
      <c r="BA45">
        <f t="shared" si="40"/>
        <v>0.758287544405155</v>
      </c>
      <c r="BB45">
        <f t="shared" si="41"/>
        <v>-1.2638125740085917</v>
      </c>
      <c r="BC45">
        <f t="shared" si="42"/>
        <v>-1.2638125740085917</v>
      </c>
      <c r="BD45">
        <f t="shared" si="43"/>
        <v>-1.2638125740085917</v>
      </c>
      <c r="BE45">
        <f t="shared" si="44"/>
        <v>-1.2638125740085917</v>
      </c>
    </row>
    <row r="46" spans="1:57" x14ac:dyDescent="0.25">
      <c r="A46" t="s">
        <v>29</v>
      </c>
      <c r="B46">
        <v>9</v>
      </c>
      <c r="C46">
        <v>9</v>
      </c>
      <c r="D46">
        <v>9</v>
      </c>
      <c r="E46">
        <v>9</v>
      </c>
      <c r="F46">
        <v>9</v>
      </c>
      <c r="G46">
        <v>9</v>
      </c>
      <c r="H46">
        <v>9</v>
      </c>
      <c r="I46">
        <v>9</v>
      </c>
      <c r="J46">
        <v>9</v>
      </c>
      <c r="K46">
        <v>12</v>
      </c>
      <c r="L46">
        <v>12</v>
      </c>
      <c r="M46">
        <v>12</v>
      </c>
      <c r="N46">
        <v>12</v>
      </c>
      <c r="O46">
        <v>12</v>
      </c>
      <c r="P46">
        <v>12</v>
      </c>
      <c r="Q46">
        <v>12</v>
      </c>
      <c r="R46">
        <v>12</v>
      </c>
      <c r="S46">
        <v>12</v>
      </c>
      <c r="T46">
        <v>12</v>
      </c>
      <c r="U46">
        <v>12</v>
      </c>
      <c r="V46">
        <v>12</v>
      </c>
      <c r="W46">
        <v>12</v>
      </c>
      <c r="X46">
        <v>12</v>
      </c>
      <c r="Y46">
        <v>12</v>
      </c>
      <c r="Z46">
        <v>261</v>
      </c>
      <c r="AB46">
        <f t="shared" si="18"/>
        <v>10.875</v>
      </c>
      <c r="AC46">
        <f t="shared" si="19"/>
        <v>1.4836060651405207</v>
      </c>
      <c r="AD46" s="3">
        <f t="shared" si="20"/>
        <v>2.9186008964760646E-2</v>
      </c>
      <c r="AE46" s="3">
        <f t="shared" si="21"/>
        <v>0</v>
      </c>
      <c r="AG46" t="s">
        <v>29</v>
      </c>
      <c r="AH46">
        <f t="shared" si="23"/>
        <v>-1.2638125740085917</v>
      </c>
      <c r="AI46">
        <f t="shared" si="45"/>
        <v>-1.2638125740085917</v>
      </c>
      <c r="AJ46">
        <f t="shared" si="46"/>
        <v>-1.2638125740085917</v>
      </c>
      <c r="AK46">
        <f t="shared" si="24"/>
        <v>-1.2638125740085917</v>
      </c>
      <c r="AL46">
        <f t="shared" si="25"/>
        <v>-1.2638125740085917</v>
      </c>
      <c r="AM46">
        <f t="shared" si="26"/>
        <v>-1.2638125740085917</v>
      </c>
      <c r="AN46">
        <f t="shared" si="27"/>
        <v>-1.2638125740085917</v>
      </c>
      <c r="AO46">
        <f t="shared" si="28"/>
        <v>-1.2638125740085917</v>
      </c>
      <c r="AP46">
        <f t="shared" si="29"/>
        <v>-1.2638125740085917</v>
      </c>
      <c r="AQ46">
        <f t="shared" si="30"/>
        <v>0.75828754440515511</v>
      </c>
      <c r="AR46">
        <f t="shared" si="31"/>
        <v>0.75828754440515511</v>
      </c>
      <c r="AS46">
        <f t="shared" si="32"/>
        <v>0.75828754440515511</v>
      </c>
      <c r="AT46">
        <f t="shared" si="33"/>
        <v>0.75828754440515511</v>
      </c>
      <c r="AU46">
        <f t="shared" si="34"/>
        <v>0.75828754440515511</v>
      </c>
      <c r="AV46">
        <f t="shared" si="35"/>
        <v>0.75828754440515511</v>
      </c>
      <c r="AW46">
        <f t="shared" si="36"/>
        <v>0.75828754440515511</v>
      </c>
      <c r="AX46">
        <f t="shared" si="37"/>
        <v>0.75828754440515511</v>
      </c>
      <c r="AY46">
        <f t="shared" si="38"/>
        <v>0.75828754440515511</v>
      </c>
      <c r="AZ46">
        <f t="shared" si="39"/>
        <v>0.75828754440515511</v>
      </c>
      <c r="BA46">
        <f t="shared" si="40"/>
        <v>0.75828754440515511</v>
      </c>
      <c r="BB46">
        <f t="shared" si="41"/>
        <v>0.75828754440515511</v>
      </c>
      <c r="BC46">
        <f t="shared" si="42"/>
        <v>0.75828754440515511</v>
      </c>
      <c r="BD46">
        <f t="shared" si="43"/>
        <v>0.75828754440515511</v>
      </c>
      <c r="BE46">
        <f t="shared" si="44"/>
        <v>0.75828754440515511</v>
      </c>
    </row>
    <row r="47" spans="1:57" x14ac:dyDescent="0.25">
      <c r="A47" t="s">
        <v>31</v>
      </c>
      <c r="B47">
        <v>8</v>
      </c>
      <c r="C47">
        <v>8</v>
      </c>
      <c r="D47">
        <v>8</v>
      </c>
      <c r="E47">
        <v>10</v>
      </c>
      <c r="F47">
        <v>10</v>
      </c>
      <c r="G47">
        <v>10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10</v>
      </c>
      <c r="Y47">
        <v>10</v>
      </c>
      <c r="Z47">
        <v>234</v>
      </c>
      <c r="AB47">
        <f t="shared" si="18"/>
        <v>9.75</v>
      </c>
      <c r="AC47">
        <f t="shared" si="19"/>
        <v>0.67566392469217618</v>
      </c>
      <c r="AD47" s="3">
        <f t="shared" si="20"/>
        <v>2.2565182563572872E-2</v>
      </c>
      <c r="AE47" s="3">
        <f t="shared" si="21"/>
        <v>0</v>
      </c>
      <c r="AG47" t="s">
        <v>31</v>
      </c>
      <c r="AH47">
        <f t="shared" si="23"/>
        <v>-2.5900450446533423</v>
      </c>
      <c r="AI47">
        <f t="shared" si="45"/>
        <v>-2.5900450446533423</v>
      </c>
      <c r="AJ47">
        <f t="shared" si="46"/>
        <v>-2.5900450446533423</v>
      </c>
      <c r="AK47">
        <f t="shared" si="24"/>
        <v>0.37000643495047747</v>
      </c>
      <c r="AL47">
        <f t="shared" si="25"/>
        <v>0.37000643495047747</v>
      </c>
      <c r="AM47">
        <f t="shared" si="26"/>
        <v>0.37000643495047747</v>
      </c>
      <c r="AN47">
        <f t="shared" si="27"/>
        <v>0.37000643495047747</v>
      </c>
      <c r="AO47">
        <f t="shared" si="28"/>
        <v>0.37000643495047747</v>
      </c>
      <c r="AP47">
        <f t="shared" si="29"/>
        <v>0.37000643495047747</v>
      </c>
      <c r="AQ47">
        <f t="shared" si="30"/>
        <v>0.37000643495047747</v>
      </c>
      <c r="AR47">
        <f t="shared" si="31"/>
        <v>0.37000643495047747</v>
      </c>
      <c r="AS47">
        <f t="shared" si="32"/>
        <v>0.37000643495047747</v>
      </c>
      <c r="AT47">
        <f t="shared" si="33"/>
        <v>0.37000643495047747</v>
      </c>
      <c r="AU47">
        <f t="shared" si="34"/>
        <v>0.37000643495047747</v>
      </c>
      <c r="AV47">
        <f t="shared" si="35"/>
        <v>0.37000643495047747</v>
      </c>
      <c r="AW47">
        <f t="shared" si="36"/>
        <v>0.37000643495047747</v>
      </c>
      <c r="AX47">
        <f t="shared" si="37"/>
        <v>0.37000643495047747</v>
      </c>
      <c r="AY47">
        <f t="shared" si="38"/>
        <v>0.37000643495047747</v>
      </c>
      <c r="AZ47">
        <f t="shared" si="39"/>
        <v>0.37000643495047747</v>
      </c>
      <c r="BA47">
        <f t="shared" si="40"/>
        <v>0.37000643495047747</v>
      </c>
      <c r="BB47">
        <f t="shared" si="41"/>
        <v>0.37000643495047747</v>
      </c>
      <c r="BC47">
        <f t="shared" si="42"/>
        <v>0.37000643495047747</v>
      </c>
      <c r="BD47">
        <f t="shared" si="43"/>
        <v>0.37000643495047747</v>
      </c>
      <c r="BE47">
        <f t="shared" si="44"/>
        <v>0.37000643495047747</v>
      </c>
    </row>
    <row r="48" spans="1:57" x14ac:dyDescent="0.25">
      <c r="A48" t="s">
        <v>33</v>
      </c>
      <c r="B48">
        <v>8</v>
      </c>
      <c r="C48">
        <v>8</v>
      </c>
      <c r="D48">
        <v>8</v>
      </c>
      <c r="E48">
        <v>8</v>
      </c>
      <c r="F48">
        <v>9</v>
      </c>
      <c r="G48">
        <v>9</v>
      </c>
      <c r="H48">
        <v>9</v>
      </c>
      <c r="I48">
        <v>9</v>
      </c>
      <c r="J48">
        <v>9</v>
      </c>
      <c r="K48">
        <v>9</v>
      </c>
      <c r="L48">
        <v>9</v>
      </c>
      <c r="M48">
        <v>9</v>
      </c>
      <c r="N48">
        <v>9</v>
      </c>
      <c r="O48">
        <v>11</v>
      </c>
      <c r="P48">
        <v>11</v>
      </c>
      <c r="Q48">
        <v>11</v>
      </c>
      <c r="R48">
        <v>11</v>
      </c>
      <c r="S48">
        <v>11</v>
      </c>
      <c r="T48">
        <v>11</v>
      </c>
      <c r="U48">
        <v>11</v>
      </c>
      <c r="V48">
        <v>11</v>
      </c>
      <c r="W48">
        <v>11</v>
      </c>
      <c r="X48">
        <v>11</v>
      </c>
      <c r="Y48">
        <v>11</v>
      </c>
      <c r="Z48">
        <v>234</v>
      </c>
      <c r="AB48">
        <f t="shared" si="18"/>
        <v>9.75</v>
      </c>
      <c r="AC48">
        <f t="shared" si="19"/>
        <v>1.2247448713915889</v>
      </c>
      <c r="AD48" s="3">
        <f t="shared" si="20"/>
        <v>1.1847940917808941E-2</v>
      </c>
      <c r="AE48" s="3">
        <f t="shared" si="21"/>
        <v>1.5555960979025896E-2</v>
      </c>
      <c r="AG48" t="s">
        <v>33</v>
      </c>
      <c r="AH48">
        <f t="shared" si="23"/>
        <v>-1.4288690166235207</v>
      </c>
      <c r="AI48">
        <f t="shared" si="45"/>
        <v>-1.4288690166235207</v>
      </c>
      <c r="AJ48">
        <f t="shared" si="46"/>
        <v>-1.4288690166235207</v>
      </c>
      <c r="AK48">
        <f t="shared" si="24"/>
        <v>-1.4288690166235207</v>
      </c>
      <c r="AL48">
        <f t="shared" si="25"/>
        <v>-0.61237243569579458</v>
      </c>
      <c r="AM48">
        <f t="shared" si="26"/>
        <v>-0.61237243569579458</v>
      </c>
      <c r="AN48">
        <f t="shared" si="27"/>
        <v>-0.61237243569579458</v>
      </c>
      <c r="AO48">
        <f t="shared" si="28"/>
        <v>-0.61237243569579458</v>
      </c>
      <c r="AP48">
        <f t="shared" si="29"/>
        <v>-0.61237243569579458</v>
      </c>
      <c r="AQ48">
        <f t="shared" si="30"/>
        <v>-0.61237243569579458</v>
      </c>
      <c r="AR48">
        <f t="shared" si="31"/>
        <v>-0.61237243569579458</v>
      </c>
      <c r="AS48">
        <f t="shared" si="32"/>
        <v>-0.61237243569579458</v>
      </c>
      <c r="AT48">
        <f t="shared" si="33"/>
        <v>-0.61237243569579458</v>
      </c>
      <c r="AU48">
        <f t="shared" si="34"/>
        <v>1.0206207261596576</v>
      </c>
      <c r="AV48">
        <f t="shared" si="35"/>
        <v>1.0206207261596576</v>
      </c>
      <c r="AW48">
        <f t="shared" si="36"/>
        <v>1.0206207261596576</v>
      </c>
      <c r="AX48">
        <f t="shared" si="37"/>
        <v>1.0206207261596576</v>
      </c>
      <c r="AY48">
        <f t="shared" si="38"/>
        <v>1.0206207261596576</v>
      </c>
      <c r="AZ48">
        <f t="shared" si="39"/>
        <v>1.0206207261596576</v>
      </c>
      <c r="BA48">
        <f t="shared" si="40"/>
        <v>1.0206207261596576</v>
      </c>
      <c r="BB48">
        <f t="shared" si="41"/>
        <v>1.0206207261596576</v>
      </c>
      <c r="BC48">
        <f t="shared" si="42"/>
        <v>1.0206207261596576</v>
      </c>
      <c r="BD48">
        <f t="shared" si="43"/>
        <v>1.0206207261596576</v>
      </c>
      <c r="BE48">
        <f t="shared" si="44"/>
        <v>1.0206207261596576</v>
      </c>
    </row>
    <row r="49" spans="1:57" x14ac:dyDescent="0.25">
      <c r="A49" t="s">
        <v>23</v>
      </c>
      <c r="B49">
        <v>6</v>
      </c>
      <c r="C49">
        <v>6</v>
      </c>
      <c r="D49">
        <v>6</v>
      </c>
      <c r="E49">
        <v>6</v>
      </c>
      <c r="F49">
        <v>6</v>
      </c>
      <c r="G49">
        <v>6</v>
      </c>
      <c r="H49">
        <v>6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  <c r="U49">
        <v>6</v>
      </c>
      <c r="V49">
        <v>6</v>
      </c>
      <c r="W49">
        <v>6</v>
      </c>
      <c r="X49">
        <v>6</v>
      </c>
      <c r="Y49">
        <v>6</v>
      </c>
      <c r="Z49">
        <v>144</v>
      </c>
      <c r="AB49">
        <f t="shared" si="18"/>
        <v>6</v>
      </c>
      <c r="AC49">
        <f t="shared" si="19"/>
        <v>0</v>
      </c>
      <c r="AD49" s="3">
        <f t="shared" si="20"/>
        <v>0</v>
      </c>
      <c r="AE49" s="3">
        <f t="shared" si="21"/>
        <v>0</v>
      </c>
      <c r="AG49" t="s">
        <v>23</v>
      </c>
      <c r="AH49">
        <f t="shared" si="23"/>
        <v>0</v>
      </c>
      <c r="AI49">
        <f t="shared" si="45"/>
        <v>0</v>
      </c>
      <c r="AJ49">
        <f t="shared" si="46"/>
        <v>0</v>
      </c>
      <c r="AK49">
        <f t="shared" si="24"/>
        <v>0</v>
      </c>
      <c r="AL49">
        <f t="shared" si="25"/>
        <v>0</v>
      </c>
      <c r="AM49">
        <f t="shared" si="26"/>
        <v>0</v>
      </c>
      <c r="AN49">
        <f t="shared" si="27"/>
        <v>0</v>
      </c>
      <c r="AO49">
        <f t="shared" si="28"/>
        <v>0</v>
      </c>
      <c r="AP49">
        <f t="shared" si="29"/>
        <v>0</v>
      </c>
      <c r="AQ49">
        <f t="shared" si="30"/>
        <v>0</v>
      </c>
      <c r="AR49">
        <f t="shared" si="31"/>
        <v>0</v>
      </c>
      <c r="AS49">
        <f t="shared" si="32"/>
        <v>0</v>
      </c>
      <c r="AT49">
        <f t="shared" si="33"/>
        <v>0</v>
      </c>
      <c r="AU49">
        <f t="shared" si="34"/>
        <v>0</v>
      </c>
      <c r="AV49">
        <f t="shared" si="35"/>
        <v>0</v>
      </c>
      <c r="AW49">
        <f t="shared" si="36"/>
        <v>0</v>
      </c>
      <c r="AX49">
        <f t="shared" si="37"/>
        <v>0</v>
      </c>
      <c r="AY49">
        <f t="shared" si="38"/>
        <v>0</v>
      </c>
      <c r="AZ49">
        <f t="shared" si="39"/>
        <v>0</v>
      </c>
      <c r="BA49">
        <f t="shared" si="40"/>
        <v>0</v>
      </c>
      <c r="BB49">
        <f t="shared" si="41"/>
        <v>0</v>
      </c>
      <c r="BC49">
        <f t="shared" si="42"/>
        <v>0</v>
      </c>
      <c r="BD49">
        <f t="shared" si="43"/>
        <v>0</v>
      </c>
      <c r="BE49">
        <f t="shared" si="44"/>
        <v>0</v>
      </c>
    </row>
    <row r="50" spans="1:57" x14ac:dyDescent="0.25">
      <c r="A50" t="s">
        <v>24</v>
      </c>
      <c r="B50">
        <v>10</v>
      </c>
      <c r="C50">
        <v>10</v>
      </c>
      <c r="D50">
        <v>10</v>
      </c>
      <c r="E50">
        <v>10</v>
      </c>
      <c r="F50">
        <v>10</v>
      </c>
      <c r="G50">
        <v>10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11</v>
      </c>
      <c r="X50">
        <v>11</v>
      </c>
      <c r="Y50">
        <v>11</v>
      </c>
      <c r="Z50">
        <v>243</v>
      </c>
      <c r="AB50">
        <f t="shared" si="18"/>
        <v>10.125</v>
      </c>
      <c r="AC50">
        <f t="shared" si="19"/>
        <v>0.33783196234608809</v>
      </c>
      <c r="AD50" s="3">
        <f t="shared" si="20"/>
        <v>0</v>
      </c>
      <c r="AE50" s="3">
        <f t="shared" si="21"/>
        <v>7.3584939232285151E-3</v>
      </c>
      <c r="AG50" t="s">
        <v>24</v>
      </c>
      <c r="AH50">
        <f t="shared" si="23"/>
        <v>-0.37000643495047747</v>
      </c>
      <c r="AI50">
        <f t="shared" si="45"/>
        <v>-0.37000643495047747</v>
      </c>
      <c r="AJ50">
        <f t="shared" si="46"/>
        <v>-0.37000643495047747</v>
      </c>
      <c r="AK50">
        <f t="shared" si="24"/>
        <v>-0.37000643495047747</v>
      </c>
      <c r="AL50">
        <f t="shared" si="25"/>
        <v>-0.37000643495047747</v>
      </c>
      <c r="AM50">
        <f t="shared" si="26"/>
        <v>-0.37000643495047747</v>
      </c>
      <c r="AN50">
        <f t="shared" si="27"/>
        <v>-0.37000643495047747</v>
      </c>
      <c r="AO50">
        <f t="shared" si="28"/>
        <v>-0.37000643495047747</v>
      </c>
      <c r="AP50">
        <f t="shared" si="29"/>
        <v>-0.37000643495047747</v>
      </c>
      <c r="AQ50">
        <f t="shared" si="30"/>
        <v>-0.37000643495047747</v>
      </c>
      <c r="AR50">
        <f t="shared" si="31"/>
        <v>-0.37000643495047747</v>
      </c>
      <c r="AS50">
        <f t="shared" si="32"/>
        <v>-0.37000643495047747</v>
      </c>
      <c r="AT50">
        <f t="shared" si="33"/>
        <v>-0.37000643495047747</v>
      </c>
      <c r="AU50">
        <f t="shared" si="34"/>
        <v>-0.37000643495047747</v>
      </c>
      <c r="AV50">
        <f t="shared" si="35"/>
        <v>-0.37000643495047747</v>
      </c>
      <c r="AW50">
        <f t="shared" si="36"/>
        <v>-0.37000643495047747</v>
      </c>
      <c r="AX50">
        <f t="shared" si="37"/>
        <v>-0.37000643495047747</v>
      </c>
      <c r="AY50">
        <f t="shared" si="38"/>
        <v>-0.37000643495047747</v>
      </c>
      <c r="AZ50">
        <f t="shared" si="39"/>
        <v>-0.37000643495047747</v>
      </c>
      <c r="BA50">
        <f t="shared" si="40"/>
        <v>-0.37000643495047747</v>
      </c>
      <c r="BB50">
        <f t="shared" si="41"/>
        <v>-0.37000643495047747</v>
      </c>
      <c r="BC50">
        <f t="shared" si="42"/>
        <v>2.5900450446533423</v>
      </c>
      <c r="BD50">
        <f t="shared" si="43"/>
        <v>2.5900450446533423</v>
      </c>
      <c r="BE50">
        <f t="shared" si="44"/>
        <v>2.5900450446533423</v>
      </c>
    </row>
    <row r="51" spans="1:57" x14ac:dyDescent="0.25">
      <c r="A51" t="s">
        <v>25</v>
      </c>
      <c r="B51">
        <v>9</v>
      </c>
      <c r="C51">
        <v>9</v>
      </c>
      <c r="D51">
        <v>9</v>
      </c>
      <c r="E51">
        <v>9</v>
      </c>
      <c r="F51">
        <v>9</v>
      </c>
      <c r="G51">
        <v>9</v>
      </c>
      <c r="H51">
        <v>9</v>
      </c>
      <c r="I51">
        <v>9</v>
      </c>
      <c r="J51">
        <v>9</v>
      </c>
      <c r="K51">
        <v>9</v>
      </c>
      <c r="L51">
        <v>9</v>
      </c>
      <c r="M51">
        <v>9</v>
      </c>
      <c r="N51">
        <v>9</v>
      </c>
      <c r="O51">
        <v>9</v>
      </c>
      <c r="P51">
        <v>9</v>
      </c>
      <c r="Q51">
        <v>9</v>
      </c>
      <c r="R51">
        <v>9</v>
      </c>
      <c r="S51">
        <v>9</v>
      </c>
      <c r="T51">
        <v>9</v>
      </c>
      <c r="U51">
        <v>9</v>
      </c>
      <c r="V51">
        <v>9</v>
      </c>
      <c r="W51">
        <v>9</v>
      </c>
      <c r="X51">
        <v>9</v>
      </c>
      <c r="Y51">
        <v>9</v>
      </c>
      <c r="Z51">
        <v>216</v>
      </c>
      <c r="AB51">
        <f t="shared" si="18"/>
        <v>9</v>
      </c>
      <c r="AC51">
        <f t="shared" si="19"/>
        <v>0</v>
      </c>
      <c r="AD51" s="3">
        <f t="shared" si="20"/>
        <v>0</v>
      </c>
      <c r="AE51" s="3">
        <f t="shared" si="21"/>
        <v>0</v>
      </c>
      <c r="AG51" t="s">
        <v>25</v>
      </c>
      <c r="AH51">
        <f t="shared" si="23"/>
        <v>0</v>
      </c>
      <c r="AI51">
        <f t="shared" si="45"/>
        <v>0</v>
      </c>
      <c r="AJ51">
        <f t="shared" si="46"/>
        <v>0</v>
      </c>
      <c r="AK51">
        <f t="shared" si="24"/>
        <v>0</v>
      </c>
      <c r="AL51">
        <f t="shared" si="25"/>
        <v>0</v>
      </c>
      <c r="AM51">
        <f t="shared" si="26"/>
        <v>0</v>
      </c>
      <c r="AN51">
        <f t="shared" si="27"/>
        <v>0</v>
      </c>
      <c r="AO51">
        <f t="shared" si="28"/>
        <v>0</v>
      </c>
      <c r="AP51">
        <f t="shared" si="29"/>
        <v>0</v>
      </c>
      <c r="AQ51">
        <f t="shared" si="30"/>
        <v>0</v>
      </c>
      <c r="AR51">
        <f t="shared" si="31"/>
        <v>0</v>
      </c>
      <c r="AS51">
        <f t="shared" si="32"/>
        <v>0</v>
      </c>
      <c r="AT51">
        <f t="shared" si="33"/>
        <v>0</v>
      </c>
      <c r="AU51">
        <f t="shared" si="34"/>
        <v>0</v>
      </c>
      <c r="AV51">
        <f t="shared" si="35"/>
        <v>0</v>
      </c>
      <c r="AW51">
        <f t="shared" si="36"/>
        <v>0</v>
      </c>
      <c r="AX51">
        <f t="shared" si="37"/>
        <v>0</v>
      </c>
      <c r="AY51">
        <f t="shared" si="38"/>
        <v>0</v>
      </c>
      <c r="AZ51">
        <f t="shared" si="39"/>
        <v>0</v>
      </c>
      <c r="BA51">
        <f t="shared" si="40"/>
        <v>0</v>
      </c>
      <c r="BB51">
        <f t="shared" si="41"/>
        <v>0</v>
      </c>
      <c r="BC51">
        <f t="shared" si="42"/>
        <v>0</v>
      </c>
      <c r="BD51">
        <f t="shared" si="43"/>
        <v>0</v>
      </c>
      <c r="BE51">
        <f t="shared" si="44"/>
        <v>0</v>
      </c>
    </row>
    <row r="52" spans="1:57" x14ac:dyDescent="0.25">
      <c r="A52" t="s">
        <v>21</v>
      </c>
      <c r="B52">
        <v>10</v>
      </c>
      <c r="C52">
        <v>10</v>
      </c>
      <c r="D52">
        <v>10</v>
      </c>
      <c r="E52">
        <v>10</v>
      </c>
      <c r="F52">
        <v>10</v>
      </c>
      <c r="G52">
        <v>10</v>
      </c>
      <c r="H52">
        <v>10</v>
      </c>
      <c r="I52">
        <v>10</v>
      </c>
      <c r="J52">
        <v>10</v>
      </c>
      <c r="K52">
        <v>10</v>
      </c>
      <c r="L52">
        <v>10</v>
      </c>
      <c r="M52">
        <v>10</v>
      </c>
      <c r="N52">
        <v>10</v>
      </c>
      <c r="O52">
        <v>10</v>
      </c>
      <c r="P52">
        <v>10</v>
      </c>
      <c r="Q52">
        <v>10</v>
      </c>
      <c r="R52">
        <v>10</v>
      </c>
      <c r="S52">
        <v>10</v>
      </c>
      <c r="T52">
        <v>10</v>
      </c>
      <c r="U52">
        <v>10</v>
      </c>
      <c r="V52">
        <v>10</v>
      </c>
      <c r="W52">
        <v>10</v>
      </c>
      <c r="X52">
        <v>10</v>
      </c>
      <c r="Y52">
        <v>10</v>
      </c>
      <c r="Z52">
        <v>240</v>
      </c>
      <c r="AB52">
        <f t="shared" si="18"/>
        <v>10</v>
      </c>
      <c r="AC52">
        <f t="shared" si="19"/>
        <v>0</v>
      </c>
      <c r="AD52" s="3">
        <f t="shared" si="20"/>
        <v>0</v>
      </c>
      <c r="AE52" s="3">
        <f t="shared" si="21"/>
        <v>0</v>
      </c>
      <c r="AG52" t="s">
        <v>21</v>
      </c>
      <c r="AH52">
        <f t="shared" si="23"/>
        <v>0</v>
      </c>
      <c r="AI52">
        <f t="shared" si="45"/>
        <v>0</v>
      </c>
      <c r="AJ52">
        <f t="shared" si="46"/>
        <v>0</v>
      </c>
      <c r="AK52">
        <f t="shared" si="24"/>
        <v>0</v>
      </c>
      <c r="AL52">
        <f t="shared" si="25"/>
        <v>0</v>
      </c>
      <c r="AM52">
        <f t="shared" si="26"/>
        <v>0</v>
      </c>
      <c r="AN52">
        <f t="shared" si="27"/>
        <v>0</v>
      </c>
      <c r="AO52">
        <f t="shared" si="28"/>
        <v>0</v>
      </c>
      <c r="AP52">
        <f t="shared" si="29"/>
        <v>0</v>
      </c>
      <c r="AQ52">
        <f t="shared" si="30"/>
        <v>0</v>
      </c>
      <c r="AR52">
        <f t="shared" si="31"/>
        <v>0</v>
      </c>
      <c r="AS52">
        <f t="shared" si="32"/>
        <v>0</v>
      </c>
      <c r="AT52">
        <f t="shared" si="33"/>
        <v>0</v>
      </c>
      <c r="AU52">
        <f t="shared" si="34"/>
        <v>0</v>
      </c>
      <c r="AV52">
        <f t="shared" si="35"/>
        <v>0</v>
      </c>
      <c r="AW52">
        <f t="shared" si="36"/>
        <v>0</v>
      </c>
      <c r="AX52">
        <f t="shared" si="37"/>
        <v>0</v>
      </c>
      <c r="AY52">
        <f t="shared" si="38"/>
        <v>0</v>
      </c>
      <c r="AZ52">
        <f t="shared" si="39"/>
        <v>0</v>
      </c>
      <c r="BA52">
        <f t="shared" si="40"/>
        <v>0</v>
      </c>
      <c r="BB52">
        <f t="shared" si="41"/>
        <v>0</v>
      </c>
      <c r="BC52">
        <f t="shared" si="42"/>
        <v>0</v>
      </c>
      <c r="BD52">
        <f t="shared" si="43"/>
        <v>0</v>
      </c>
      <c r="BE52">
        <f t="shared" si="44"/>
        <v>0</v>
      </c>
    </row>
    <row r="53" spans="1:57" x14ac:dyDescent="0.25">
      <c r="A53" t="s">
        <v>20</v>
      </c>
      <c r="B53">
        <v>9</v>
      </c>
      <c r="C53">
        <v>9</v>
      </c>
      <c r="D53">
        <v>9</v>
      </c>
      <c r="E53">
        <v>9</v>
      </c>
      <c r="F53">
        <v>9</v>
      </c>
      <c r="G53">
        <v>9</v>
      </c>
      <c r="H53">
        <v>9</v>
      </c>
      <c r="I53">
        <v>9</v>
      </c>
      <c r="J53">
        <v>9</v>
      </c>
      <c r="K53">
        <v>9</v>
      </c>
      <c r="L53">
        <v>9</v>
      </c>
      <c r="M53">
        <v>9</v>
      </c>
      <c r="N53">
        <v>9</v>
      </c>
      <c r="O53">
        <v>9</v>
      </c>
      <c r="P53">
        <v>9</v>
      </c>
      <c r="Q53">
        <v>9</v>
      </c>
      <c r="R53">
        <v>9</v>
      </c>
      <c r="S53">
        <v>9</v>
      </c>
      <c r="T53">
        <v>9</v>
      </c>
      <c r="U53">
        <v>10</v>
      </c>
      <c r="V53">
        <v>10</v>
      </c>
      <c r="W53">
        <v>10</v>
      </c>
      <c r="X53">
        <v>10</v>
      </c>
      <c r="Y53">
        <v>10</v>
      </c>
      <c r="Z53">
        <v>221</v>
      </c>
      <c r="AB53">
        <f t="shared" si="18"/>
        <v>9.2083333333333339</v>
      </c>
      <c r="AC53">
        <f t="shared" si="19"/>
        <v>0.41485111699905347</v>
      </c>
      <c r="AD53" s="3">
        <f t="shared" si="20"/>
        <v>0</v>
      </c>
      <c r="AE53" s="3">
        <f t="shared" si="21"/>
        <v>8.1375866737092295E-3</v>
      </c>
      <c r="AG53" t="s">
        <v>20</v>
      </c>
      <c r="AH53">
        <f t="shared" si="23"/>
        <v>-0.50218819426201344</v>
      </c>
      <c r="AI53">
        <f t="shared" si="45"/>
        <v>-0.50218819426201344</v>
      </c>
      <c r="AJ53">
        <f t="shared" si="46"/>
        <v>-0.50218819426201344</v>
      </c>
      <c r="AK53">
        <f t="shared" si="24"/>
        <v>-0.50218819426201344</v>
      </c>
      <c r="AL53">
        <f t="shared" si="25"/>
        <v>-0.50218819426201344</v>
      </c>
      <c r="AM53">
        <f t="shared" si="26"/>
        <v>-0.50218819426201344</v>
      </c>
      <c r="AN53">
        <f t="shared" si="27"/>
        <v>-0.50218819426201344</v>
      </c>
      <c r="AO53">
        <f t="shared" si="28"/>
        <v>-0.50218819426201344</v>
      </c>
      <c r="AP53">
        <f t="shared" si="29"/>
        <v>-0.50218819426201344</v>
      </c>
      <c r="AQ53">
        <f t="shared" si="30"/>
        <v>-0.50218819426201344</v>
      </c>
      <c r="AR53">
        <f t="shared" si="31"/>
        <v>-0.50218819426201344</v>
      </c>
      <c r="AS53">
        <f t="shared" si="32"/>
        <v>-0.50218819426201344</v>
      </c>
      <c r="AT53">
        <f t="shared" si="33"/>
        <v>-0.50218819426201344</v>
      </c>
      <c r="AU53">
        <f t="shared" si="34"/>
        <v>-0.50218819426201344</v>
      </c>
      <c r="AV53">
        <f t="shared" si="35"/>
        <v>-0.50218819426201344</v>
      </c>
      <c r="AW53">
        <f t="shared" si="36"/>
        <v>-0.50218819426201344</v>
      </c>
      <c r="AX53">
        <f t="shared" si="37"/>
        <v>-0.50218819426201344</v>
      </c>
      <c r="AY53">
        <f t="shared" si="38"/>
        <v>-0.50218819426201344</v>
      </c>
      <c r="AZ53">
        <f t="shared" si="39"/>
        <v>-0.50218819426201344</v>
      </c>
      <c r="BA53">
        <f t="shared" si="40"/>
        <v>1.9083151381956442</v>
      </c>
      <c r="BB53">
        <f t="shared" si="41"/>
        <v>1.9083151381956442</v>
      </c>
      <c r="BC53">
        <f t="shared" si="42"/>
        <v>1.9083151381956442</v>
      </c>
      <c r="BD53">
        <f t="shared" si="43"/>
        <v>1.9083151381956442</v>
      </c>
      <c r="BE53">
        <f t="shared" si="44"/>
        <v>1.9083151381956442</v>
      </c>
    </row>
    <row r="54" spans="1:57" x14ac:dyDescent="0.25">
      <c r="A54" t="s">
        <v>22</v>
      </c>
      <c r="B54">
        <v>11</v>
      </c>
      <c r="C54">
        <v>11</v>
      </c>
      <c r="D54">
        <v>11</v>
      </c>
      <c r="E54">
        <v>11</v>
      </c>
      <c r="F54">
        <v>11</v>
      </c>
      <c r="G54">
        <v>11</v>
      </c>
      <c r="H54">
        <v>11</v>
      </c>
      <c r="I54">
        <v>11</v>
      </c>
      <c r="J54">
        <v>11</v>
      </c>
      <c r="K54">
        <v>11</v>
      </c>
      <c r="L54">
        <v>11</v>
      </c>
      <c r="M54">
        <v>11</v>
      </c>
      <c r="N54">
        <v>11</v>
      </c>
      <c r="O54">
        <v>11</v>
      </c>
      <c r="P54">
        <v>11</v>
      </c>
      <c r="Q54">
        <v>11</v>
      </c>
      <c r="R54">
        <v>11</v>
      </c>
      <c r="S54">
        <v>11</v>
      </c>
      <c r="T54">
        <v>11</v>
      </c>
      <c r="U54">
        <v>11</v>
      </c>
      <c r="V54">
        <v>11</v>
      </c>
      <c r="W54">
        <v>11</v>
      </c>
      <c r="X54">
        <v>11</v>
      </c>
      <c r="Y54">
        <v>11</v>
      </c>
      <c r="Z54">
        <v>264</v>
      </c>
      <c r="AB54">
        <f t="shared" si="18"/>
        <v>11</v>
      </c>
      <c r="AC54">
        <f t="shared" si="19"/>
        <v>0</v>
      </c>
      <c r="AD54" s="3">
        <f t="shared" si="20"/>
        <v>0</v>
      </c>
      <c r="AE54" s="3">
        <f t="shared" si="21"/>
        <v>0</v>
      </c>
      <c r="AG54" t="s">
        <v>22</v>
      </c>
      <c r="AH54">
        <f t="shared" si="23"/>
        <v>0</v>
      </c>
      <c r="AI54">
        <f t="shared" si="45"/>
        <v>0</v>
      </c>
      <c r="AJ54">
        <f t="shared" si="46"/>
        <v>0</v>
      </c>
      <c r="AK54">
        <f t="shared" si="24"/>
        <v>0</v>
      </c>
      <c r="AL54">
        <f t="shared" si="25"/>
        <v>0</v>
      </c>
      <c r="AM54">
        <f t="shared" si="26"/>
        <v>0</v>
      </c>
      <c r="AN54">
        <f t="shared" si="27"/>
        <v>0</v>
      </c>
      <c r="AO54">
        <f t="shared" si="28"/>
        <v>0</v>
      </c>
      <c r="AP54">
        <f t="shared" si="29"/>
        <v>0</v>
      </c>
      <c r="AQ54">
        <f t="shared" si="30"/>
        <v>0</v>
      </c>
      <c r="AR54">
        <f t="shared" si="31"/>
        <v>0</v>
      </c>
      <c r="AS54">
        <f t="shared" si="32"/>
        <v>0</v>
      </c>
      <c r="AT54">
        <f t="shared" si="33"/>
        <v>0</v>
      </c>
      <c r="AU54">
        <f t="shared" si="34"/>
        <v>0</v>
      </c>
      <c r="AV54">
        <f t="shared" si="35"/>
        <v>0</v>
      </c>
      <c r="AW54">
        <f t="shared" si="36"/>
        <v>0</v>
      </c>
      <c r="AX54">
        <f t="shared" si="37"/>
        <v>0</v>
      </c>
      <c r="AY54">
        <f t="shared" si="38"/>
        <v>0</v>
      </c>
      <c r="AZ54">
        <f t="shared" si="39"/>
        <v>0</v>
      </c>
      <c r="BA54">
        <f t="shared" si="40"/>
        <v>0</v>
      </c>
      <c r="BB54">
        <f t="shared" si="41"/>
        <v>0</v>
      </c>
      <c r="BC54">
        <f t="shared" si="42"/>
        <v>0</v>
      </c>
      <c r="BD54">
        <f t="shared" si="43"/>
        <v>0</v>
      </c>
      <c r="BE54">
        <f t="shared" si="44"/>
        <v>0</v>
      </c>
    </row>
    <row r="55" spans="1:57" x14ac:dyDescent="0.25">
      <c r="A55" t="s">
        <v>18</v>
      </c>
      <c r="B55">
        <v>9</v>
      </c>
      <c r="C55">
        <v>9</v>
      </c>
      <c r="D55">
        <v>9</v>
      </c>
      <c r="E55">
        <v>9</v>
      </c>
      <c r="F55">
        <v>9</v>
      </c>
      <c r="G55">
        <v>9</v>
      </c>
      <c r="H55">
        <v>9</v>
      </c>
      <c r="I55">
        <v>9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216</v>
      </c>
      <c r="AB55">
        <f t="shared" si="18"/>
        <v>9</v>
      </c>
      <c r="AC55">
        <f t="shared" si="19"/>
        <v>0</v>
      </c>
      <c r="AD55" s="3">
        <f t="shared" si="20"/>
        <v>0</v>
      </c>
      <c r="AE55" s="3">
        <f t="shared" si="21"/>
        <v>0</v>
      </c>
      <c r="AG55" t="s">
        <v>18</v>
      </c>
      <c r="AH55">
        <f t="shared" si="23"/>
        <v>0</v>
      </c>
      <c r="AI55">
        <f t="shared" si="45"/>
        <v>0</v>
      </c>
      <c r="AJ55">
        <f t="shared" si="46"/>
        <v>0</v>
      </c>
      <c r="AK55">
        <f t="shared" si="24"/>
        <v>0</v>
      </c>
      <c r="AL55">
        <f t="shared" si="25"/>
        <v>0</v>
      </c>
      <c r="AM55">
        <f t="shared" si="26"/>
        <v>0</v>
      </c>
      <c r="AN55">
        <f t="shared" si="27"/>
        <v>0</v>
      </c>
      <c r="AO55">
        <f t="shared" si="28"/>
        <v>0</v>
      </c>
      <c r="AP55">
        <f t="shared" si="29"/>
        <v>0</v>
      </c>
      <c r="AQ55">
        <f t="shared" si="30"/>
        <v>0</v>
      </c>
      <c r="AR55">
        <f t="shared" si="31"/>
        <v>0</v>
      </c>
      <c r="AS55">
        <f t="shared" si="32"/>
        <v>0</v>
      </c>
      <c r="AT55">
        <f t="shared" si="33"/>
        <v>0</v>
      </c>
      <c r="AU55">
        <f t="shared" si="34"/>
        <v>0</v>
      </c>
      <c r="AV55">
        <f t="shared" si="35"/>
        <v>0</v>
      </c>
      <c r="AW55">
        <f t="shared" si="36"/>
        <v>0</v>
      </c>
      <c r="AX55">
        <f t="shared" si="37"/>
        <v>0</v>
      </c>
      <c r="AY55">
        <f t="shared" si="38"/>
        <v>0</v>
      </c>
      <c r="AZ55">
        <f t="shared" si="39"/>
        <v>0</v>
      </c>
      <c r="BA55">
        <f t="shared" si="40"/>
        <v>0</v>
      </c>
      <c r="BB55">
        <f t="shared" si="41"/>
        <v>0</v>
      </c>
      <c r="BC55">
        <f t="shared" si="42"/>
        <v>0</v>
      </c>
      <c r="BD55">
        <f t="shared" si="43"/>
        <v>0</v>
      </c>
      <c r="BE55">
        <f t="shared" si="44"/>
        <v>0</v>
      </c>
    </row>
    <row r="56" spans="1:57" x14ac:dyDescent="0.25">
      <c r="A56" t="s">
        <v>19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  <c r="J56">
        <v>8</v>
      </c>
      <c r="K56">
        <v>8</v>
      </c>
      <c r="L56">
        <v>8</v>
      </c>
      <c r="M56">
        <v>8</v>
      </c>
      <c r="N56">
        <v>12</v>
      </c>
      <c r="O56">
        <v>12</v>
      </c>
      <c r="P56">
        <v>12</v>
      </c>
      <c r="Q56">
        <v>12</v>
      </c>
      <c r="R56">
        <v>12</v>
      </c>
      <c r="S56">
        <v>12</v>
      </c>
      <c r="T56">
        <v>12</v>
      </c>
      <c r="U56">
        <v>12</v>
      </c>
      <c r="V56">
        <v>12</v>
      </c>
      <c r="W56">
        <v>12</v>
      </c>
      <c r="X56">
        <v>12</v>
      </c>
      <c r="Y56">
        <v>12</v>
      </c>
      <c r="Z56">
        <v>240</v>
      </c>
      <c r="AB56">
        <f t="shared" si="18"/>
        <v>10</v>
      </c>
      <c r="AC56">
        <f t="shared" si="19"/>
        <v>2.0430156738209968</v>
      </c>
      <c r="AD56" s="3">
        <f t="shared" si="20"/>
        <v>0</v>
      </c>
      <c r="AE56" s="3">
        <f t="shared" si="21"/>
        <v>3.1681116530724474E-2</v>
      </c>
      <c r="AG56" t="s">
        <v>19</v>
      </c>
      <c r="AH56">
        <f t="shared" si="23"/>
        <v>-0.97894501037256076</v>
      </c>
      <c r="AI56">
        <f t="shared" si="45"/>
        <v>-0.97894501037256076</v>
      </c>
      <c r="AJ56">
        <f t="shared" si="46"/>
        <v>-0.97894501037256076</v>
      </c>
      <c r="AK56">
        <f t="shared" si="24"/>
        <v>-0.97894501037256076</v>
      </c>
      <c r="AL56">
        <f t="shared" si="25"/>
        <v>-0.97894501037256076</v>
      </c>
      <c r="AM56">
        <f t="shared" si="26"/>
        <v>-0.97894501037256076</v>
      </c>
      <c r="AN56">
        <f t="shared" si="27"/>
        <v>-0.97894501037256076</v>
      </c>
      <c r="AO56">
        <f t="shared" si="28"/>
        <v>-0.97894501037256076</v>
      </c>
      <c r="AP56">
        <f t="shared" si="29"/>
        <v>-0.97894501037256076</v>
      </c>
      <c r="AQ56">
        <f t="shared" si="30"/>
        <v>-0.97894501037256076</v>
      </c>
      <c r="AR56">
        <f t="shared" si="31"/>
        <v>-0.97894501037256076</v>
      </c>
      <c r="AS56">
        <f t="shared" si="32"/>
        <v>-0.97894501037256076</v>
      </c>
      <c r="AT56">
        <f t="shared" si="33"/>
        <v>0.97894501037256076</v>
      </c>
      <c r="AU56">
        <f t="shared" si="34"/>
        <v>0.97894501037256076</v>
      </c>
      <c r="AV56">
        <f t="shared" si="35"/>
        <v>0.97894501037256076</v>
      </c>
      <c r="AW56">
        <f t="shared" si="36"/>
        <v>0.97894501037256076</v>
      </c>
      <c r="AX56">
        <f t="shared" si="37"/>
        <v>0.97894501037256076</v>
      </c>
      <c r="AY56">
        <f t="shared" si="38"/>
        <v>0.97894501037256076</v>
      </c>
      <c r="AZ56">
        <f t="shared" si="39"/>
        <v>0.97894501037256076</v>
      </c>
      <c r="BA56">
        <f t="shared" si="40"/>
        <v>0.97894501037256076</v>
      </c>
      <c r="BB56">
        <f t="shared" si="41"/>
        <v>0.97894501037256076</v>
      </c>
      <c r="BC56">
        <f t="shared" si="42"/>
        <v>0.97894501037256076</v>
      </c>
      <c r="BD56">
        <f t="shared" si="43"/>
        <v>0.97894501037256076</v>
      </c>
      <c r="BE56">
        <f t="shared" si="44"/>
        <v>0.97894501037256076</v>
      </c>
    </row>
    <row r="57" spans="1:57" x14ac:dyDescent="0.25">
      <c r="A57" t="s">
        <v>14</v>
      </c>
      <c r="B57">
        <v>11</v>
      </c>
      <c r="C57">
        <v>11</v>
      </c>
      <c r="D57">
        <v>11</v>
      </c>
      <c r="E57">
        <v>11</v>
      </c>
      <c r="F57">
        <v>11</v>
      </c>
      <c r="G57">
        <v>11</v>
      </c>
      <c r="H57">
        <v>11</v>
      </c>
      <c r="I57">
        <v>11</v>
      </c>
      <c r="J57">
        <v>11</v>
      </c>
      <c r="K57">
        <v>11</v>
      </c>
      <c r="L57">
        <v>11</v>
      </c>
      <c r="M57">
        <v>11</v>
      </c>
      <c r="N57">
        <v>11</v>
      </c>
      <c r="O57">
        <v>11</v>
      </c>
      <c r="P57">
        <v>11</v>
      </c>
      <c r="Q57">
        <v>11</v>
      </c>
      <c r="R57">
        <v>11</v>
      </c>
      <c r="S57">
        <v>11</v>
      </c>
      <c r="T57">
        <v>11</v>
      </c>
      <c r="U57">
        <v>11</v>
      </c>
      <c r="V57">
        <v>11</v>
      </c>
      <c r="W57">
        <v>11</v>
      </c>
      <c r="X57">
        <v>11</v>
      </c>
      <c r="Y57">
        <v>11</v>
      </c>
      <c r="Z57">
        <v>264</v>
      </c>
      <c r="AB57">
        <f t="shared" si="18"/>
        <v>11</v>
      </c>
      <c r="AC57">
        <f t="shared" si="19"/>
        <v>0</v>
      </c>
      <c r="AD57" s="3">
        <f t="shared" si="20"/>
        <v>0</v>
      </c>
      <c r="AE57" s="3">
        <f t="shared" si="21"/>
        <v>0</v>
      </c>
      <c r="AG57" t="s">
        <v>14</v>
      </c>
      <c r="AH57">
        <f t="shared" si="23"/>
        <v>0</v>
      </c>
      <c r="AI57">
        <f t="shared" si="45"/>
        <v>0</v>
      </c>
      <c r="AJ57">
        <f t="shared" si="46"/>
        <v>0</v>
      </c>
      <c r="AK57">
        <f t="shared" si="24"/>
        <v>0</v>
      </c>
      <c r="AL57">
        <f t="shared" si="25"/>
        <v>0</v>
      </c>
      <c r="AM57">
        <f t="shared" si="26"/>
        <v>0</v>
      </c>
      <c r="AN57">
        <f t="shared" si="27"/>
        <v>0</v>
      </c>
      <c r="AO57">
        <f t="shared" si="28"/>
        <v>0</v>
      </c>
      <c r="AP57">
        <f t="shared" si="29"/>
        <v>0</v>
      </c>
      <c r="AQ57">
        <f t="shared" si="30"/>
        <v>0</v>
      </c>
      <c r="AR57">
        <f t="shared" si="31"/>
        <v>0</v>
      </c>
      <c r="AS57">
        <f t="shared" si="32"/>
        <v>0</v>
      </c>
      <c r="AT57">
        <f t="shared" si="33"/>
        <v>0</v>
      </c>
      <c r="AU57">
        <f t="shared" si="34"/>
        <v>0</v>
      </c>
      <c r="AV57">
        <f t="shared" si="35"/>
        <v>0</v>
      </c>
      <c r="AW57">
        <f t="shared" si="36"/>
        <v>0</v>
      </c>
      <c r="AX57">
        <f t="shared" si="37"/>
        <v>0</v>
      </c>
      <c r="AY57">
        <f t="shared" si="38"/>
        <v>0</v>
      </c>
      <c r="AZ57">
        <f t="shared" si="39"/>
        <v>0</v>
      </c>
      <c r="BA57">
        <f t="shared" si="40"/>
        <v>0</v>
      </c>
      <c r="BB57">
        <f t="shared" si="41"/>
        <v>0</v>
      </c>
      <c r="BC57">
        <f t="shared" si="42"/>
        <v>0</v>
      </c>
      <c r="BD57">
        <f t="shared" si="43"/>
        <v>0</v>
      </c>
      <c r="BE57">
        <f t="shared" si="44"/>
        <v>0</v>
      </c>
    </row>
    <row r="58" spans="1:57" x14ac:dyDescent="0.25">
      <c r="A58" t="s">
        <v>15</v>
      </c>
      <c r="B58">
        <v>12</v>
      </c>
      <c r="C58">
        <v>12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  <c r="P58">
        <v>12</v>
      </c>
      <c r="Q58">
        <v>12</v>
      </c>
      <c r="R58">
        <v>12</v>
      </c>
      <c r="S58">
        <v>12</v>
      </c>
      <c r="T58">
        <v>12</v>
      </c>
      <c r="U58">
        <v>12</v>
      </c>
      <c r="V58">
        <v>12</v>
      </c>
      <c r="W58">
        <v>12</v>
      </c>
      <c r="X58">
        <v>12</v>
      </c>
      <c r="Y58">
        <v>12</v>
      </c>
      <c r="Z58">
        <v>288</v>
      </c>
      <c r="AB58">
        <f t="shared" si="18"/>
        <v>12</v>
      </c>
      <c r="AC58">
        <f t="shared" si="19"/>
        <v>0</v>
      </c>
      <c r="AD58" s="3">
        <f t="shared" si="20"/>
        <v>0</v>
      </c>
      <c r="AE58" s="3">
        <f t="shared" si="21"/>
        <v>0</v>
      </c>
      <c r="AG58" t="s">
        <v>15</v>
      </c>
      <c r="AH58">
        <f t="shared" si="23"/>
        <v>0</v>
      </c>
      <c r="AI58">
        <f t="shared" si="45"/>
        <v>0</v>
      </c>
      <c r="AJ58">
        <f t="shared" si="46"/>
        <v>0</v>
      </c>
      <c r="AK58">
        <f t="shared" si="24"/>
        <v>0</v>
      </c>
      <c r="AL58">
        <f t="shared" si="25"/>
        <v>0</v>
      </c>
      <c r="AM58">
        <f t="shared" si="26"/>
        <v>0</v>
      </c>
      <c r="AN58">
        <f t="shared" si="27"/>
        <v>0</v>
      </c>
      <c r="AO58">
        <f t="shared" si="28"/>
        <v>0</v>
      </c>
      <c r="AP58">
        <f t="shared" si="29"/>
        <v>0</v>
      </c>
      <c r="AQ58">
        <f t="shared" si="30"/>
        <v>0</v>
      </c>
      <c r="AR58">
        <f t="shared" si="31"/>
        <v>0</v>
      </c>
      <c r="AS58">
        <f t="shared" si="32"/>
        <v>0</v>
      </c>
      <c r="AT58">
        <f t="shared" si="33"/>
        <v>0</v>
      </c>
      <c r="AU58">
        <f t="shared" si="34"/>
        <v>0</v>
      </c>
      <c r="AV58">
        <f t="shared" si="35"/>
        <v>0</v>
      </c>
      <c r="AW58">
        <f t="shared" si="36"/>
        <v>0</v>
      </c>
      <c r="AX58">
        <f t="shared" si="37"/>
        <v>0</v>
      </c>
      <c r="AY58">
        <f t="shared" si="38"/>
        <v>0</v>
      </c>
      <c r="AZ58">
        <f t="shared" si="39"/>
        <v>0</v>
      </c>
      <c r="BA58">
        <f t="shared" si="40"/>
        <v>0</v>
      </c>
      <c r="BB58">
        <f t="shared" si="41"/>
        <v>0</v>
      </c>
      <c r="BC58">
        <f t="shared" si="42"/>
        <v>0</v>
      </c>
      <c r="BD58">
        <f t="shared" si="43"/>
        <v>0</v>
      </c>
      <c r="BE58">
        <f t="shared" si="44"/>
        <v>0</v>
      </c>
    </row>
    <row r="59" spans="1:57" x14ac:dyDescent="0.25">
      <c r="A59" t="s">
        <v>9</v>
      </c>
      <c r="B59">
        <v>9</v>
      </c>
      <c r="C59">
        <v>9</v>
      </c>
      <c r="D59">
        <v>9</v>
      </c>
      <c r="E59">
        <v>9</v>
      </c>
      <c r="F59">
        <v>9</v>
      </c>
      <c r="G59">
        <v>9</v>
      </c>
      <c r="H59">
        <v>9</v>
      </c>
      <c r="I59">
        <v>9</v>
      </c>
      <c r="J59">
        <v>14</v>
      </c>
      <c r="K59">
        <v>14</v>
      </c>
      <c r="L59">
        <v>14</v>
      </c>
      <c r="M59">
        <v>14</v>
      </c>
      <c r="N59">
        <v>14</v>
      </c>
      <c r="O59">
        <v>14</v>
      </c>
      <c r="P59">
        <v>14</v>
      </c>
      <c r="Q59">
        <v>14</v>
      </c>
      <c r="R59">
        <v>14</v>
      </c>
      <c r="S59">
        <v>14</v>
      </c>
      <c r="T59">
        <v>14</v>
      </c>
      <c r="U59">
        <v>14</v>
      </c>
      <c r="V59">
        <v>14</v>
      </c>
      <c r="W59">
        <v>14</v>
      </c>
      <c r="X59">
        <v>14</v>
      </c>
      <c r="Y59">
        <v>14</v>
      </c>
      <c r="Z59">
        <v>296</v>
      </c>
      <c r="AB59">
        <f t="shared" si="18"/>
        <v>12.333333333333334</v>
      </c>
      <c r="AC59">
        <f t="shared" si="19"/>
        <v>2.4077170617153851</v>
      </c>
      <c r="AD59" s="3">
        <f t="shared" si="20"/>
        <v>4.5173891819142664E-2</v>
      </c>
      <c r="AE59" s="3">
        <f t="shared" si="21"/>
        <v>0</v>
      </c>
      <c r="AG59" t="s">
        <v>9</v>
      </c>
      <c r="AH59">
        <f t="shared" si="23"/>
        <v>-1.3844373104863454</v>
      </c>
      <c r="AI59">
        <f t="shared" si="45"/>
        <v>-1.3844373104863454</v>
      </c>
      <c r="AJ59">
        <f t="shared" si="46"/>
        <v>-1.3844373104863454</v>
      </c>
      <c r="AK59">
        <f t="shared" si="24"/>
        <v>-1.3844373104863454</v>
      </c>
      <c r="AL59">
        <f t="shared" si="25"/>
        <v>-1.3844373104863454</v>
      </c>
      <c r="AM59">
        <f t="shared" si="26"/>
        <v>-1.3844373104863454</v>
      </c>
      <c r="AN59">
        <f t="shared" si="27"/>
        <v>-1.3844373104863454</v>
      </c>
      <c r="AO59">
        <f t="shared" si="28"/>
        <v>-1.3844373104863454</v>
      </c>
      <c r="AP59">
        <f t="shared" si="29"/>
        <v>0.69221865524317239</v>
      </c>
      <c r="AQ59">
        <f t="shared" si="30"/>
        <v>0.69221865524317239</v>
      </c>
      <c r="AR59">
        <f t="shared" si="31"/>
        <v>0.69221865524317239</v>
      </c>
      <c r="AS59">
        <f t="shared" si="32"/>
        <v>0.69221865524317239</v>
      </c>
      <c r="AT59">
        <f t="shared" si="33"/>
        <v>0.69221865524317239</v>
      </c>
      <c r="AU59">
        <f t="shared" si="34"/>
        <v>0.69221865524317239</v>
      </c>
      <c r="AV59">
        <f t="shared" si="35"/>
        <v>0.69221865524317239</v>
      </c>
      <c r="AW59">
        <f t="shared" si="36"/>
        <v>0.69221865524317239</v>
      </c>
      <c r="AX59">
        <f t="shared" si="37"/>
        <v>0.69221865524317239</v>
      </c>
      <c r="AY59">
        <f t="shared" si="38"/>
        <v>0.69221865524317239</v>
      </c>
      <c r="AZ59">
        <f t="shared" si="39"/>
        <v>0.69221865524317239</v>
      </c>
      <c r="BA59">
        <f t="shared" si="40"/>
        <v>0.69221865524317239</v>
      </c>
      <c r="BB59">
        <f t="shared" si="41"/>
        <v>0.69221865524317239</v>
      </c>
      <c r="BC59">
        <f t="shared" si="42"/>
        <v>0.69221865524317239</v>
      </c>
      <c r="BD59">
        <f t="shared" si="43"/>
        <v>0.69221865524317239</v>
      </c>
      <c r="BE59">
        <f t="shared" si="44"/>
        <v>0.69221865524317239</v>
      </c>
    </row>
    <row r="60" spans="1:57" x14ac:dyDescent="0.25">
      <c r="A60" t="s">
        <v>16</v>
      </c>
      <c r="B60">
        <v>14</v>
      </c>
      <c r="C60">
        <v>14</v>
      </c>
      <c r="D60">
        <v>14</v>
      </c>
      <c r="E60">
        <v>14</v>
      </c>
      <c r="F60">
        <v>14</v>
      </c>
      <c r="G60">
        <v>14</v>
      </c>
      <c r="H60">
        <v>14</v>
      </c>
      <c r="I60">
        <v>14</v>
      </c>
      <c r="J60">
        <v>14</v>
      </c>
      <c r="K60">
        <v>14</v>
      </c>
      <c r="L60">
        <v>14</v>
      </c>
      <c r="M60">
        <v>14</v>
      </c>
      <c r="N60">
        <v>14</v>
      </c>
      <c r="O60">
        <v>14</v>
      </c>
      <c r="P60">
        <v>14</v>
      </c>
      <c r="Q60">
        <v>14</v>
      </c>
      <c r="R60">
        <v>14</v>
      </c>
      <c r="S60">
        <v>17</v>
      </c>
      <c r="T60">
        <v>17</v>
      </c>
      <c r="U60">
        <v>17</v>
      </c>
      <c r="V60">
        <v>17</v>
      </c>
      <c r="W60">
        <v>17</v>
      </c>
      <c r="Y60">
        <v>17</v>
      </c>
      <c r="Z60">
        <v>340</v>
      </c>
      <c r="AB60">
        <f t="shared" si="18"/>
        <v>14.782608695652174</v>
      </c>
      <c r="AC60">
        <f t="shared" si="19"/>
        <v>1.3469332756346388</v>
      </c>
      <c r="AD60" s="3">
        <f t="shared" si="20"/>
        <v>0</v>
      </c>
      <c r="AE60" s="3">
        <f t="shared" si="21"/>
        <v>1.5047163619004822E-2</v>
      </c>
      <c r="AG60" t="s">
        <v>16</v>
      </c>
      <c r="AH60">
        <f t="shared" si="23"/>
        <v>-0.58103004046984408</v>
      </c>
      <c r="AI60">
        <f t="shared" si="45"/>
        <v>-0.58103004046984408</v>
      </c>
      <c r="AJ60">
        <f t="shared" si="46"/>
        <v>-0.58103004046984408</v>
      </c>
      <c r="AK60">
        <f t="shared" si="24"/>
        <v>-0.58103004046984408</v>
      </c>
      <c r="AL60">
        <f t="shared" si="25"/>
        <v>-0.58103004046984408</v>
      </c>
      <c r="AM60">
        <f t="shared" si="26"/>
        <v>-0.58103004046984408</v>
      </c>
      <c r="AN60">
        <f t="shared" si="27"/>
        <v>-0.58103004046984408</v>
      </c>
      <c r="AO60">
        <f t="shared" si="28"/>
        <v>-0.58103004046984408</v>
      </c>
      <c r="AP60">
        <f t="shared" si="29"/>
        <v>-0.58103004046984408</v>
      </c>
      <c r="AQ60">
        <f t="shared" si="30"/>
        <v>-0.58103004046984408</v>
      </c>
      <c r="AR60">
        <f t="shared" si="31"/>
        <v>-0.58103004046984408</v>
      </c>
      <c r="AS60">
        <f t="shared" si="32"/>
        <v>-0.58103004046984408</v>
      </c>
      <c r="AT60">
        <f t="shared" si="33"/>
        <v>-0.58103004046984408</v>
      </c>
      <c r="AU60">
        <f t="shared" si="34"/>
        <v>-0.58103004046984408</v>
      </c>
      <c r="AV60">
        <f t="shared" si="35"/>
        <v>-0.58103004046984408</v>
      </c>
      <c r="AW60">
        <f t="shared" si="36"/>
        <v>-0.58103004046984408</v>
      </c>
      <c r="AX60">
        <f t="shared" si="37"/>
        <v>-0.58103004046984408</v>
      </c>
      <c r="AY60">
        <f t="shared" si="38"/>
        <v>1.6462517813312252</v>
      </c>
      <c r="AZ60">
        <f t="shared" si="39"/>
        <v>1.6462517813312252</v>
      </c>
      <c r="BA60">
        <f t="shared" si="40"/>
        <v>1.6462517813312252</v>
      </c>
      <c r="BB60">
        <f t="shared" si="41"/>
        <v>1.6462517813312252</v>
      </c>
      <c r="BC60">
        <f t="shared" si="42"/>
        <v>1.6462517813312252</v>
      </c>
      <c r="BD60">
        <f t="shared" si="43"/>
        <v>-10.975011875541501</v>
      </c>
      <c r="BE60">
        <f t="shared" si="44"/>
        <v>1.6462517813312252</v>
      </c>
    </row>
    <row r="61" spans="1:57" x14ac:dyDescent="0.25">
      <c r="A61" t="s">
        <v>17</v>
      </c>
      <c r="B61">
        <v>5</v>
      </c>
      <c r="C61">
        <v>5</v>
      </c>
      <c r="D61">
        <v>5</v>
      </c>
      <c r="E61">
        <v>5</v>
      </c>
      <c r="F61">
        <v>5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  <c r="P61">
        <v>9</v>
      </c>
      <c r="Q61">
        <v>10</v>
      </c>
      <c r="R61">
        <v>10</v>
      </c>
      <c r="S61">
        <v>10</v>
      </c>
      <c r="T61">
        <v>10</v>
      </c>
      <c r="U61">
        <v>10</v>
      </c>
      <c r="V61">
        <v>10</v>
      </c>
      <c r="W61">
        <v>10</v>
      </c>
      <c r="X61">
        <v>10</v>
      </c>
      <c r="Y61">
        <v>10</v>
      </c>
      <c r="Z61">
        <v>205</v>
      </c>
      <c r="AB61">
        <f t="shared" si="18"/>
        <v>8.5416666666666661</v>
      </c>
      <c r="AC61">
        <f t="shared" si="19"/>
        <v>1.9105921382756124</v>
      </c>
      <c r="AD61" s="3">
        <f t="shared" si="20"/>
        <v>6.0540481614018704E-2</v>
      </c>
      <c r="AE61" s="3">
        <f t="shared" si="21"/>
        <v>8.1375866737092295E-3</v>
      </c>
      <c r="AG61" t="s">
        <v>17</v>
      </c>
      <c r="AH61">
        <f t="shared" si="23"/>
        <v>-1.8537010572351487</v>
      </c>
      <c r="AI61">
        <f t="shared" si="45"/>
        <v>-1.8537010572351487</v>
      </c>
      <c r="AJ61">
        <f t="shared" si="46"/>
        <v>-1.8537010572351487</v>
      </c>
      <c r="AK61">
        <f t="shared" si="24"/>
        <v>-1.8537010572351487</v>
      </c>
      <c r="AL61">
        <f t="shared" si="25"/>
        <v>-1.8537010572351487</v>
      </c>
      <c r="AM61">
        <f t="shared" si="26"/>
        <v>0.23989072505396078</v>
      </c>
      <c r="AN61">
        <f t="shared" si="27"/>
        <v>0.23989072505396078</v>
      </c>
      <c r="AO61">
        <f t="shared" si="28"/>
        <v>0.23989072505396078</v>
      </c>
      <c r="AP61">
        <f t="shared" si="29"/>
        <v>0.23989072505396078</v>
      </c>
      <c r="AQ61">
        <f t="shared" si="30"/>
        <v>0.23989072505396078</v>
      </c>
      <c r="AR61">
        <f t="shared" si="31"/>
        <v>0.23989072505396078</v>
      </c>
      <c r="AS61">
        <f t="shared" si="32"/>
        <v>0.23989072505396078</v>
      </c>
      <c r="AT61">
        <f t="shared" si="33"/>
        <v>0.23989072505396078</v>
      </c>
      <c r="AU61">
        <f t="shared" si="34"/>
        <v>0.23989072505396078</v>
      </c>
      <c r="AV61">
        <f t="shared" si="35"/>
        <v>0.23989072505396078</v>
      </c>
      <c r="AW61">
        <f t="shared" si="36"/>
        <v>0.76328867062623817</v>
      </c>
      <c r="AX61">
        <f t="shared" si="37"/>
        <v>0.76328867062623817</v>
      </c>
      <c r="AY61">
        <f t="shared" si="38"/>
        <v>0.76328867062623817</v>
      </c>
      <c r="AZ61">
        <f t="shared" si="39"/>
        <v>0.76328867062623817</v>
      </c>
      <c r="BA61">
        <f t="shared" si="40"/>
        <v>0.76328867062623817</v>
      </c>
      <c r="BB61">
        <f t="shared" si="41"/>
        <v>0.76328867062623817</v>
      </c>
      <c r="BC61">
        <f t="shared" si="42"/>
        <v>0.76328867062623817</v>
      </c>
      <c r="BD61">
        <f t="shared" si="43"/>
        <v>0.76328867062623817</v>
      </c>
      <c r="BE61">
        <f t="shared" si="44"/>
        <v>0.76328867062623817</v>
      </c>
    </row>
    <row r="62" spans="1:57" x14ac:dyDescent="0.25">
      <c r="A62" t="s">
        <v>72</v>
      </c>
      <c r="B62">
        <v>512</v>
      </c>
      <c r="C62">
        <v>514</v>
      </c>
      <c r="D62">
        <v>524</v>
      </c>
      <c r="E62">
        <v>541</v>
      </c>
      <c r="F62">
        <v>552</v>
      </c>
      <c r="G62">
        <v>557</v>
      </c>
      <c r="H62">
        <v>560</v>
      </c>
      <c r="I62">
        <v>560</v>
      </c>
      <c r="J62">
        <v>566</v>
      </c>
      <c r="K62">
        <v>580</v>
      </c>
      <c r="L62">
        <v>586</v>
      </c>
      <c r="M62">
        <v>591</v>
      </c>
      <c r="N62">
        <v>601</v>
      </c>
      <c r="O62">
        <v>607</v>
      </c>
      <c r="P62">
        <v>607</v>
      </c>
      <c r="Q62">
        <v>613</v>
      </c>
      <c r="R62">
        <v>616</v>
      </c>
      <c r="S62">
        <v>623</v>
      </c>
      <c r="T62">
        <v>625</v>
      </c>
      <c r="U62">
        <v>626</v>
      </c>
      <c r="V62">
        <v>628</v>
      </c>
      <c r="W62">
        <v>629</v>
      </c>
      <c r="X62">
        <v>613</v>
      </c>
      <c r="Y62">
        <v>630</v>
      </c>
      <c r="Z62">
        <v>14061</v>
      </c>
      <c r="AG62" t="s">
        <v>72</v>
      </c>
      <c r="AH62">
        <f t="shared" si="23"/>
        <v>0</v>
      </c>
      <c r="AI62">
        <f t="shared" si="45"/>
        <v>0</v>
      </c>
      <c r="AJ62">
        <f t="shared" si="46"/>
        <v>0</v>
      </c>
      <c r="AK62">
        <f t="shared" si="24"/>
        <v>0</v>
      </c>
      <c r="AL62">
        <f t="shared" si="25"/>
        <v>0</v>
      </c>
      <c r="AM62">
        <f t="shared" si="26"/>
        <v>0</v>
      </c>
      <c r="AN62">
        <f t="shared" si="27"/>
        <v>0</v>
      </c>
      <c r="AO62">
        <f t="shared" si="28"/>
        <v>0</v>
      </c>
      <c r="AP62">
        <f t="shared" si="29"/>
        <v>0</v>
      </c>
      <c r="AQ62">
        <f t="shared" si="30"/>
        <v>0</v>
      </c>
      <c r="AR62">
        <f t="shared" si="31"/>
        <v>0</v>
      </c>
      <c r="AS62">
        <f t="shared" si="32"/>
        <v>0</v>
      </c>
      <c r="AT62">
        <f t="shared" si="33"/>
        <v>0</v>
      </c>
      <c r="AU62">
        <f t="shared" si="34"/>
        <v>0</v>
      </c>
      <c r="AV62">
        <f t="shared" si="35"/>
        <v>0</v>
      </c>
      <c r="AW62">
        <f t="shared" si="36"/>
        <v>0</v>
      </c>
      <c r="AX62">
        <f t="shared" si="37"/>
        <v>0</v>
      </c>
      <c r="AY62">
        <f t="shared" si="38"/>
        <v>0</v>
      </c>
      <c r="AZ62">
        <f t="shared" si="39"/>
        <v>0</v>
      </c>
      <c r="BA62">
        <f t="shared" si="40"/>
        <v>0</v>
      </c>
      <c r="BB62">
        <f t="shared" si="41"/>
        <v>0</v>
      </c>
      <c r="BC62">
        <f t="shared" si="42"/>
        <v>0</v>
      </c>
      <c r="BD62">
        <f t="shared" si="43"/>
        <v>0</v>
      </c>
      <c r="BE62">
        <f t="shared" si="4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8A7A4-34D5-477D-AAAA-ED12001F8E76}">
  <sheetPr>
    <tabColor rgb="FF00B050"/>
  </sheetPr>
  <dimension ref="A1:X60"/>
  <sheetViews>
    <sheetView topLeftCell="N1" workbookViewId="0">
      <selection activeCell="W5" sqref="W5"/>
    </sheetView>
  </sheetViews>
  <sheetFormatPr baseColWidth="10" defaultRowHeight="15" x14ac:dyDescent="0.25"/>
  <sheetData>
    <row r="1" spans="1:24" ht="21" x14ac:dyDescent="0.35">
      <c r="A1" s="1" t="s">
        <v>8</v>
      </c>
      <c r="B1" s="2" t="s">
        <v>5</v>
      </c>
    </row>
    <row r="3" spans="1:24" x14ac:dyDescent="0.25">
      <c r="A3" t="s">
        <v>74</v>
      </c>
      <c r="B3" t="s">
        <v>73</v>
      </c>
    </row>
    <row r="4" spans="1:24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 t="s">
        <v>72</v>
      </c>
    </row>
    <row r="5" spans="1:24" x14ac:dyDescent="0.25">
      <c r="A5" t="s">
        <v>68</v>
      </c>
      <c r="B5">
        <v>18.135010000000001</v>
      </c>
      <c r="C5">
        <v>17.132079999999998</v>
      </c>
      <c r="D5">
        <v>17.49278</v>
      </c>
      <c r="E5">
        <v>16.187169999999998</v>
      </c>
      <c r="F5">
        <v>17.204809999999998</v>
      </c>
      <c r="G5">
        <v>16.241959999999999</v>
      </c>
      <c r="H5">
        <v>17.75414</v>
      </c>
      <c r="I5">
        <v>17.7498</v>
      </c>
      <c r="J5">
        <v>17.660360000000001</v>
      </c>
      <c r="K5">
        <v>18.850519999999999</v>
      </c>
      <c r="L5">
        <v>19.858059999999998</v>
      </c>
      <c r="M5">
        <v>19.432739999999999</v>
      </c>
      <c r="N5">
        <v>19.940660000000001</v>
      </c>
      <c r="O5">
        <v>20.234680000000001</v>
      </c>
      <c r="P5">
        <v>20.40408</v>
      </c>
      <c r="Q5">
        <v>20.535699999999999</v>
      </c>
      <c r="R5">
        <v>20.36758</v>
      </c>
      <c r="S5">
        <v>22.08034</v>
      </c>
      <c r="U5">
        <v>337.26246999999995</v>
      </c>
      <c r="W5" t="e">
        <f>AVERAGE(#REF!)</f>
        <v>#REF!</v>
      </c>
      <c r="X5" t="e">
        <f>_xlfn.STDEV.S(#REF!)</f>
        <v>#REF!</v>
      </c>
    </row>
    <row r="6" spans="1:24" x14ac:dyDescent="0.25">
      <c r="A6" t="s">
        <v>69</v>
      </c>
      <c r="B6">
        <v>23.419930000000001</v>
      </c>
      <c r="G6">
        <v>22.195039999999999</v>
      </c>
      <c r="H6">
        <v>21.980080000000001</v>
      </c>
      <c r="I6">
        <v>22.50197</v>
      </c>
      <c r="J6">
        <v>22.45879</v>
      </c>
      <c r="K6">
        <v>22.112649999999999</v>
      </c>
      <c r="L6">
        <v>22.276610000000002</v>
      </c>
      <c r="M6">
        <v>23.20185</v>
      </c>
      <c r="N6">
        <v>23.678619999999999</v>
      </c>
      <c r="O6">
        <v>25.948399999999999</v>
      </c>
      <c r="P6">
        <v>26.538650000000001</v>
      </c>
      <c r="Q6">
        <v>28.855350000000001</v>
      </c>
      <c r="R6">
        <v>26.82461</v>
      </c>
      <c r="U6">
        <v>311.99254999999999</v>
      </c>
      <c r="W6" t="e">
        <f>AVERAGE(#REF!)</f>
        <v>#REF!</v>
      </c>
      <c r="X6" t="e">
        <f>_xlfn.STDEV.S(#REF!)</f>
        <v>#REF!</v>
      </c>
    </row>
    <row r="7" spans="1:24" x14ac:dyDescent="0.25">
      <c r="A7" t="s">
        <v>70</v>
      </c>
      <c r="B7">
        <v>25.009689999999999</v>
      </c>
      <c r="C7">
        <v>23.64181</v>
      </c>
      <c r="D7">
        <v>22.571159999999999</v>
      </c>
      <c r="E7">
        <v>23.5198</v>
      </c>
      <c r="F7">
        <v>26.12133</v>
      </c>
      <c r="G7">
        <v>27.282769999999999</v>
      </c>
      <c r="H7">
        <v>27.161930000000002</v>
      </c>
      <c r="I7">
        <v>27.753509999999999</v>
      </c>
      <c r="J7">
        <v>27.194559999999999</v>
      </c>
      <c r="K7">
        <v>26.196000000000002</v>
      </c>
      <c r="L7">
        <v>27.714479999999998</v>
      </c>
      <c r="M7">
        <v>26.856059999999999</v>
      </c>
      <c r="N7">
        <v>33.304180000000002</v>
      </c>
      <c r="O7">
        <v>32.33793</v>
      </c>
      <c r="P7">
        <v>32.516950000000001</v>
      </c>
      <c r="Q7">
        <v>32.633589999999998</v>
      </c>
      <c r="R7">
        <v>32.488709999999998</v>
      </c>
      <c r="U7">
        <v>474.30445999999995</v>
      </c>
      <c r="W7" t="e">
        <f>AVERAGE(#REF!)</f>
        <v>#REF!</v>
      </c>
      <c r="X7" t="e">
        <f>_xlfn.STDEV.S(#REF!)</f>
        <v>#REF!</v>
      </c>
    </row>
    <row r="8" spans="1:24" x14ac:dyDescent="0.25">
      <c r="A8" t="s">
        <v>67</v>
      </c>
      <c r="G8">
        <v>21.697120000000002</v>
      </c>
      <c r="J8">
        <v>21.315809999999999</v>
      </c>
      <c r="K8">
        <v>22.42587</v>
      </c>
      <c r="L8">
        <v>22.16835</v>
      </c>
      <c r="M8">
        <v>21.997299999999999</v>
      </c>
      <c r="O8">
        <v>21.84376</v>
      </c>
      <c r="P8">
        <v>22.496179999999999</v>
      </c>
      <c r="Q8">
        <v>22.12875</v>
      </c>
      <c r="R8">
        <v>22.284500000000001</v>
      </c>
      <c r="U8">
        <v>198.35764</v>
      </c>
      <c r="W8" t="e">
        <f>AVERAGE(#REF!)</f>
        <v>#REF!</v>
      </c>
      <c r="X8" t="e">
        <f>_xlfn.STDEV.S(#REF!)</f>
        <v>#REF!</v>
      </c>
    </row>
    <row r="9" spans="1:24" x14ac:dyDescent="0.25">
      <c r="A9" t="s">
        <v>62</v>
      </c>
      <c r="B9">
        <v>22.073779999999999</v>
      </c>
      <c r="C9">
        <v>21.589020000000001</v>
      </c>
      <c r="D9">
        <v>23.589600000000001</v>
      </c>
      <c r="F9">
        <v>18.920120000000001</v>
      </c>
      <c r="G9">
        <v>18.995039999999999</v>
      </c>
      <c r="H9">
        <v>16.66423</v>
      </c>
      <c r="I9">
        <v>16.171669999999999</v>
      </c>
      <c r="J9">
        <v>15.91005</v>
      </c>
      <c r="K9">
        <v>15.98869</v>
      </c>
      <c r="L9">
        <v>16.398209999999999</v>
      </c>
      <c r="M9">
        <v>16.763349999999999</v>
      </c>
      <c r="N9">
        <v>17.303000000000001</v>
      </c>
      <c r="O9">
        <v>18.60182</v>
      </c>
      <c r="P9">
        <v>19.274360000000001</v>
      </c>
      <c r="Q9">
        <v>21.454000000000001</v>
      </c>
      <c r="U9">
        <v>279.69694000000004</v>
      </c>
      <c r="W9" t="e">
        <f>AVERAGE(#REF!)</f>
        <v>#REF!</v>
      </c>
      <c r="X9" t="e">
        <f>_xlfn.STDEV.S(#REF!)</f>
        <v>#REF!</v>
      </c>
    </row>
    <row r="10" spans="1:24" x14ac:dyDescent="0.25">
      <c r="A10" t="s">
        <v>66</v>
      </c>
      <c r="C10">
        <v>15.8498</v>
      </c>
      <c r="D10">
        <v>15.19467</v>
      </c>
      <c r="E10">
        <v>19.696259999999999</v>
      </c>
      <c r="F10">
        <v>21.272939999999998</v>
      </c>
      <c r="G10">
        <v>16.859690000000001</v>
      </c>
      <c r="H10">
        <v>17.28856</v>
      </c>
      <c r="I10">
        <v>16.43187</v>
      </c>
      <c r="J10">
        <v>19.40024</v>
      </c>
      <c r="K10">
        <v>20.694220000000001</v>
      </c>
      <c r="L10">
        <v>14.80771</v>
      </c>
      <c r="M10">
        <v>16.976150000000001</v>
      </c>
      <c r="N10">
        <v>17.805599999999998</v>
      </c>
      <c r="O10">
        <v>15.91611</v>
      </c>
      <c r="U10">
        <v>228.19382000000002</v>
      </c>
      <c r="W10" t="e">
        <f>AVERAGE(#REF!)</f>
        <v>#REF!</v>
      </c>
      <c r="X10" t="e">
        <f>_xlfn.STDEV.S(#REF!)</f>
        <v>#REF!</v>
      </c>
    </row>
    <row r="11" spans="1:24" x14ac:dyDescent="0.25">
      <c r="A11" t="s">
        <v>64</v>
      </c>
      <c r="I11">
        <v>36.81221</v>
      </c>
      <c r="J11">
        <v>34.444310000000002</v>
      </c>
      <c r="K11">
        <v>36.06861</v>
      </c>
      <c r="L11">
        <v>35.389449999999997</v>
      </c>
      <c r="M11">
        <v>35.599400000000003</v>
      </c>
      <c r="U11">
        <v>178.31398000000002</v>
      </c>
      <c r="W11" t="e">
        <f>AVERAGE(#REF!)</f>
        <v>#REF!</v>
      </c>
      <c r="X11" t="e">
        <f>_xlfn.STDEV.S(#REF!)</f>
        <v>#REF!</v>
      </c>
    </row>
    <row r="12" spans="1:24" x14ac:dyDescent="0.25">
      <c r="A12" t="s">
        <v>63</v>
      </c>
      <c r="B12">
        <v>14.53464</v>
      </c>
      <c r="D12">
        <v>14.02741</v>
      </c>
      <c r="E12">
        <v>13.151199999999999</v>
      </c>
      <c r="F12">
        <v>15.1174</v>
      </c>
      <c r="G12">
        <v>13.96576</v>
      </c>
      <c r="H12">
        <v>14.811579999999999</v>
      </c>
      <c r="I12">
        <v>15.310779999999999</v>
      </c>
      <c r="J12">
        <v>14.514480000000001</v>
      </c>
      <c r="K12">
        <v>15.60172</v>
      </c>
      <c r="L12">
        <v>22.329969999999999</v>
      </c>
      <c r="M12">
        <v>21.79243</v>
      </c>
      <c r="O12">
        <v>25.614570000000001</v>
      </c>
      <c r="P12">
        <v>24.696339999999999</v>
      </c>
      <c r="Q12">
        <v>25.681889999999999</v>
      </c>
      <c r="R12">
        <v>25.39554</v>
      </c>
      <c r="S12">
        <v>25.15363</v>
      </c>
      <c r="U12">
        <v>301.69934000000001</v>
      </c>
      <c r="W12" t="e">
        <f>AVERAGE(#REF!)</f>
        <v>#REF!</v>
      </c>
      <c r="X12" t="e">
        <f>_xlfn.STDEV.S(#REF!)</f>
        <v>#REF!</v>
      </c>
    </row>
    <row r="13" spans="1:24" x14ac:dyDescent="0.25">
      <c r="A13" t="s">
        <v>60</v>
      </c>
      <c r="B13">
        <v>19.877749999999999</v>
      </c>
      <c r="C13">
        <v>19.87471</v>
      </c>
      <c r="F13">
        <v>13.308299999999999</v>
      </c>
      <c r="G13">
        <v>13.814030000000001</v>
      </c>
      <c r="J13">
        <v>22.045870000000001</v>
      </c>
      <c r="K13">
        <v>19.593730000000001</v>
      </c>
      <c r="L13">
        <v>22.105409999999999</v>
      </c>
      <c r="M13">
        <v>20.605270000000001</v>
      </c>
      <c r="N13">
        <v>21.97269</v>
      </c>
      <c r="O13">
        <v>17.72644</v>
      </c>
      <c r="P13">
        <v>20.755210000000002</v>
      </c>
      <c r="Q13">
        <v>21.381589999999999</v>
      </c>
      <c r="R13">
        <v>22.976590000000002</v>
      </c>
      <c r="S13">
        <v>22.492380000000001</v>
      </c>
      <c r="T13">
        <v>23.314609999999998</v>
      </c>
      <c r="U13">
        <v>301.84458000000001</v>
      </c>
      <c r="W13" t="e">
        <f>AVERAGE(#REF!)</f>
        <v>#REF!</v>
      </c>
      <c r="X13" t="e">
        <f>_xlfn.STDEV.S(#REF!)</f>
        <v>#REF!</v>
      </c>
    </row>
    <row r="14" spans="1:24" x14ac:dyDescent="0.25">
      <c r="A14" t="s">
        <v>61</v>
      </c>
      <c r="B14">
        <v>19.437660000000001</v>
      </c>
      <c r="C14">
        <v>19.156759999999998</v>
      </c>
      <c r="D14">
        <v>18.814689999999999</v>
      </c>
      <c r="F14">
        <v>18.776299999999999</v>
      </c>
      <c r="H14">
        <v>20.927129999999998</v>
      </c>
      <c r="I14">
        <v>20.9087</v>
      </c>
      <c r="J14">
        <v>20.901530000000001</v>
      </c>
      <c r="K14">
        <v>18.986249999999998</v>
      </c>
      <c r="L14">
        <v>18.417660000000001</v>
      </c>
      <c r="M14">
        <v>19.63842</v>
      </c>
      <c r="N14">
        <v>19.68788</v>
      </c>
      <c r="O14">
        <v>20.514790000000001</v>
      </c>
      <c r="P14">
        <v>21.680910000000001</v>
      </c>
      <c r="Q14">
        <v>22.25432</v>
      </c>
      <c r="R14">
        <v>22.954249999999998</v>
      </c>
      <c r="S14">
        <v>23.638559999999998</v>
      </c>
      <c r="T14">
        <v>23.136340000000001</v>
      </c>
      <c r="U14">
        <v>349.83215000000001</v>
      </c>
      <c r="W14" t="e">
        <f>AVERAGE(#REF!)</f>
        <v>#REF!</v>
      </c>
      <c r="X14" t="e">
        <f>_xlfn.STDEV.S(#REF!)</f>
        <v>#REF!</v>
      </c>
    </row>
    <row r="15" spans="1:24" x14ac:dyDescent="0.25">
      <c r="A15" t="s">
        <v>58</v>
      </c>
      <c r="D15">
        <v>19.14969</v>
      </c>
      <c r="E15">
        <v>18.547260000000001</v>
      </c>
      <c r="F15">
        <v>18.10904</v>
      </c>
      <c r="I15">
        <v>19.802520000000001</v>
      </c>
      <c r="J15">
        <v>21.9574</v>
      </c>
      <c r="K15">
        <v>18.850639999999999</v>
      </c>
      <c r="L15">
        <v>18.31597</v>
      </c>
      <c r="M15">
        <v>22.15709</v>
      </c>
      <c r="O15">
        <v>21.855319999999999</v>
      </c>
      <c r="U15">
        <v>178.74493000000001</v>
      </c>
      <c r="W15" t="e">
        <f>AVERAGE(#REF!)</f>
        <v>#REF!</v>
      </c>
      <c r="X15" t="e">
        <f>_xlfn.STDEV.S(#REF!)</f>
        <v>#REF!</v>
      </c>
    </row>
    <row r="16" spans="1:24" x14ac:dyDescent="0.25">
      <c r="A16" t="s">
        <v>56</v>
      </c>
      <c r="B16">
        <v>17.571300000000001</v>
      </c>
      <c r="C16">
        <v>17.104810000000001</v>
      </c>
      <c r="D16">
        <v>17.538640000000001</v>
      </c>
      <c r="F16">
        <v>21.77871</v>
      </c>
      <c r="G16">
        <v>22.06052</v>
      </c>
      <c r="H16">
        <v>22.89283</v>
      </c>
      <c r="I16">
        <v>25.117319999999999</v>
      </c>
      <c r="U16">
        <v>144.06413000000001</v>
      </c>
      <c r="W16" t="e">
        <f>AVERAGE(#REF!)</f>
        <v>#REF!</v>
      </c>
      <c r="X16" t="e">
        <f>_xlfn.STDEV.S(#REF!)</f>
        <v>#REF!</v>
      </c>
    </row>
    <row r="17" spans="1:24" x14ac:dyDescent="0.25">
      <c r="A17" t="s">
        <v>55</v>
      </c>
      <c r="B17">
        <v>18.977309999999999</v>
      </c>
      <c r="C17">
        <v>19.336290000000002</v>
      </c>
      <c r="D17">
        <v>19.99625</v>
      </c>
      <c r="E17">
        <v>20.75441</v>
      </c>
      <c r="F17">
        <v>21.506779999999999</v>
      </c>
      <c r="G17">
        <v>21.013660000000002</v>
      </c>
      <c r="H17">
        <v>26.697420000000001</v>
      </c>
      <c r="I17">
        <v>25.510259999999999</v>
      </c>
      <c r="J17">
        <v>23.70898</v>
      </c>
      <c r="K17">
        <v>23.222729999999999</v>
      </c>
      <c r="L17">
        <v>22.534379999999999</v>
      </c>
      <c r="M17">
        <v>25.792529999999999</v>
      </c>
      <c r="N17">
        <v>23.42144</v>
      </c>
      <c r="O17">
        <v>21.477340000000002</v>
      </c>
      <c r="P17">
        <v>20.031479999999998</v>
      </c>
      <c r="Q17">
        <v>13.32785</v>
      </c>
      <c r="R17">
        <v>12.59606</v>
      </c>
      <c r="U17">
        <v>359.90517000000006</v>
      </c>
      <c r="W17" t="e">
        <f>AVERAGE(#REF!)</f>
        <v>#REF!</v>
      </c>
      <c r="X17" t="e">
        <f>_xlfn.STDEV.S(#REF!)</f>
        <v>#REF!</v>
      </c>
    </row>
    <row r="18" spans="1:24" x14ac:dyDescent="0.25">
      <c r="A18" t="s">
        <v>51</v>
      </c>
      <c r="B18">
        <v>30.00131</v>
      </c>
      <c r="C18">
        <v>32.094389999999997</v>
      </c>
      <c r="D18">
        <v>31.979869999999998</v>
      </c>
      <c r="E18">
        <v>29.995200000000001</v>
      </c>
      <c r="F18">
        <v>29.824359999999999</v>
      </c>
      <c r="G18">
        <v>28.67793</v>
      </c>
      <c r="H18">
        <v>28.382100000000001</v>
      </c>
      <c r="I18">
        <v>29.196999999999999</v>
      </c>
      <c r="J18">
        <v>28.303470000000001</v>
      </c>
      <c r="K18">
        <v>27.64096</v>
      </c>
      <c r="L18">
        <v>27.328890000000001</v>
      </c>
      <c r="M18">
        <v>27.90448</v>
      </c>
      <c r="N18">
        <v>29.995360000000002</v>
      </c>
      <c r="O18">
        <v>26.893840000000001</v>
      </c>
      <c r="P18">
        <v>30.682839999999999</v>
      </c>
      <c r="U18">
        <v>438.90199999999999</v>
      </c>
      <c r="W18" t="e">
        <f>AVERAGE(#REF!)</f>
        <v>#REF!</v>
      </c>
      <c r="X18" t="e">
        <f>_xlfn.STDEV.S(#REF!)</f>
        <v>#REF!</v>
      </c>
    </row>
    <row r="19" spans="1:24" x14ac:dyDescent="0.25">
      <c r="A19" t="s">
        <v>49</v>
      </c>
      <c r="B19">
        <v>5.1600599999999996</v>
      </c>
      <c r="K19">
        <v>30.20973</v>
      </c>
      <c r="L19">
        <v>35.787820000000004</v>
      </c>
      <c r="M19">
        <v>33.452150000000003</v>
      </c>
      <c r="N19">
        <v>34.492489999999997</v>
      </c>
      <c r="O19">
        <v>32.250390000000003</v>
      </c>
      <c r="P19">
        <v>40.374339999999997</v>
      </c>
      <c r="Q19">
        <v>43.513739999999999</v>
      </c>
      <c r="U19">
        <v>255.24072000000001</v>
      </c>
      <c r="W19" t="e">
        <f>AVERAGE(#REF!)</f>
        <v>#REF!</v>
      </c>
      <c r="X19" t="e">
        <f>_xlfn.STDEV.S(#REF!)</f>
        <v>#REF!</v>
      </c>
    </row>
    <row r="20" spans="1:24" x14ac:dyDescent="0.25">
      <c r="A20" t="s">
        <v>57</v>
      </c>
      <c r="C20">
        <v>19.555710000000001</v>
      </c>
      <c r="D20">
        <v>19.705400000000001</v>
      </c>
      <c r="E20">
        <v>19.26275</v>
      </c>
      <c r="F20">
        <v>17.381399999999999</v>
      </c>
      <c r="G20">
        <v>18.948350000000001</v>
      </c>
      <c r="I20">
        <v>21.97672</v>
      </c>
      <c r="J20">
        <v>19.870989999999999</v>
      </c>
      <c r="K20">
        <v>22.069649999999999</v>
      </c>
      <c r="L20">
        <v>21.737760000000002</v>
      </c>
      <c r="M20">
        <v>25.08595</v>
      </c>
      <c r="N20">
        <v>21.821860000000001</v>
      </c>
      <c r="O20">
        <v>28.22683</v>
      </c>
      <c r="P20">
        <v>26.23038</v>
      </c>
      <c r="Q20">
        <v>27.043690000000002</v>
      </c>
      <c r="R20">
        <v>27.118120000000001</v>
      </c>
      <c r="U20">
        <v>336.03556000000003</v>
      </c>
      <c r="W20" t="e">
        <f>AVERAGE(#REF!)</f>
        <v>#REF!</v>
      </c>
      <c r="X20" t="e">
        <f>_xlfn.STDEV.S(#REF!)</f>
        <v>#REF!</v>
      </c>
    </row>
    <row r="21" spans="1:24" x14ac:dyDescent="0.25">
      <c r="A21" t="s">
        <v>53</v>
      </c>
      <c r="B21">
        <v>34.030430000000003</v>
      </c>
      <c r="C21">
        <v>32.942239999999998</v>
      </c>
      <c r="D21">
        <v>32.474780000000003</v>
      </c>
      <c r="E21">
        <v>32.031570000000002</v>
      </c>
      <c r="F21">
        <v>32.201369999999997</v>
      </c>
      <c r="G21">
        <v>31.810179999999999</v>
      </c>
      <c r="H21">
        <v>31.651859999999999</v>
      </c>
      <c r="I21">
        <v>31.362480000000001</v>
      </c>
      <c r="J21">
        <v>31.004290000000001</v>
      </c>
      <c r="K21">
        <v>31.748470000000001</v>
      </c>
      <c r="L21">
        <v>31.847300000000001</v>
      </c>
      <c r="M21">
        <v>32.023299999999999</v>
      </c>
      <c r="N21">
        <v>28.56467</v>
      </c>
      <c r="O21">
        <v>28.041550000000001</v>
      </c>
      <c r="P21">
        <v>27.912970000000001</v>
      </c>
      <c r="Q21">
        <v>26.696259999999999</v>
      </c>
      <c r="R21">
        <v>26.54204</v>
      </c>
      <c r="U21">
        <v>522.88576</v>
      </c>
      <c r="W21" t="e">
        <f>AVERAGE(#REF!)</f>
        <v>#REF!</v>
      </c>
      <c r="X21" t="e">
        <f>_xlfn.STDEV.S(#REF!)</f>
        <v>#REF!</v>
      </c>
    </row>
    <row r="22" spans="1:24" x14ac:dyDescent="0.25">
      <c r="A22" t="s">
        <v>54</v>
      </c>
      <c r="H22">
        <v>25.185970000000001</v>
      </c>
      <c r="I22">
        <v>25.364039999999999</v>
      </c>
      <c r="J22">
        <v>26.652439999999999</v>
      </c>
      <c r="K22">
        <v>26.441579999999998</v>
      </c>
      <c r="L22">
        <v>27.16245</v>
      </c>
      <c r="M22">
        <v>28.128029999999999</v>
      </c>
      <c r="N22">
        <v>26.784220000000001</v>
      </c>
      <c r="O22">
        <v>26.48312</v>
      </c>
      <c r="P22">
        <v>26.587810000000001</v>
      </c>
      <c r="Q22">
        <v>25.949059999999999</v>
      </c>
      <c r="R22">
        <v>25.985790000000001</v>
      </c>
      <c r="U22">
        <v>290.72450999999995</v>
      </c>
      <c r="W22" t="e">
        <f>AVERAGE(#REF!)</f>
        <v>#REF!</v>
      </c>
      <c r="X22" t="e">
        <f>_xlfn.STDEV.S(#REF!)</f>
        <v>#REF!</v>
      </c>
    </row>
    <row r="23" spans="1:24" x14ac:dyDescent="0.25">
      <c r="A23" t="s">
        <v>52</v>
      </c>
      <c r="B23">
        <v>24.032789999999999</v>
      </c>
      <c r="C23">
        <v>30.528479999999998</v>
      </c>
      <c r="D23">
        <v>32.423949999999998</v>
      </c>
      <c r="E23">
        <v>30.931789999999999</v>
      </c>
      <c r="F23">
        <v>34.644129999999997</v>
      </c>
      <c r="G23">
        <v>36.095199999999998</v>
      </c>
      <c r="U23">
        <v>188.65634</v>
      </c>
      <c r="W23" t="e">
        <f>AVERAGE(#REF!)</f>
        <v>#REF!</v>
      </c>
      <c r="X23" t="e">
        <f>_xlfn.STDEV.S(#REF!)</f>
        <v>#REF!</v>
      </c>
    </row>
    <row r="24" spans="1:24" x14ac:dyDescent="0.25">
      <c r="A24" t="s">
        <v>48</v>
      </c>
      <c r="F24">
        <v>30.346830000000001</v>
      </c>
      <c r="G24">
        <v>28.35577</v>
      </c>
      <c r="H24">
        <v>29.88298</v>
      </c>
      <c r="I24">
        <v>30.69473</v>
      </c>
      <c r="J24">
        <v>30.849979999999999</v>
      </c>
      <c r="K24">
        <v>45.505699999999997</v>
      </c>
      <c r="L24">
        <v>27.77816</v>
      </c>
      <c r="M24">
        <v>28.654949999999999</v>
      </c>
      <c r="N24">
        <v>32.799630000000001</v>
      </c>
      <c r="O24">
        <v>38.872059999999998</v>
      </c>
      <c r="P24">
        <v>29.232119999999998</v>
      </c>
      <c r="Q24">
        <v>29.527699999999999</v>
      </c>
      <c r="R24">
        <v>30.438030000000001</v>
      </c>
      <c r="S24">
        <v>28.49483</v>
      </c>
      <c r="T24">
        <v>29.386759999999999</v>
      </c>
      <c r="U24">
        <v>470.82022999999992</v>
      </c>
      <c r="W24" t="e">
        <f>AVERAGE(#REF!)</f>
        <v>#REF!</v>
      </c>
      <c r="X24" t="e">
        <f>_xlfn.STDEV.S(#REF!)</f>
        <v>#REF!</v>
      </c>
    </row>
    <row r="25" spans="1:24" x14ac:dyDescent="0.25">
      <c r="A25" t="s">
        <v>44</v>
      </c>
      <c r="B25">
        <v>21.019690000000001</v>
      </c>
      <c r="C25">
        <v>21.09976</v>
      </c>
      <c r="D25">
        <v>21.15071</v>
      </c>
      <c r="E25">
        <v>20.69117</v>
      </c>
      <c r="F25">
        <v>18.705169999999999</v>
      </c>
      <c r="G25">
        <v>18.890879999999999</v>
      </c>
      <c r="H25">
        <v>19.141490000000001</v>
      </c>
      <c r="I25">
        <v>19.71294</v>
      </c>
      <c r="J25">
        <v>20.01192</v>
      </c>
      <c r="K25">
        <v>22.05753</v>
      </c>
      <c r="L25">
        <v>20.110939999999999</v>
      </c>
      <c r="M25">
        <v>23.392520000000001</v>
      </c>
      <c r="N25">
        <v>19.088229999999999</v>
      </c>
      <c r="O25">
        <v>21.33464</v>
      </c>
      <c r="P25">
        <v>16.448619999999998</v>
      </c>
      <c r="Q25">
        <v>14.332750000000001</v>
      </c>
      <c r="R25">
        <v>16.079029999999999</v>
      </c>
      <c r="U25">
        <v>333.26798999999994</v>
      </c>
      <c r="W25" t="e">
        <f>AVERAGE(#REF!)</f>
        <v>#REF!</v>
      </c>
      <c r="X25" t="e">
        <f>_xlfn.STDEV.S(#REF!)</f>
        <v>#REF!</v>
      </c>
    </row>
    <row r="26" spans="1:24" x14ac:dyDescent="0.25">
      <c r="A26" t="s">
        <v>47</v>
      </c>
      <c r="B26">
        <v>18.089189999999999</v>
      </c>
      <c r="C26">
        <v>17.851299999999998</v>
      </c>
      <c r="D26">
        <v>18.066179999999999</v>
      </c>
      <c r="E26">
        <v>18.584700000000002</v>
      </c>
      <c r="F26">
        <v>18.54073</v>
      </c>
      <c r="G26">
        <v>19.129899999999999</v>
      </c>
      <c r="H26">
        <v>17.97757</v>
      </c>
      <c r="I26">
        <v>18.881419999999999</v>
      </c>
      <c r="J26">
        <v>19.70401</v>
      </c>
      <c r="K26">
        <v>20.397400000000001</v>
      </c>
      <c r="L26">
        <v>21.46367</v>
      </c>
      <c r="M26">
        <v>19.421009999999999</v>
      </c>
      <c r="N26">
        <v>19.390080000000001</v>
      </c>
      <c r="O26">
        <v>19.36308</v>
      </c>
      <c r="P26">
        <v>18.804580000000001</v>
      </c>
      <c r="Q26">
        <v>18.888770000000001</v>
      </c>
      <c r="R26">
        <v>19.914370000000002</v>
      </c>
      <c r="U26">
        <v>324.46796000000006</v>
      </c>
      <c r="W26" t="e">
        <f>AVERAGE(#REF!)</f>
        <v>#REF!</v>
      </c>
      <c r="X26" t="e">
        <f>_xlfn.STDEV.S(#REF!)</f>
        <v>#REF!</v>
      </c>
    </row>
    <row r="27" spans="1:24" x14ac:dyDescent="0.25">
      <c r="A27" t="s">
        <v>39</v>
      </c>
      <c r="B27">
        <v>20.295110000000001</v>
      </c>
      <c r="E27">
        <v>20.08727</v>
      </c>
      <c r="F27">
        <v>20.012319999999999</v>
      </c>
      <c r="G27">
        <v>19.554960000000001</v>
      </c>
      <c r="H27">
        <v>20.284079999999999</v>
      </c>
      <c r="K27">
        <v>36.451140000000002</v>
      </c>
      <c r="L27">
        <v>36.076520000000002</v>
      </c>
      <c r="M27">
        <v>34.68074</v>
      </c>
      <c r="N27">
        <v>32.166899999999998</v>
      </c>
      <c r="O27">
        <v>28.526869999999999</v>
      </c>
      <c r="U27">
        <v>268.13590999999997</v>
      </c>
      <c r="W27" t="e">
        <f>AVERAGE(#REF!)</f>
        <v>#REF!</v>
      </c>
      <c r="X27" t="e">
        <f>_xlfn.STDEV.S(#REF!)</f>
        <v>#REF!</v>
      </c>
    </row>
    <row r="28" spans="1:24" x14ac:dyDescent="0.25">
      <c r="A28" t="s">
        <v>40</v>
      </c>
      <c r="I28">
        <v>12.756930000000001</v>
      </c>
      <c r="J28">
        <v>10.97822</v>
      </c>
      <c r="K28">
        <v>12.16564</v>
      </c>
      <c r="L28">
        <v>16.053560000000001</v>
      </c>
      <c r="N28">
        <v>17.17783</v>
      </c>
      <c r="O28">
        <v>16.4055</v>
      </c>
      <c r="P28">
        <v>15.05278</v>
      </c>
      <c r="Q28">
        <v>15.800230000000001</v>
      </c>
      <c r="U28">
        <v>116.39069000000001</v>
      </c>
      <c r="W28" t="e">
        <f>AVERAGE(#REF!)</f>
        <v>#REF!</v>
      </c>
      <c r="X28" t="e">
        <f>_xlfn.STDEV.S(#REF!)</f>
        <v>#REF!</v>
      </c>
    </row>
    <row r="29" spans="1:24" x14ac:dyDescent="0.25">
      <c r="A29" t="s">
        <v>45</v>
      </c>
      <c r="B29">
        <v>30.274709999999999</v>
      </c>
      <c r="C29">
        <v>28.561219999999999</v>
      </c>
      <c r="D29">
        <v>27.63626</v>
      </c>
      <c r="E29">
        <v>24.85275</v>
      </c>
      <c r="F29">
        <v>23.46116</v>
      </c>
      <c r="G29">
        <v>23.300930000000001</v>
      </c>
      <c r="H29">
        <v>23.946850000000001</v>
      </c>
      <c r="I29">
        <v>23.35125</v>
      </c>
      <c r="J29">
        <v>23.259640000000001</v>
      </c>
      <c r="K29">
        <v>23.7471</v>
      </c>
      <c r="L29">
        <v>22.221399999999999</v>
      </c>
      <c r="M29">
        <v>21.727799999999998</v>
      </c>
      <c r="N29">
        <v>21.393129999999999</v>
      </c>
      <c r="O29">
        <v>21.511710000000001</v>
      </c>
      <c r="P29">
        <v>20.847280000000001</v>
      </c>
      <c r="Q29">
        <v>23.345400000000001</v>
      </c>
      <c r="R29">
        <v>19.58165</v>
      </c>
      <c r="U29">
        <v>403.02024</v>
      </c>
      <c r="W29" t="e">
        <f>AVERAGE(#REF!)</f>
        <v>#REF!</v>
      </c>
      <c r="X29" t="e">
        <f>_xlfn.STDEV.S(#REF!)</f>
        <v>#REF!</v>
      </c>
    </row>
    <row r="30" spans="1:24" x14ac:dyDescent="0.25">
      <c r="A30" t="s">
        <v>43</v>
      </c>
      <c r="B30">
        <v>18.301880000000001</v>
      </c>
      <c r="C30">
        <v>17.859590000000001</v>
      </c>
      <c r="D30">
        <v>16.713380000000001</v>
      </c>
      <c r="E30">
        <v>18.46707</v>
      </c>
      <c r="F30">
        <v>16.467649999999999</v>
      </c>
      <c r="G30">
        <v>16.56578</v>
      </c>
      <c r="H30">
        <v>16.473179999999999</v>
      </c>
      <c r="I30">
        <v>17.569400000000002</v>
      </c>
      <c r="J30">
        <v>15.996829999999999</v>
      </c>
      <c r="K30">
        <v>17.315840000000001</v>
      </c>
      <c r="L30">
        <v>16.882449999999999</v>
      </c>
      <c r="M30">
        <v>16.224419999999999</v>
      </c>
      <c r="N30">
        <v>16.177420000000001</v>
      </c>
      <c r="O30">
        <v>15.80843</v>
      </c>
      <c r="P30">
        <v>15.062810000000001</v>
      </c>
      <c r="Q30">
        <v>16.234480000000001</v>
      </c>
      <c r="R30">
        <v>15.15743</v>
      </c>
      <c r="U30">
        <v>283.27804000000003</v>
      </c>
      <c r="W30" t="e">
        <f>AVERAGE(#REF!)</f>
        <v>#REF!</v>
      </c>
      <c r="X30" t="e">
        <f>_xlfn.STDEV.S(#REF!)</f>
        <v>#REF!</v>
      </c>
    </row>
    <row r="31" spans="1:24" x14ac:dyDescent="0.25">
      <c r="A31" t="s">
        <v>42</v>
      </c>
      <c r="B31">
        <v>18.499890000000001</v>
      </c>
      <c r="C31">
        <v>16.35727</v>
      </c>
      <c r="D31">
        <v>18.499890000000001</v>
      </c>
      <c r="E31">
        <v>16.41901</v>
      </c>
      <c r="F31">
        <v>16.916730000000001</v>
      </c>
      <c r="G31">
        <v>17.238800000000001</v>
      </c>
      <c r="H31">
        <v>16.98507</v>
      </c>
      <c r="I31">
        <v>17.677820000000001</v>
      </c>
      <c r="J31">
        <v>18.325500000000002</v>
      </c>
      <c r="K31">
        <v>18.27</v>
      </c>
      <c r="L31">
        <v>18.764019999999999</v>
      </c>
      <c r="M31">
        <v>19.355060000000002</v>
      </c>
      <c r="N31">
        <v>19.26296</v>
      </c>
      <c r="O31">
        <v>19.565519999999999</v>
      </c>
      <c r="P31">
        <v>19.58569</v>
      </c>
      <c r="Q31">
        <v>18.599160000000001</v>
      </c>
      <c r="R31">
        <v>19.11673</v>
      </c>
      <c r="U31">
        <v>309.43912</v>
      </c>
      <c r="W31" t="e">
        <f>AVERAGE(#REF!)</f>
        <v>#REF!</v>
      </c>
      <c r="X31" t="e">
        <f>_xlfn.STDEV.S(#REF!)</f>
        <v>#REF!</v>
      </c>
    </row>
    <row r="32" spans="1:24" x14ac:dyDescent="0.25">
      <c r="A32" t="s">
        <v>46</v>
      </c>
      <c r="O32">
        <v>19.997699999999998</v>
      </c>
      <c r="P32">
        <v>20.76276</v>
      </c>
      <c r="R32">
        <v>19.797650000000001</v>
      </c>
      <c r="U32">
        <v>60.558109999999999</v>
      </c>
      <c r="W32" t="e">
        <f>AVERAGE(#REF!)</f>
        <v>#REF!</v>
      </c>
      <c r="X32" t="e">
        <f>_xlfn.STDEV.S(#REF!)</f>
        <v>#REF!</v>
      </c>
    </row>
    <row r="33" spans="1:24" x14ac:dyDescent="0.25">
      <c r="A33" t="s">
        <v>41</v>
      </c>
      <c r="R33">
        <v>20.447279999999999</v>
      </c>
      <c r="U33">
        <v>20.447279999999999</v>
      </c>
      <c r="W33" t="e">
        <f>AVERAGE(#REF!)</f>
        <v>#REF!</v>
      </c>
      <c r="X33" t="e">
        <f>_xlfn.STDEV.S(#REF!)</f>
        <v>#REF!</v>
      </c>
    </row>
    <row r="34" spans="1:24" x14ac:dyDescent="0.25">
      <c r="A34" t="s">
        <v>38</v>
      </c>
      <c r="B34">
        <v>16.2608</v>
      </c>
      <c r="C34">
        <v>15.62937</v>
      </c>
      <c r="D34">
        <v>15.40785</v>
      </c>
      <c r="E34">
        <v>13.87419</v>
      </c>
      <c r="F34">
        <v>13.44828</v>
      </c>
      <c r="H34">
        <v>17.923010000000001</v>
      </c>
      <c r="I34">
        <v>18.591290000000001</v>
      </c>
      <c r="J34">
        <v>17.330770000000001</v>
      </c>
      <c r="K34">
        <v>13.957549999999999</v>
      </c>
      <c r="L34">
        <v>15.883850000000001</v>
      </c>
      <c r="M34">
        <v>20.470369999999999</v>
      </c>
      <c r="N34">
        <v>20.693259999999999</v>
      </c>
      <c r="O34">
        <v>19.454319999999999</v>
      </c>
      <c r="P34">
        <v>21.31183</v>
      </c>
      <c r="Q34">
        <v>22.092099999999999</v>
      </c>
      <c r="R34">
        <v>16.041170000000001</v>
      </c>
      <c r="U34">
        <v>278.37001000000004</v>
      </c>
      <c r="W34" t="e">
        <f>AVERAGE(#REF!)</f>
        <v>#REF!</v>
      </c>
      <c r="X34" t="e">
        <f>_xlfn.STDEV.S(#REF!)</f>
        <v>#REF!</v>
      </c>
    </row>
    <row r="35" spans="1:24" x14ac:dyDescent="0.25">
      <c r="A35" t="s">
        <v>37</v>
      </c>
      <c r="N35">
        <v>0.11096</v>
      </c>
      <c r="P35">
        <v>12.649240000000001</v>
      </c>
      <c r="Q35">
        <v>13.101139999999999</v>
      </c>
      <c r="U35">
        <v>25.861339999999998</v>
      </c>
      <c r="W35" t="e">
        <f>AVERAGE(#REF!)</f>
        <v>#REF!</v>
      </c>
      <c r="X35" t="e">
        <f>_xlfn.STDEV.S(#REF!)</f>
        <v>#REF!</v>
      </c>
    </row>
    <row r="36" spans="1:24" x14ac:dyDescent="0.25">
      <c r="A36" t="s">
        <v>36</v>
      </c>
      <c r="B36">
        <v>32.062519999999999</v>
      </c>
      <c r="C36">
        <v>34.250959999999999</v>
      </c>
      <c r="D36">
        <v>33.299399999999999</v>
      </c>
      <c r="E36">
        <v>34.986469999999997</v>
      </c>
      <c r="F36">
        <v>33.445210000000003</v>
      </c>
      <c r="H36">
        <v>36.132910000000003</v>
      </c>
      <c r="I36">
        <v>33.02901</v>
      </c>
      <c r="K36">
        <v>35.944290000000002</v>
      </c>
      <c r="L36">
        <v>34.454039999999999</v>
      </c>
      <c r="M36">
        <v>36.967709999999997</v>
      </c>
      <c r="N36">
        <v>28.4681</v>
      </c>
      <c r="O36">
        <v>30.507359999999998</v>
      </c>
      <c r="R36">
        <v>23.3901</v>
      </c>
      <c r="S36">
        <v>20.9924</v>
      </c>
      <c r="T36">
        <v>21.347079999999998</v>
      </c>
      <c r="U36">
        <v>469.27756000000005</v>
      </c>
      <c r="W36" t="e">
        <f>AVERAGE(#REF!)</f>
        <v>#REF!</v>
      </c>
      <c r="X36" t="e">
        <f>_xlfn.STDEV.S(#REF!)</f>
        <v>#REF!</v>
      </c>
    </row>
    <row r="37" spans="1:24" x14ac:dyDescent="0.25">
      <c r="A37" t="s">
        <v>35</v>
      </c>
      <c r="C37">
        <v>14.501250000000001</v>
      </c>
      <c r="D37">
        <v>19.615670000000001</v>
      </c>
      <c r="E37">
        <v>16.8584</v>
      </c>
      <c r="F37">
        <v>17.394380000000002</v>
      </c>
      <c r="G37">
        <v>17.454989999999999</v>
      </c>
      <c r="H37">
        <v>17.198879999999999</v>
      </c>
      <c r="I37">
        <v>18.47466</v>
      </c>
      <c r="J37">
        <v>18.860440000000001</v>
      </c>
      <c r="K37">
        <v>20.002510000000001</v>
      </c>
      <c r="L37">
        <v>19.663399999999999</v>
      </c>
      <c r="M37">
        <v>18.125080000000001</v>
      </c>
      <c r="N37">
        <v>19.464639999999999</v>
      </c>
      <c r="O37">
        <v>22.090979999999998</v>
      </c>
      <c r="P37">
        <v>21.32413</v>
      </c>
      <c r="Q37">
        <v>21.475490000000001</v>
      </c>
      <c r="R37">
        <v>21.091000000000001</v>
      </c>
      <c r="U37">
        <v>303.59589999999997</v>
      </c>
      <c r="W37" t="e">
        <f>AVERAGE(#REF!)</f>
        <v>#REF!</v>
      </c>
      <c r="X37" t="e">
        <f>_xlfn.STDEV.S(#REF!)</f>
        <v>#REF!</v>
      </c>
    </row>
    <row r="38" spans="1:24" x14ac:dyDescent="0.25">
      <c r="A38" t="s">
        <v>34</v>
      </c>
      <c r="Q38">
        <v>30.12593</v>
      </c>
      <c r="R38">
        <v>31.925460000000001</v>
      </c>
      <c r="U38">
        <v>62.051389999999998</v>
      </c>
      <c r="W38" t="e">
        <f>AVERAGE(#REF!)</f>
        <v>#REF!</v>
      </c>
      <c r="X38" t="e">
        <f>_xlfn.STDEV.S(#REF!)</f>
        <v>#REF!</v>
      </c>
    </row>
    <row r="39" spans="1:24" x14ac:dyDescent="0.25">
      <c r="A39" t="s">
        <v>30</v>
      </c>
      <c r="O39">
        <v>25.25779</v>
      </c>
      <c r="P39">
        <v>24.948789999999999</v>
      </c>
      <c r="Q39">
        <v>25.566189999999999</v>
      </c>
      <c r="R39">
        <v>23.735530000000001</v>
      </c>
      <c r="U39">
        <v>99.508300000000006</v>
      </c>
      <c r="W39" t="e">
        <f>AVERAGE(#REF!)</f>
        <v>#REF!</v>
      </c>
      <c r="X39" t="e">
        <f>_xlfn.STDEV.S(#REF!)</f>
        <v>#REF!</v>
      </c>
    </row>
    <row r="40" spans="1:24" x14ac:dyDescent="0.25">
      <c r="A40" t="s">
        <v>28</v>
      </c>
      <c r="B40">
        <v>25.401109999999999</v>
      </c>
      <c r="C40">
        <v>26.429079999999999</v>
      </c>
      <c r="D40">
        <v>27.50263</v>
      </c>
      <c r="E40">
        <v>30.39058</v>
      </c>
      <c r="F40">
        <v>32.094160000000002</v>
      </c>
      <c r="G40">
        <v>32.362720000000003</v>
      </c>
      <c r="H40">
        <v>31.54551</v>
      </c>
      <c r="I40">
        <v>31.94706</v>
      </c>
      <c r="J40">
        <v>31.986809999999998</v>
      </c>
      <c r="K40">
        <v>30.431740000000001</v>
      </c>
      <c r="L40">
        <v>29.62594</v>
      </c>
      <c r="M40">
        <v>29.891660000000002</v>
      </c>
      <c r="O40">
        <v>26.61598</v>
      </c>
      <c r="P40">
        <v>28.57301</v>
      </c>
      <c r="Q40">
        <v>25.905000000000001</v>
      </c>
      <c r="R40">
        <v>26.72475</v>
      </c>
      <c r="U40">
        <v>467.42773999999997</v>
      </c>
      <c r="W40" t="e">
        <f>AVERAGE(#REF!)</f>
        <v>#REF!</v>
      </c>
      <c r="X40" t="e">
        <f>_xlfn.STDEV.S(#REF!)</f>
        <v>#REF!</v>
      </c>
    </row>
    <row r="41" spans="1:24" x14ac:dyDescent="0.25">
      <c r="A41" t="s">
        <v>26</v>
      </c>
      <c r="D41">
        <v>12.375719999999999</v>
      </c>
      <c r="E41">
        <v>13.245950000000001</v>
      </c>
      <c r="F41">
        <v>13.883470000000001</v>
      </c>
      <c r="G41">
        <v>10.74968</v>
      </c>
      <c r="H41">
        <v>14.425560000000001</v>
      </c>
      <c r="I41">
        <v>13.63151</v>
      </c>
      <c r="J41">
        <v>15.707940000000001</v>
      </c>
      <c r="K41">
        <v>14.38184</v>
      </c>
      <c r="L41">
        <v>13.82178</v>
      </c>
      <c r="M41">
        <v>17.43478</v>
      </c>
      <c r="N41">
        <v>18.05857</v>
      </c>
      <c r="O41">
        <v>16.824770000000001</v>
      </c>
      <c r="P41">
        <v>14.22039</v>
      </c>
      <c r="Q41">
        <v>16.08268</v>
      </c>
      <c r="R41">
        <v>16.97907</v>
      </c>
      <c r="S41">
        <v>16.66902</v>
      </c>
      <c r="T41">
        <v>15.77045</v>
      </c>
      <c r="U41">
        <v>254.26318000000003</v>
      </c>
      <c r="W41" t="e">
        <f>AVERAGE(#REF!)</f>
        <v>#REF!</v>
      </c>
      <c r="X41" t="e">
        <f>_xlfn.STDEV.S(#REF!)</f>
        <v>#REF!</v>
      </c>
    </row>
    <row r="42" spans="1:24" x14ac:dyDescent="0.25">
      <c r="A42" t="s">
        <v>27</v>
      </c>
      <c r="B42">
        <v>13.81636</v>
      </c>
      <c r="C42">
        <v>13.734920000000001</v>
      </c>
      <c r="D42">
        <v>14.045489999999999</v>
      </c>
      <c r="E42">
        <v>13.18942</v>
      </c>
      <c r="F42">
        <v>13.44938</v>
      </c>
      <c r="G42">
        <v>13.28004</v>
      </c>
      <c r="I42">
        <v>10.607250000000001</v>
      </c>
      <c r="J42">
        <v>10.42069</v>
      </c>
      <c r="K42">
        <v>11.95731</v>
      </c>
      <c r="U42">
        <v>114.50086000000002</v>
      </c>
      <c r="W42" t="e">
        <f>AVERAGE(#REF!)</f>
        <v>#REF!</v>
      </c>
      <c r="X42" t="e">
        <f>_xlfn.STDEV.S(#REF!)</f>
        <v>#REF!</v>
      </c>
    </row>
    <row r="43" spans="1:24" x14ac:dyDescent="0.25">
      <c r="A43" t="s">
        <v>32</v>
      </c>
      <c r="B43">
        <v>14.463340000000001</v>
      </c>
      <c r="C43">
        <v>15.69397</v>
      </c>
      <c r="D43">
        <v>19.454149999999998</v>
      </c>
      <c r="E43">
        <v>19.142250000000001</v>
      </c>
      <c r="F43">
        <v>21.230720000000002</v>
      </c>
      <c r="G43">
        <v>21.76088</v>
      </c>
      <c r="H43">
        <v>18.305440000000001</v>
      </c>
      <c r="I43">
        <v>19.008870000000002</v>
      </c>
      <c r="J43">
        <v>20.54401</v>
      </c>
      <c r="K43">
        <v>21.021000000000001</v>
      </c>
      <c r="L43">
        <v>22.774370000000001</v>
      </c>
      <c r="M43">
        <v>22.823270000000001</v>
      </c>
      <c r="N43">
        <v>23.38739</v>
      </c>
      <c r="O43">
        <v>24.455439999999999</v>
      </c>
      <c r="P43">
        <v>24.099959999999999</v>
      </c>
      <c r="Q43">
        <v>25.283100000000001</v>
      </c>
      <c r="R43">
        <v>22.842839999999999</v>
      </c>
      <c r="U43">
        <v>356.29100000000005</v>
      </c>
      <c r="W43" t="e">
        <f>AVERAGE(#REF!)</f>
        <v>#REF!</v>
      </c>
      <c r="X43" t="e">
        <f>_xlfn.STDEV.S(#REF!)</f>
        <v>#REF!</v>
      </c>
    </row>
    <row r="44" spans="1:24" x14ac:dyDescent="0.25">
      <c r="A44" t="s">
        <v>29</v>
      </c>
      <c r="B44">
        <v>18.128779999999999</v>
      </c>
      <c r="C44">
        <v>18.394819999999999</v>
      </c>
      <c r="D44">
        <v>17.228549999999998</v>
      </c>
      <c r="E44">
        <v>18.03764</v>
      </c>
      <c r="F44">
        <v>16.478259999999999</v>
      </c>
      <c r="G44">
        <v>18.121510000000001</v>
      </c>
      <c r="H44">
        <v>19.043800000000001</v>
      </c>
      <c r="I44">
        <v>22.678349999999998</v>
      </c>
      <c r="J44">
        <v>19.338899999999999</v>
      </c>
      <c r="K44">
        <v>18.530799999999999</v>
      </c>
      <c r="L44">
        <v>20.154109999999999</v>
      </c>
      <c r="M44">
        <v>19.698260000000001</v>
      </c>
      <c r="O44">
        <v>16.985109999999999</v>
      </c>
      <c r="P44">
        <v>17.82687</v>
      </c>
      <c r="Q44">
        <v>18.304290000000002</v>
      </c>
      <c r="U44">
        <v>278.95004999999998</v>
      </c>
      <c r="W44" t="e">
        <f>AVERAGE(#REF!)</f>
        <v>#REF!</v>
      </c>
      <c r="X44" t="e">
        <f>_xlfn.STDEV.S(#REF!)</f>
        <v>#REF!</v>
      </c>
    </row>
    <row r="45" spans="1:24" x14ac:dyDescent="0.25">
      <c r="A45" t="s">
        <v>31</v>
      </c>
      <c r="C45">
        <v>23.9117</v>
      </c>
      <c r="D45">
        <v>19.892710000000001</v>
      </c>
      <c r="E45">
        <v>19.71489</v>
      </c>
      <c r="F45">
        <v>21.27618</v>
      </c>
      <c r="G45">
        <v>23.204129999999999</v>
      </c>
      <c r="H45">
        <v>20.950310000000002</v>
      </c>
      <c r="I45">
        <v>26.334820000000001</v>
      </c>
      <c r="J45">
        <v>27.461220000000001</v>
      </c>
      <c r="K45">
        <v>28.282959999999999</v>
      </c>
      <c r="L45">
        <v>28.474910000000001</v>
      </c>
      <c r="M45">
        <v>27.681950000000001</v>
      </c>
      <c r="N45">
        <v>26.162890000000001</v>
      </c>
      <c r="P45">
        <v>21.648060000000001</v>
      </c>
      <c r="Q45">
        <v>21.164439999999999</v>
      </c>
      <c r="R45">
        <v>23.778580000000002</v>
      </c>
      <c r="U45">
        <v>359.93975</v>
      </c>
      <c r="W45" t="e">
        <f>AVERAGE(#REF!)</f>
        <v>#REF!</v>
      </c>
      <c r="X45" t="e">
        <f>_xlfn.STDEV.S(#REF!)</f>
        <v>#REF!</v>
      </c>
    </row>
    <row r="46" spans="1:24" x14ac:dyDescent="0.25">
      <c r="A46" t="s">
        <v>33</v>
      </c>
      <c r="B46">
        <v>16.1142</v>
      </c>
      <c r="C46">
        <v>17.318000000000001</v>
      </c>
      <c r="D46">
        <v>17.020820000000001</v>
      </c>
      <c r="E46">
        <v>18.465489999999999</v>
      </c>
      <c r="F46">
        <v>18.304169999999999</v>
      </c>
      <c r="G46">
        <v>21.056419999999999</v>
      </c>
      <c r="H46">
        <v>21.896509999999999</v>
      </c>
      <c r="J46">
        <v>23.11347</v>
      </c>
      <c r="N46">
        <v>21.15174</v>
      </c>
      <c r="O46">
        <v>21.895869999999999</v>
      </c>
      <c r="Q46">
        <v>21.14236</v>
      </c>
      <c r="R46">
        <v>21.60867</v>
      </c>
      <c r="U46">
        <v>239.08771999999999</v>
      </c>
      <c r="W46" t="e">
        <f>AVERAGE(#REF!)</f>
        <v>#REF!</v>
      </c>
      <c r="X46" t="e">
        <f>_xlfn.STDEV.S(#REF!)</f>
        <v>#REF!</v>
      </c>
    </row>
    <row r="47" spans="1:24" x14ac:dyDescent="0.25">
      <c r="A47" t="s">
        <v>23</v>
      </c>
      <c r="J47">
        <v>32.590530000000001</v>
      </c>
      <c r="K47">
        <v>34.416690000000003</v>
      </c>
      <c r="L47">
        <v>35.061500000000002</v>
      </c>
      <c r="M47">
        <v>35.630679999999998</v>
      </c>
      <c r="N47">
        <v>38.035220000000002</v>
      </c>
      <c r="O47">
        <v>35.284059999999997</v>
      </c>
      <c r="U47">
        <v>211.01868000000002</v>
      </c>
      <c r="W47" t="e">
        <f>AVERAGE(#REF!)</f>
        <v>#REF!</v>
      </c>
      <c r="X47" t="e">
        <f>_xlfn.STDEV.S(#REF!)</f>
        <v>#REF!</v>
      </c>
    </row>
    <row r="48" spans="1:24" x14ac:dyDescent="0.25">
      <c r="A48" t="s">
        <v>24</v>
      </c>
      <c r="B48">
        <v>18.372920000000001</v>
      </c>
      <c r="C48">
        <v>20.52919</v>
      </c>
      <c r="D48">
        <v>20.160119999999999</v>
      </c>
      <c r="E48">
        <v>19.657360000000001</v>
      </c>
      <c r="F48">
        <v>23.412230000000001</v>
      </c>
      <c r="G48">
        <v>21.001329999999999</v>
      </c>
      <c r="H48">
        <v>23.675519999999999</v>
      </c>
      <c r="I48">
        <v>21.809850000000001</v>
      </c>
      <c r="J48">
        <v>21.529060000000001</v>
      </c>
      <c r="K48">
        <v>19.7819</v>
      </c>
      <c r="L48">
        <v>19.62595</v>
      </c>
      <c r="M48">
        <v>23.370850000000001</v>
      </c>
      <c r="N48">
        <v>23.979340000000001</v>
      </c>
      <c r="O48">
        <v>23.66714</v>
      </c>
      <c r="P48">
        <v>22.99878</v>
      </c>
      <c r="Q48">
        <v>29.908999999999999</v>
      </c>
      <c r="R48">
        <v>21.296029999999998</v>
      </c>
      <c r="U48">
        <v>374.77656999999999</v>
      </c>
      <c r="W48" t="e">
        <f>AVERAGE(#REF!)</f>
        <v>#REF!</v>
      </c>
      <c r="X48" t="e">
        <f>_xlfn.STDEV.S(#REF!)</f>
        <v>#REF!</v>
      </c>
    </row>
    <row r="49" spans="1:24" x14ac:dyDescent="0.25">
      <c r="A49" t="s">
        <v>25</v>
      </c>
      <c r="C49">
        <v>21.759640000000001</v>
      </c>
      <c r="D49">
        <v>22.05622</v>
      </c>
      <c r="E49">
        <v>22.32808</v>
      </c>
      <c r="F49">
        <v>22.663740000000001</v>
      </c>
      <c r="G49">
        <v>22.02685</v>
      </c>
      <c r="H49">
        <v>21.767959999999999</v>
      </c>
      <c r="I49">
        <v>23.30836</v>
      </c>
      <c r="J49">
        <v>23.29824</v>
      </c>
      <c r="K49">
        <v>24.251370000000001</v>
      </c>
      <c r="L49">
        <v>24.04664</v>
      </c>
      <c r="M49">
        <v>24.199649999999998</v>
      </c>
      <c r="N49">
        <v>21.238219999999998</v>
      </c>
      <c r="O49">
        <v>20.533750000000001</v>
      </c>
      <c r="P49">
        <v>19.763570000000001</v>
      </c>
      <c r="Q49">
        <v>19.869430000000001</v>
      </c>
      <c r="R49">
        <v>19.740069999999999</v>
      </c>
      <c r="U49">
        <v>352.85178999999999</v>
      </c>
      <c r="W49" t="e">
        <f>AVERAGE(#REF!)</f>
        <v>#REF!</v>
      </c>
      <c r="X49" t="e">
        <f>_xlfn.STDEV.S(#REF!)</f>
        <v>#REF!</v>
      </c>
    </row>
    <row r="50" spans="1:24" x14ac:dyDescent="0.25">
      <c r="A50" t="s">
        <v>21</v>
      </c>
      <c r="B50">
        <v>21.789370000000002</v>
      </c>
      <c r="C50">
        <v>22.804819999999999</v>
      </c>
      <c r="D50">
        <v>22.842189999999999</v>
      </c>
      <c r="E50">
        <v>23.218640000000001</v>
      </c>
      <c r="F50">
        <v>22.894200000000001</v>
      </c>
      <c r="G50">
        <v>22.365459999999999</v>
      </c>
      <c r="H50">
        <v>22.253029999999999</v>
      </c>
      <c r="I50">
        <v>22.864170000000001</v>
      </c>
      <c r="J50">
        <v>23.079940000000001</v>
      </c>
      <c r="K50">
        <v>22.829280000000001</v>
      </c>
      <c r="L50">
        <v>23.433260000000001</v>
      </c>
      <c r="M50">
        <v>23.433260000000001</v>
      </c>
      <c r="N50">
        <v>22.306950000000001</v>
      </c>
      <c r="O50">
        <v>22.43703</v>
      </c>
      <c r="P50">
        <v>22.49025</v>
      </c>
      <c r="Q50">
        <v>22.35801</v>
      </c>
      <c r="R50">
        <v>21.790220000000001</v>
      </c>
      <c r="U50">
        <v>385.19007999999991</v>
      </c>
      <c r="W50" t="e">
        <f>AVERAGE(#REF!)</f>
        <v>#REF!</v>
      </c>
      <c r="X50" t="e">
        <f>_xlfn.STDEV.S(#REF!)</f>
        <v>#REF!</v>
      </c>
    </row>
    <row r="51" spans="1:24" x14ac:dyDescent="0.25">
      <c r="A51" t="s">
        <v>20</v>
      </c>
      <c r="B51">
        <v>27.18328</v>
      </c>
      <c r="C51">
        <v>28.030999999999999</v>
      </c>
      <c r="D51">
        <v>28.320679999999999</v>
      </c>
      <c r="E51">
        <v>28.867760000000001</v>
      </c>
      <c r="F51">
        <v>28.46181</v>
      </c>
      <c r="G51">
        <v>27.5075</v>
      </c>
      <c r="H51">
        <v>26.801459999999999</v>
      </c>
      <c r="I51">
        <v>26.41938</v>
      </c>
      <c r="J51">
        <v>27.006419999999999</v>
      </c>
      <c r="K51">
        <v>28.092980000000001</v>
      </c>
      <c r="L51">
        <v>29.02195</v>
      </c>
      <c r="M51">
        <v>29.07621</v>
      </c>
      <c r="N51">
        <v>25.28107</v>
      </c>
      <c r="O51">
        <v>25.422730000000001</v>
      </c>
      <c r="P51">
        <v>25.27111</v>
      </c>
      <c r="Q51">
        <v>24.913350000000001</v>
      </c>
      <c r="R51">
        <v>24.08663</v>
      </c>
      <c r="U51">
        <v>459.76531999999997</v>
      </c>
      <c r="W51" t="e">
        <f>AVERAGE(#REF!)</f>
        <v>#REF!</v>
      </c>
      <c r="X51" t="e">
        <f>_xlfn.STDEV.S(#REF!)</f>
        <v>#REF!</v>
      </c>
    </row>
    <row r="52" spans="1:24" x14ac:dyDescent="0.25">
      <c r="A52" t="s">
        <v>22</v>
      </c>
      <c r="B52">
        <v>22.292179999999998</v>
      </c>
      <c r="C52">
        <v>23.111000000000001</v>
      </c>
      <c r="D52">
        <v>24.22523</v>
      </c>
      <c r="E52">
        <v>27.084800000000001</v>
      </c>
      <c r="F52">
        <v>27.942</v>
      </c>
      <c r="G52">
        <v>25.959540000000001</v>
      </c>
      <c r="H52">
        <v>26.593209999999999</v>
      </c>
      <c r="I52">
        <v>25.4512</v>
      </c>
      <c r="J52">
        <v>23.99906</v>
      </c>
      <c r="K52">
        <v>25.143049999999999</v>
      </c>
      <c r="L52">
        <v>25.307089999999999</v>
      </c>
      <c r="M52">
        <v>25.996179999999999</v>
      </c>
      <c r="N52">
        <v>26.3081</v>
      </c>
      <c r="O52">
        <v>26.14603</v>
      </c>
      <c r="P52">
        <v>26.37799</v>
      </c>
      <c r="Q52">
        <v>26.262599999999999</v>
      </c>
      <c r="R52">
        <v>26.003160000000001</v>
      </c>
      <c r="U52">
        <v>434.20242000000002</v>
      </c>
      <c r="W52" t="e">
        <f>AVERAGE(#REF!)</f>
        <v>#REF!</v>
      </c>
      <c r="X52" t="e">
        <f>_xlfn.STDEV.S(#REF!)</f>
        <v>#REF!</v>
      </c>
    </row>
    <row r="53" spans="1:24" x14ac:dyDescent="0.25">
      <c r="A53" t="s">
        <v>18</v>
      </c>
      <c r="B53">
        <v>20.303629999999998</v>
      </c>
      <c r="C53">
        <v>21.687809999999999</v>
      </c>
      <c r="F53">
        <v>20.612929999999999</v>
      </c>
      <c r="G53">
        <v>21.685459999999999</v>
      </c>
      <c r="H53">
        <v>23.740600000000001</v>
      </c>
      <c r="J53">
        <v>21.175999999999998</v>
      </c>
      <c r="K53">
        <v>19.318059999999999</v>
      </c>
      <c r="L53">
        <v>16.509640000000001</v>
      </c>
      <c r="M53">
        <v>14.916740000000001</v>
      </c>
      <c r="N53">
        <v>14.415139999999999</v>
      </c>
      <c r="O53">
        <v>15.553319999999999</v>
      </c>
      <c r="U53">
        <v>209.91933</v>
      </c>
      <c r="W53" t="e">
        <f>AVERAGE(#REF!)</f>
        <v>#REF!</v>
      </c>
      <c r="X53" t="e">
        <f>_xlfn.STDEV.S(#REF!)</f>
        <v>#REF!</v>
      </c>
    </row>
    <row r="54" spans="1:24" x14ac:dyDescent="0.25">
      <c r="A54" t="s">
        <v>19</v>
      </c>
      <c r="B54">
        <v>30.91114</v>
      </c>
      <c r="C54">
        <v>32.163220000000003</v>
      </c>
      <c r="D54">
        <v>33.771790000000003</v>
      </c>
      <c r="E54">
        <v>32.44209</v>
      </c>
      <c r="F54">
        <v>27.890689999999999</v>
      </c>
      <c r="H54">
        <v>31.896350000000002</v>
      </c>
      <c r="U54">
        <v>189.07528000000002</v>
      </c>
      <c r="W54" t="e">
        <f>AVERAGE(#REF!)</f>
        <v>#REF!</v>
      </c>
      <c r="X54" t="e">
        <f>_xlfn.STDEV.S(#REF!)</f>
        <v>#REF!</v>
      </c>
    </row>
    <row r="55" spans="1:24" x14ac:dyDescent="0.25">
      <c r="A55" t="s">
        <v>14</v>
      </c>
      <c r="B55">
        <v>17.54055</v>
      </c>
      <c r="C55">
        <v>17.23762</v>
      </c>
      <c r="D55">
        <v>20.637920000000001</v>
      </c>
      <c r="E55">
        <v>19.760770000000001</v>
      </c>
      <c r="F55">
        <v>19.293369999999999</v>
      </c>
      <c r="G55">
        <v>22.29214</v>
      </c>
      <c r="H55">
        <v>20.10144</v>
      </c>
      <c r="I55">
        <v>17.386040000000001</v>
      </c>
      <c r="J55">
        <v>15.70931</v>
      </c>
      <c r="K55">
        <v>14.369719999999999</v>
      </c>
      <c r="L55">
        <v>16.394690000000001</v>
      </c>
      <c r="M55">
        <v>22.09704</v>
      </c>
      <c r="O55">
        <v>23.958600000000001</v>
      </c>
      <c r="P55">
        <v>24.326270000000001</v>
      </c>
      <c r="Q55">
        <v>22.82077</v>
      </c>
      <c r="R55">
        <v>25.61589</v>
      </c>
      <c r="U55">
        <v>319.54213999999996</v>
      </c>
      <c r="W55" t="e">
        <f>AVERAGE(#REF!)</f>
        <v>#REF!</v>
      </c>
      <c r="X55" t="e">
        <f>_xlfn.STDEV.S(#REF!)</f>
        <v>#REF!</v>
      </c>
    </row>
    <row r="56" spans="1:24" x14ac:dyDescent="0.25">
      <c r="A56" t="s">
        <v>15</v>
      </c>
      <c r="O56">
        <v>27.227160000000001</v>
      </c>
      <c r="P56">
        <v>27.502279999999999</v>
      </c>
      <c r="U56">
        <v>54.729439999999997</v>
      </c>
      <c r="W56" t="e">
        <f>AVERAGE(#REF!)</f>
        <v>#REF!</v>
      </c>
      <c r="X56" t="e">
        <f>_xlfn.STDEV.S(#REF!)</f>
        <v>#REF!</v>
      </c>
    </row>
    <row r="57" spans="1:24" x14ac:dyDescent="0.25">
      <c r="A57" t="s">
        <v>9</v>
      </c>
      <c r="B57">
        <v>20.478110000000001</v>
      </c>
      <c r="C57">
        <v>21.066310000000001</v>
      </c>
      <c r="D57">
        <v>21.473569999999999</v>
      </c>
      <c r="E57">
        <v>25.939499999999999</v>
      </c>
      <c r="F57">
        <v>24.29814</v>
      </c>
      <c r="G57">
        <v>21.832850000000001</v>
      </c>
      <c r="H57">
        <v>22.002310000000001</v>
      </c>
      <c r="M57">
        <v>26.83334</v>
      </c>
      <c r="R57">
        <v>25.114070000000002</v>
      </c>
      <c r="S57">
        <v>24.796320000000001</v>
      </c>
      <c r="U57">
        <v>233.83452</v>
      </c>
      <c r="W57" t="e">
        <f>AVERAGE(#REF!)</f>
        <v>#REF!</v>
      </c>
      <c r="X57" t="e">
        <f>_xlfn.STDEV.S(#REF!)</f>
        <v>#REF!</v>
      </c>
    </row>
    <row r="58" spans="1:24" x14ac:dyDescent="0.25">
      <c r="A58" t="s">
        <v>16</v>
      </c>
      <c r="H58">
        <v>47.326430000000002</v>
      </c>
      <c r="I58">
        <v>43.487340000000003</v>
      </c>
      <c r="K58">
        <v>22.5991</v>
      </c>
      <c r="U58">
        <v>113.41287</v>
      </c>
      <c r="W58" t="e">
        <f>AVERAGE(#REF!)</f>
        <v>#REF!</v>
      </c>
      <c r="X58" t="e">
        <f>_xlfn.STDEV.S(#REF!)</f>
        <v>#REF!</v>
      </c>
    </row>
    <row r="59" spans="1:24" x14ac:dyDescent="0.25">
      <c r="A59" t="s">
        <v>17</v>
      </c>
      <c r="J59">
        <v>22.164819999999999</v>
      </c>
      <c r="K59">
        <v>13.64026</v>
      </c>
      <c r="L59">
        <v>14.480510000000001</v>
      </c>
      <c r="M59">
        <v>15.73494</v>
      </c>
      <c r="N59">
        <v>14.825229999999999</v>
      </c>
      <c r="O59">
        <v>15.00896</v>
      </c>
      <c r="U59">
        <v>95.85472</v>
      </c>
      <c r="W59" t="e">
        <f>AVERAGE(#REF!)</f>
        <v>#REF!</v>
      </c>
      <c r="X59" t="e">
        <f>_xlfn.STDEV.S(#REF!)</f>
        <v>#REF!</v>
      </c>
    </row>
    <row r="60" spans="1:24" x14ac:dyDescent="0.25">
      <c r="A60" t="s">
        <v>72</v>
      </c>
      <c r="B60">
        <v>713.86041999999998</v>
      </c>
      <c r="C60">
        <v>758.78991999999994</v>
      </c>
      <c r="D60">
        <v>776.35602000000006</v>
      </c>
      <c r="E60">
        <v>740.38366000000008</v>
      </c>
      <c r="F60">
        <v>869.09089999999981</v>
      </c>
      <c r="G60">
        <v>795.35577000000001</v>
      </c>
      <c r="H60">
        <v>879.66928999999993</v>
      </c>
      <c r="I60">
        <v>867.64450000000011</v>
      </c>
      <c r="J60">
        <v>901.78729999999996</v>
      </c>
      <c r="K60">
        <v>1011.56478</v>
      </c>
      <c r="L60">
        <v>974.26482999999985</v>
      </c>
      <c r="M60">
        <v>1015.2449700000002</v>
      </c>
      <c r="N60">
        <v>840.11566999999991</v>
      </c>
      <c r="O60">
        <v>1024.6788000000001</v>
      </c>
      <c r="P60">
        <v>871.31166999999982</v>
      </c>
      <c r="Q60">
        <v>854.56016000000022</v>
      </c>
      <c r="R60">
        <v>817.82920000000001</v>
      </c>
      <c r="S60">
        <v>184.31747999999999</v>
      </c>
      <c r="T60">
        <v>112.95523999999999</v>
      </c>
      <c r="U60">
        <v>15009.780579999997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35B9-BD8E-41AC-B231-5BDA7ED68EBD}">
  <sheetPr>
    <tabColor rgb="FF00B050"/>
  </sheetPr>
  <dimension ref="A1:Z61"/>
  <sheetViews>
    <sheetView workbookViewId="0">
      <selection activeCell="D17" sqref="D17"/>
    </sheetView>
  </sheetViews>
  <sheetFormatPr baseColWidth="10" defaultRowHeight="15" x14ac:dyDescent="0.25"/>
  <sheetData>
    <row r="1" spans="1:26" x14ac:dyDescent="0.25">
      <c r="A1" t="s">
        <v>8</v>
      </c>
      <c r="B1" t="s">
        <v>7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4.5803098678588903</v>
      </c>
      <c r="C5">
        <v>4.833740234375</v>
      </c>
      <c r="D5">
        <v>4.0173401832580602</v>
      </c>
      <c r="E5">
        <v>3.5350499153137198</v>
      </c>
      <c r="F5">
        <v>3.4865200519561799</v>
      </c>
      <c r="G5">
        <v>3.8600099086761501</v>
      </c>
      <c r="H5">
        <v>4.1282100677490199</v>
      </c>
      <c r="I5">
        <v>4.4626002311706499</v>
      </c>
      <c r="J5">
        <v>4.8444099426269496</v>
      </c>
      <c r="K5">
        <v>5.5310502052307102</v>
      </c>
      <c r="L5">
        <v>5.0197100639343297</v>
      </c>
      <c r="M5">
        <v>5.2906298637390101</v>
      </c>
      <c r="N5">
        <v>5.3458299636840803</v>
      </c>
      <c r="O5">
        <v>5.4366102218627903</v>
      </c>
      <c r="P5">
        <v>5.3614401817321804</v>
      </c>
      <c r="Q5">
        <v>5.7761101722717303</v>
      </c>
      <c r="R5">
        <v>5.5454897880554199</v>
      </c>
      <c r="S5">
        <v>5.4543199539184597</v>
      </c>
      <c r="T5">
        <v>4.8777399063110396</v>
      </c>
      <c r="U5">
        <v>4.7716498374939</v>
      </c>
      <c r="V5">
        <v>5.2768998146057102</v>
      </c>
      <c r="W5">
        <v>4.6411700248718297</v>
      </c>
      <c r="X5">
        <v>4.8052101135253897</v>
      </c>
      <c r="Z5">
        <v>110.88205051422119</v>
      </c>
    </row>
    <row r="6" spans="1:26" x14ac:dyDescent="0.25">
      <c r="A6" t="s">
        <v>69</v>
      </c>
      <c r="B6">
        <v>4.7593398094177202</v>
      </c>
      <c r="C6">
        <v>5.2226157188415501</v>
      </c>
      <c r="D6">
        <v>5.3056964874267596</v>
      </c>
      <c r="E6">
        <v>5.2452578544616699</v>
      </c>
      <c r="F6">
        <v>5.1930723190307599</v>
      </c>
      <c r="G6">
        <v>5.2718763351440403</v>
      </c>
      <c r="H6">
        <v>5.1630902290344203</v>
      </c>
      <c r="I6">
        <v>4.9696688652038601</v>
      </c>
      <c r="J6">
        <v>4.9018235206604004</v>
      </c>
      <c r="K6">
        <v>5.3964066505432102</v>
      </c>
      <c r="L6">
        <v>6.1504364013671902</v>
      </c>
      <c r="M6">
        <v>6.0060157775878897</v>
      </c>
      <c r="N6">
        <v>5.5592479705810502</v>
      </c>
      <c r="O6">
        <v>5.5196270942687997</v>
      </c>
      <c r="P6">
        <v>5.4375524520873997</v>
      </c>
      <c r="Q6">
        <v>5.4628582000732404</v>
      </c>
      <c r="R6">
        <v>5.4303855895996103</v>
      </c>
      <c r="S6">
        <v>5.3212556838989302</v>
      </c>
      <c r="T6">
        <v>5.4096760749816903</v>
      </c>
      <c r="U6">
        <v>5.5085887908935502</v>
      </c>
      <c r="V6">
        <v>5.3782801628112802</v>
      </c>
      <c r="W6">
        <v>5.3332099914550799</v>
      </c>
      <c r="X6">
        <v>5.2067766189575204</v>
      </c>
      <c r="Z6">
        <v>123.15275859832762</v>
      </c>
    </row>
    <row r="7" spans="1:26" x14ac:dyDescent="0.25">
      <c r="A7" t="s">
        <v>70</v>
      </c>
      <c r="B7">
        <v>5.5888099670410201</v>
      </c>
      <c r="C7">
        <v>5.5754799842834499</v>
      </c>
      <c r="D7">
        <v>5.5221300125122097</v>
      </c>
      <c r="E7">
        <v>5.3618302345275897</v>
      </c>
      <c r="F7">
        <v>5.30243015289307</v>
      </c>
      <c r="G7">
        <v>5.2493700981140101</v>
      </c>
      <c r="H7">
        <v>5.2265200614929199</v>
      </c>
      <c r="I7">
        <v>5.1469001770019496</v>
      </c>
      <c r="J7">
        <v>5.2639598846435502</v>
      </c>
      <c r="K7">
        <v>5.7302498817443803</v>
      </c>
      <c r="L7">
        <v>5.7004799842834499</v>
      </c>
      <c r="M7">
        <v>5.5922698974609402</v>
      </c>
      <c r="N7">
        <v>5.4804000854492196</v>
      </c>
      <c r="O7">
        <v>5.5471100807189897</v>
      </c>
      <c r="P7">
        <v>5.4476199150085396</v>
      </c>
      <c r="Q7">
        <v>5.4565801620483398</v>
      </c>
      <c r="R7">
        <v>5.4796199798584002</v>
      </c>
      <c r="S7">
        <v>5.3715901374816903</v>
      </c>
      <c r="T7">
        <v>5.2265501022338903</v>
      </c>
      <c r="U7">
        <v>5.2177901268005398</v>
      </c>
      <c r="V7">
        <v>5.5712699890136701</v>
      </c>
      <c r="W7">
        <v>5.4941101074218803</v>
      </c>
      <c r="X7">
        <v>4.7744712829589799</v>
      </c>
      <c r="Z7">
        <v>124.32754230499268</v>
      </c>
    </row>
    <row r="8" spans="1:26" x14ac:dyDescent="0.25">
      <c r="A8" t="s">
        <v>67</v>
      </c>
      <c r="B8">
        <v>5.5327329635620099</v>
      </c>
      <c r="C8">
        <v>5.6760549545288104</v>
      </c>
      <c r="D8">
        <v>5.7896838188171396</v>
      </c>
      <c r="E8">
        <v>5.8913021087646502</v>
      </c>
      <c r="F8">
        <v>5.6293377876281703</v>
      </c>
      <c r="G8">
        <v>5.79585981369019</v>
      </c>
      <c r="H8">
        <v>5.62658596038818</v>
      </c>
      <c r="I8">
        <v>5.5182337760925302</v>
      </c>
      <c r="J8">
        <v>6.3329401016235396</v>
      </c>
      <c r="K8">
        <v>6.4580998420715297</v>
      </c>
      <c r="L8">
        <v>6.4425902366638201</v>
      </c>
      <c r="M8">
        <v>6.4319901466369602</v>
      </c>
      <c r="N8">
        <v>6.2557649612426802</v>
      </c>
      <c r="O8">
        <v>6.6305298805236799</v>
      </c>
      <c r="P8">
        <v>6.5904698371887198</v>
      </c>
      <c r="Q8">
        <v>6.4515700340270996</v>
      </c>
      <c r="R8">
        <v>6.46173000335693</v>
      </c>
      <c r="S8">
        <v>6.4253401756286603</v>
      </c>
      <c r="T8">
        <v>6.3810701370239302</v>
      </c>
      <c r="U8">
        <v>6.3339700698852504</v>
      </c>
      <c r="V8">
        <v>6.8018598556518599</v>
      </c>
      <c r="W8">
        <v>6.3555197715759304</v>
      </c>
      <c r="Z8">
        <v>135.81323623657227</v>
      </c>
    </row>
    <row r="9" spans="1:26" x14ac:dyDescent="0.25">
      <c r="A9" t="s">
        <v>62</v>
      </c>
      <c r="B9">
        <v>3.9489300251007098</v>
      </c>
      <c r="C9">
        <v>3.8446800708770801</v>
      </c>
      <c r="D9">
        <v>3.7503700256347701</v>
      </c>
      <c r="F9">
        <v>3.9744799137115501</v>
      </c>
      <c r="G9">
        <v>4.4790802001953098</v>
      </c>
      <c r="H9">
        <v>4.8706002235412598</v>
      </c>
      <c r="I9">
        <v>4.9742598533630398</v>
      </c>
      <c r="J9">
        <v>5.2688398361206099</v>
      </c>
      <c r="K9">
        <v>5.4635500907897896</v>
      </c>
      <c r="L9">
        <v>5.6487998962402299</v>
      </c>
      <c r="M9">
        <v>5.7374100685119602</v>
      </c>
      <c r="N9">
        <v>5.8551001548767099</v>
      </c>
      <c r="O9">
        <v>5.8388500213623002</v>
      </c>
      <c r="P9">
        <v>5.9484801292419398</v>
      </c>
      <c r="Q9">
        <v>6.2410597801208496</v>
      </c>
      <c r="R9">
        <v>6.3140401840209996</v>
      </c>
      <c r="S9">
        <v>6.3204798698425302</v>
      </c>
      <c r="T9">
        <v>6.0885100364685103</v>
      </c>
      <c r="U9">
        <v>5.9634699821472203</v>
      </c>
      <c r="V9">
        <v>5.7715001106262198</v>
      </c>
      <c r="W9">
        <v>5.4969801902770996</v>
      </c>
      <c r="Z9">
        <v>111.79947066307068</v>
      </c>
    </row>
    <row r="10" spans="1:26" x14ac:dyDescent="0.25">
      <c r="A10" t="s">
        <v>66</v>
      </c>
      <c r="B10">
        <v>4.2198328971862802</v>
      </c>
      <c r="C10">
        <v>3.3842399120330802</v>
      </c>
      <c r="D10">
        <v>3.38608002662659</v>
      </c>
      <c r="E10">
        <v>3.9984500408172599</v>
      </c>
      <c r="F10">
        <v>4.2498898506164604</v>
      </c>
      <c r="G10">
        <v>4.1087999343872097</v>
      </c>
      <c r="H10">
        <v>3.90346002578735</v>
      </c>
      <c r="I10">
        <v>3.6803400516510001</v>
      </c>
      <c r="J10">
        <v>4.2190899848937997</v>
      </c>
      <c r="K10">
        <v>4.2742900848388699</v>
      </c>
      <c r="L10">
        <v>3.8574600219726598</v>
      </c>
      <c r="M10">
        <v>3.5469000339508101</v>
      </c>
      <c r="N10">
        <v>3.4765000343322798</v>
      </c>
      <c r="O10">
        <v>4.0576601028442401</v>
      </c>
      <c r="P10">
        <v>4.0700531005859402</v>
      </c>
      <c r="Q10">
        <v>3.9120843410491899</v>
      </c>
      <c r="R10">
        <v>3.3937082290649401</v>
      </c>
      <c r="S10">
        <v>4.0775599479675302</v>
      </c>
      <c r="T10">
        <v>4.0470900535583496</v>
      </c>
      <c r="U10">
        <v>4.1990299224853498</v>
      </c>
      <c r="V10">
        <v>4.5051398277282697</v>
      </c>
      <c r="W10">
        <v>4.7303299903869602</v>
      </c>
      <c r="Z10">
        <v>87.297988414764419</v>
      </c>
    </row>
    <row r="11" spans="1:26" x14ac:dyDescent="0.25">
      <c r="A11" t="s">
        <v>64</v>
      </c>
      <c r="B11">
        <v>5.4233198165893599</v>
      </c>
      <c r="C11">
        <v>4.9530301094055202</v>
      </c>
      <c r="D11">
        <v>4.9930801391601598</v>
      </c>
      <c r="G11">
        <v>4.7658801078796396</v>
      </c>
      <c r="I11">
        <v>4.7664098739623997</v>
      </c>
      <c r="J11">
        <v>4.62612009048462</v>
      </c>
      <c r="K11">
        <v>4.8405799865722701</v>
      </c>
      <c r="L11">
        <v>5.3563699722290004</v>
      </c>
      <c r="M11">
        <v>5.2620501518249503</v>
      </c>
      <c r="N11">
        <v>4.69258737564087</v>
      </c>
      <c r="O11">
        <v>4.5890097618103001</v>
      </c>
      <c r="P11">
        <v>4.8435897827148402</v>
      </c>
      <c r="Q11">
        <v>4.7393798828125</v>
      </c>
      <c r="R11">
        <v>4.8164200782775897</v>
      </c>
      <c r="S11">
        <v>4.9599699974060103</v>
      </c>
      <c r="T11">
        <v>4.8889799118042001</v>
      </c>
      <c r="U11">
        <v>4.7729301452636701</v>
      </c>
      <c r="V11">
        <v>4.8879499435424796</v>
      </c>
      <c r="W11">
        <v>4.7486000061035201</v>
      </c>
      <c r="X11">
        <v>4.1395716667175302</v>
      </c>
      <c r="Z11">
        <v>97.06582880020143</v>
      </c>
    </row>
    <row r="12" spans="1:26" x14ac:dyDescent="0.25">
      <c r="A12" t="s">
        <v>63</v>
      </c>
      <c r="B12">
        <v>3.75707006454468</v>
      </c>
      <c r="D12">
        <v>4.0488100051879901</v>
      </c>
      <c r="E12">
        <v>3.91868996620178</v>
      </c>
      <c r="F12">
        <v>3.5430700778961199</v>
      </c>
      <c r="G12">
        <v>3.2801699638366699</v>
      </c>
      <c r="H12">
        <v>3.04014992713928</v>
      </c>
      <c r="I12">
        <v>3.2331600189209002</v>
      </c>
      <c r="J12">
        <v>3.7918999195098899</v>
      </c>
      <c r="K12">
        <v>4.25475978851318</v>
      </c>
      <c r="L12">
        <v>4.1895399093627903</v>
      </c>
      <c r="M12">
        <v>4.0617299079895002</v>
      </c>
      <c r="O12">
        <v>4.5481400489807102</v>
      </c>
      <c r="P12">
        <v>4.7516798973083496</v>
      </c>
      <c r="Q12">
        <v>4.9039001464843803</v>
      </c>
      <c r="R12">
        <v>5.3664698600768999</v>
      </c>
      <c r="S12">
        <v>5.4327898025512704</v>
      </c>
      <c r="T12">
        <v>5.4730601310729998</v>
      </c>
      <c r="U12">
        <v>5.6263098716735804</v>
      </c>
      <c r="V12">
        <v>5.6299300193786603</v>
      </c>
      <c r="W12">
        <v>4.9992399215698198</v>
      </c>
      <c r="Z12">
        <v>87.850569248199463</v>
      </c>
    </row>
    <row r="13" spans="1:26" x14ac:dyDescent="0.25">
      <c r="A13" t="s">
        <v>65</v>
      </c>
      <c r="G13">
        <v>2.3919055461883501</v>
      </c>
      <c r="H13">
        <v>2.44128441810608</v>
      </c>
      <c r="I13">
        <v>2.7007348537445099</v>
      </c>
      <c r="J13">
        <v>3.6317882537841801</v>
      </c>
      <c r="K13">
        <v>3.7515220642089799</v>
      </c>
      <c r="L13">
        <v>3.5596652030944802</v>
      </c>
      <c r="M13">
        <v>3.8092169761657702</v>
      </c>
      <c r="N13">
        <v>4.2978887557983398</v>
      </c>
      <c r="O13">
        <v>4.1298041343689</v>
      </c>
      <c r="P13">
        <v>4.1053600311279297</v>
      </c>
      <c r="Q13">
        <v>4.2420125007629403</v>
      </c>
      <c r="R13">
        <v>4.2063851356506303</v>
      </c>
      <c r="S13">
        <v>4.1113314628601101</v>
      </c>
      <c r="T13">
        <v>4.0244240760803196</v>
      </c>
      <c r="U13">
        <v>4.0593948364257804</v>
      </c>
      <c r="V13">
        <v>4.2333812713623002</v>
      </c>
      <c r="W13">
        <v>3.9883251190185498</v>
      </c>
      <c r="X13">
        <v>4.0235695838928196</v>
      </c>
      <c r="Z13">
        <v>67.707994222640963</v>
      </c>
    </row>
    <row r="14" spans="1:26" x14ac:dyDescent="0.25">
      <c r="A14" t="s">
        <v>60</v>
      </c>
      <c r="B14">
        <v>3.5112099647521999</v>
      </c>
      <c r="C14">
        <v>3.70867991447449</v>
      </c>
      <c r="Z14">
        <v>7.2198898792266899</v>
      </c>
    </row>
    <row r="15" spans="1:26" x14ac:dyDescent="0.25">
      <c r="A15" t="s">
        <v>61</v>
      </c>
      <c r="B15">
        <v>4.6669502258300799</v>
      </c>
      <c r="C15">
        <v>4.8320298194885298</v>
      </c>
      <c r="D15">
        <v>5.1504402160644496</v>
      </c>
      <c r="E15">
        <v>5.1337399482727104</v>
      </c>
      <c r="F15">
        <v>4.8906297683715803</v>
      </c>
      <c r="H15">
        <v>4.6161398887634304</v>
      </c>
      <c r="I15">
        <v>4.6345100402831996</v>
      </c>
      <c r="J15">
        <v>4.8869700431823704</v>
      </c>
      <c r="K15">
        <v>6.0103001594543501</v>
      </c>
      <c r="L15">
        <v>6.5657401084899902</v>
      </c>
      <c r="M15">
        <v>6.3798899650573704</v>
      </c>
      <c r="N15">
        <v>6.5823998451232901</v>
      </c>
      <c r="O15">
        <v>6.68739986419678</v>
      </c>
      <c r="P15">
        <v>6.6795201301574698</v>
      </c>
      <c r="Q15">
        <v>6.8734998703002903</v>
      </c>
      <c r="R15">
        <v>6.89395999908447</v>
      </c>
      <c r="S15">
        <v>7.0698099136352504</v>
      </c>
      <c r="T15">
        <v>6.76991987228394</v>
      </c>
      <c r="U15">
        <v>6.7380800247192401</v>
      </c>
      <c r="V15">
        <v>6.6289801597595197</v>
      </c>
      <c r="W15">
        <v>6.2484197616577104</v>
      </c>
      <c r="Z15">
        <v>124.93932962417604</v>
      </c>
    </row>
    <row r="16" spans="1:26" x14ac:dyDescent="0.25">
      <c r="A16" t="s">
        <v>58</v>
      </c>
      <c r="B16">
        <v>6.1127085685729998</v>
      </c>
      <c r="C16">
        <v>5.6808652877807599</v>
      </c>
      <c r="D16">
        <v>3.82300996780396</v>
      </c>
      <c r="E16">
        <v>3.8690199851989702</v>
      </c>
      <c r="F16">
        <v>3.8221499919891402</v>
      </c>
      <c r="G16">
        <v>5.3670496940612802</v>
      </c>
      <c r="H16">
        <v>5.0069713592529297</v>
      </c>
      <c r="I16">
        <v>3.9675199985504199</v>
      </c>
      <c r="J16">
        <v>4.2754201889038104</v>
      </c>
      <c r="K16">
        <v>4.3782100677490199</v>
      </c>
      <c r="L16">
        <v>4.2168998718261701</v>
      </c>
      <c r="M16">
        <v>4.11441993713379</v>
      </c>
      <c r="N16">
        <v>5.2216138839721697</v>
      </c>
      <c r="O16">
        <v>4.5211601257324201</v>
      </c>
      <c r="P16">
        <v>5.1761512756347701</v>
      </c>
      <c r="Q16">
        <v>4.9690852165222203</v>
      </c>
      <c r="R16">
        <v>4.8962244987487802</v>
      </c>
      <c r="S16">
        <v>3.8626999855041499</v>
      </c>
      <c r="T16">
        <v>3.9120900630950901</v>
      </c>
      <c r="U16">
        <v>3.9200799465179399</v>
      </c>
      <c r="V16">
        <v>4.3890199661254901</v>
      </c>
      <c r="W16">
        <v>4.0566601753234899</v>
      </c>
      <c r="Z16">
        <v>99.559030055999756</v>
      </c>
    </row>
    <row r="17" spans="1:26" x14ac:dyDescent="0.25">
      <c r="A17" t="s">
        <v>56</v>
      </c>
      <c r="B17">
        <v>7.7048101425170898</v>
      </c>
      <c r="C17">
        <v>8.3580904006958008</v>
      </c>
      <c r="D17">
        <v>9.5711698532104492</v>
      </c>
      <c r="E17">
        <v>9.9408597946166992</v>
      </c>
      <c r="F17">
        <v>10.268230438232401</v>
      </c>
      <c r="G17">
        <v>10.5577802658081</v>
      </c>
      <c r="H17">
        <v>9.0571699142456108</v>
      </c>
      <c r="I17">
        <v>11.8682098388672</v>
      </c>
      <c r="J17">
        <v>14.059080123901399</v>
      </c>
      <c r="K17">
        <v>13.124859809875501</v>
      </c>
      <c r="L17">
        <v>12.8373098373413</v>
      </c>
      <c r="N17">
        <v>11.5516605377197</v>
      </c>
      <c r="O17">
        <v>10.6716957092285</v>
      </c>
      <c r="P17">
        <v>9.6074686050415004</v>
      </c>
      <c r="Q17">
        <v>8.9633369445800799</v>
      </c>
      <c r="R17">
        <v>9.0131330490112305</v>
      </c>
      <c r="U17">
        <v>9.0469694137573207</v>
      </c>
      <c r="W17">
        <v>9.3858623504638707</v>
      </c>
      <c r="Z17">
        <v>185.58769702911374</v>
      </c>
    </row>
    <row r="18" spans="1:26" x14ac:dyDescent="0.25">
      <c r="A18" t="s">
        <v>55</v>
      </c>
      <c r="B18">
        <v>3.6403400897979701</v>
      </c>
      <c r="C18">
        <v>3.7328300476074201</v>
      </c>
      <c r="D18">
        <v>3.95878005027771</v>
      </c>
      <c r="E18">
        <v>4.1172800064086896</v>
      </c>
      <c r="F18">
        <v>3.9923899173736599</v>
      </c>
      <c r="G18">
        <v>3.8659100532531698</v>
      </c>
      <c r="H18">
        <v>4.1955099105834996</v>
      </c>
      <c r="I18">
        <v>3.84717988967896</v>
      </c>
      <c r="J18">
        <v>3.7271900177002002</v>
      </c>
      <c r="K18">
        <v>4.1460599899292001</v>
      </c>
      <c r="L18">
        <v>4.0335001945495597</v>
      </c>
      <c r="M18">
        <v>4.2420902252197301</v>
      </c>
      <c r="N18">
        <v>4.2207098007202104</v>
      </c>
      <c r="O18">
        <v>4.0467600822448704</v>
      </c>
      <c r="P18">
        <v>3.9652299880981401</v>
      </c>
      <c r="Q18">
        <v>5.7518200874328604</v>
      </c>
      <c r="R18">
        <v>5.5537300109863299</v>
      </c>
      <c r="S18">
        <v>3.8061599731445299</v>
      </c>
      <c r="T18">
        <v>4.2660598754882804</v>
      </c>
      <c r="U18">
        <v>4.5424699783325204</v>
      </c>
      <c r="V18">
        <v>4.7215900421142596</v>
      </c>
      <c r="W18">
        <v>4.8031997680664098</v>
      </c>
      <c r="Z18">
        <v>93.176789999008179</v>
      </c>
    </row>
    <row r="19" spans="1:26" x14ac:dyDescent="0.25">
      <c r="A19" t="s">
        <v>51</v>
      </c>
      <c r="B19">
        <v>8.0843400955200195</v>
      </c>
      <c r="C19">
        <v>8.2154502868652308</v>
      </c>
      <c r="D19">
        <v>8.2130298614502006</v>
      </c>
      <c r="E19">
        <v>8.1219301223754901</v>
      </c>
      <c r="F19">
        <v>8.2076301574706996</v>
      </c>
      <c r="G19">
        <v>8.08557033538818</v>
      </c>
      <c r="H19">
        <v>7.7299098968505904</v>
      </c>
      <c r="I19">
        <v>7.61560010910034</v>
      </c>
      <c r="J19">
        <v>7.4760499000549299</v>
      </c>
      <c r="K19">
        <v>8.4488801956176793</v>
      </c>
      <c r="L19">
        <v>8.5595502853393608</v>
      </c>
      <c r="M19">
        <v>8.4848604202270508</v>
      </c>
      <c r="N19">
        <v>7.2378201484680202</v>
      </c>
      <c r="O19">
        <v>8.4944295883178693</v>
      </c>
      <c r="P19">
        <v>7.6348500251770002</v>
      </c>
      <c r="Q19">
        <v>7.01041460037231</v>
      </c>
      <c r="R19">
        <v>7.6910600662231401</v>
      </c>
      <c r="S19">
        <v>7.1158599853515598</v>
      </c>
      <c r="T19">
        <v>7.2969098091125497</v>
      </c>
      <c r="U19">
        <v>7.2550501823425302</v>
      </c>
      <c r="V19">
        <v>7.3835401535034197</v>
      </c>
      <c r="W19">
        <v>6.9999299049377397</v>
      </c>
      <c r="X19">
        <v>5.2964344024658203</v>
      </c>
      <c r="Z19">
        <v>176.65910053253174</v>
      </c>
    </row>
    <row r="20" spans="1:26" x14ac:dyDescent="0.25">
      <c r="A20" t="s">
        <v>49</v>
      </c>
      <c r="B20">
        <v>1.20265996456146</v>
      </c>
      <c r="K20">
        <v>4.5176301002502397</v>
      </c>
      <c r="L20">
        <v>4.6002898216247603</v>
      </c>
      <c r="M20">
        <v>4.7442498207092303</v>
      </c>
      <c r="N20">
        <v>4.6531000137329102</v>
      </c>
      <c r="O20">
        <v>4.9299798011779803</v>
      </c>
      <c r="P20">
        <v>5.2102098464965803</v>
      </c>
      <c r="Q20">
        <v>5.1057000160217303</v>
      </c>
      <c r="R20">
        <v>4.3627481460571298</v>
      </c>
      <c r="S20">
        <v>4.6142578125</v>
      </c>
      <c r="T20">
        <v>4.6214551925659197</v>
      </c>
      <c r="U20">
        <v>4.2457799911498997</v>
      </c>
      <c r="V20">
        <v>4.2610301971435502</v>
      </c>
      <c r="W20">
        <v>3.6477699279785201</v>
      </c>
      <c r="X20">
        <v>3.5989799499511701</v>
      </c>
      <c r="Y20">
        <v>3.8936500549316402</v>
      </c>
      <c r="Z20">
        <v>68.209490656852722</v>
      </c>
    </row>
    <row r="21" spans="1:26" x14ac:dyDescent="0.25">
      <c r="A21" t="s">
        <v>57</v>
      </c>
      <c r="B21">
        <v>5.33945989608765</v>
      </c>
      <c r="C21">
        <v>5.2284598350524902</v>
      </c>
      <c r="D21">
        <v>5.43460988998413</v>
      </c>
      <c r="E21">
        <v>5.2730998992919904</v>
      </c>
      <c r="F21">
        <v>4.8767499923706099</v>
      </c>
      <c r="G21">
        <v>4.8102698326110804</v>
      </c>
      <c r="H21">
        <v>5.8567624092102104</v>
      </c>
      <c r="I21">
        <v>4.6199097633361799</v>
      </c>
      <c r="J21">
        <v>5.4840397834777797</v>
      </c>
      <c r="K21">
        <v>5.9600501060485804</v>
      </c>
      <c r="L21">
        <v>5.5177898406982404</v>
      </c>
      <c r="M21">
        <v>5.0144901275634801</v>
      </c>
      <c r="N21">
        <v>4.7177200317382804</v>
      </c>
      <c r="O21">
        <v>4.8438801765441903</v>
      </c>
      <c r="P21">
        <v>4.3943300247192401</v>
      </c>
      <c r="Q21">
        <v>5.1441898345947301</v>
      </c>
      <c r="R21">
        <v>5.1576399803161603</v>
      </c>
      <c r="S21">
        <v>4.9613199234008798</v>
      </c>
      <c r="T21">
        <v>5.2399702072143599</v>
      </c>
      <c r="U21">
        <v>5.2604198455810502</v>
      </c>
      <c r="V21">
        <v>5.5269699096679696</v>
      </c>
      <c r="W21">
        <v>5.2632098197937003</v>
      </c>
      <c r="Z21">
        <v>113.92534112930298</v>
      </c>
    </row>
    <row r="22" spans="1:26" x14ac:dyDescent="0.25">
      <c r="A22" t="s">
        <v>53</v>
      </c>
      <c r="B22">
        <v>5.7093000411987296</v>
      </c>
      <c r="C22">
        <v>5.84025001525879</v>
      </c>
      <c r="D22">
        <v>6.0167798995971697</v>
      </c>
      <c r="E22">
        <v>6.1674399375915501</v>
      </c>
      <c r="F22">
        <v>6.1575798988342303</v>
      </c>
      <c r="G22">
        <v>6.0250701904296902</v>
      </c>
      <c r="H22">
        <v>5.9283800125122097</v>
      </c>
      <c r="I22">
        <v>5.6712598800659197</v>
      </c>
      <c r="J22">
        <v>5.83010005950928</v>
      </c>
      <c r="K22">
        <v>6.4595599174499503</v>
      </c>
      <c r="L22">
        <v>6.5044498443603498</v>
      </c>
      <c r="M22">
        <v>6.4450497627258301</v>
      </c>
      <c r="N22">
        <v>7.1480398178100604</v>
      </c>
      <c r="O22">
        <v>7.1240401268005398</v>
      </c>
      <c r="P22">
        <v>7.1023697853088397</v>
      </c>
      <c r="Q22">
        <v>7.0320801734924299</v>
      </c>
      <c r="R22">
        <v>6.8515300750732404</v>
      </c>
      <c r="S22">
        <v>6.3631100654602104</v>
      </c>
      <c r="T22">
        <v>6.2755799293518102</v>
      </c>
      <c r="U22">
        <v>6.4169502258300799</v>
      </c>
      <c r="V22">
        <v>6.6349401473998997</v>
      </c>
      <c r="W22">
        <v>6.5382599830627397</v>
      </c>
      <c r="Z22">
        <v>140.24211978912354</v>
      </c>
    </row>
    <row r="23" spans="1:26" x14ac:dyDescent="0.25">
      <c r="A23" t="s">
        <v>50</v>
      </c>
      <c r="B23">
        <v>5.60021924972534</v>
      </c>
      <c r="C23">
        <v>5.6178002357482901</v>
      </c>
      <c r="D23">
        <v>5.7809753417968803</v>
      </c>
      <c r="E23">
        <v>5.76206302642822</v>
      </c>
      <c r="F23">
        <v>5.54923391342163</v>
      </c>
      <c r="G23">
        <v>5.5172276496887198</v>
      </c>
      <c r="H23">
        <v>5.4753103256225604</v>
      </c>
      <c r="I23">
        <v>5.3045287132263201</v>
      </c>
      <c r="J23">
        <v>5.3872756958007804</v>
      </c>
      <c r="K23">
        <v>5.6692190170288104</v>
      </c>
      <c r="L23">
        <v>5.6427917480468803</v>
      </c>
      <c r="M23">
        <v>5.4801154136657697</v>
      </c>
      <c r="N23">
        <v>5.4883561134338397</v>
      </c>
      <c r="O23">
        <v>5.4928936958312997</v>
      </c>
      <c r="P23">
        <v>5.4892044067382804</v>
      </c>
      <c r="Q23">
        <v>5.4464273452758798</v>
      </c>
      <c r="R23">
        <v>5.4080581665039098</v>
      </c>
      <c r="S23">
        <v>5.45160007476807</v>
      </c>
      <c r="T23">
        <v>5.4071698188781703</v>
      </c>
      <c r="U23">
        <v>5.35443019866943</v>
      </c>
      <c r="V23">
        <v>5.6598100662231401</v>
      </c>
      <c r="W23">
        <v>5.4303898811340297</v>
      </c>
      <c r="Z23">
        <v>121.41510009765625</v>
      </c>
    </row>
    <row r="24" spans="1:26" x14ac:dyDescent="0.25">
      <c r="A24" t="s">
        <v>54</v>
      </c>
      <c r="B24">
        <v>4.0681524276733398</v>
      </c>
      <c r="C24">
        <v>4.1470813751220703</v>
      </c>
      <c r="D24">
        <v>4.1630573272705096</v>
      </c>
      <c r="E24">
        <v>4.1710186004638699</v>
      </c>
      <c r="F24">
        <v>4.1006488800048801</v>
      </c>
      <c r="G24">
        <v>4.1073107719421396</v>
      </c>
      <c r="H24">
        <v>4.0252737998962402</v>
      </c>
      <c r="I24">
        <v>3.9224660396575901</v>
      </c>
      <c r="J24">
        <v>4.5492401123046902</v>
      </c>
      <c r="K24">
        <v>4.3400540351867702</v>
      </c>
      <c r="L24">
        <v>5.0958800315856898</v>
      </c>
      <c r="M24">
        <v>4.9842500686645499</v>
      </c>
      <c r="N24">
        <v>4.9284400939941397</v>
      </c>
      <c r="O24">
        <v>4.9353899955749503</v>
      </c>
      <c r="P24">
        <v>4.92102003097534</v>
      </c>
      <c r="Q24">
        <v>4.8551502227783203</v>
      </c>
      <c r="R24">
        <v>4.8392300605773899</v>
      </c>
      <c r="S24">
        <v>4.8718299865722701</v>
      </c>
      <c r="T24">
        <v>4.97933006286621</v>
      </c>
      <c r="U24">
        <v>5.1155200004577601</v>
      </c>
      <c r="V24">
        <v>5.5903801918029803</v>
      </c>
      <c r="W24">
        <v>5.4548897743225098</v>
      </c>
      <c r="X24">
        <v>4.5438904762268102</v>
      </c>
      <c r="Z24">
        <v>106.70950436592102</v>
      </c>
    </row>
    <row r="25" spans="1:26" x14ac:dyDescent="0.25">
      <c r="A25" t="s">
        <v>52</v>
      </c>
      <c r="B25">
        <v>3.2301900386810298</v>
      </c>
      <c r="C25">
        <v>3.3645799160003702</v>
      </c>
      <c r="D25">
        <v>3.4243099689483598</v>
      </c>
      <c r="E25">
        <v>3.4293398857116699</v>
      </c>
      <c r="F25">
        <v>3.6671900749206499</v>
      </c>
      <c r="G25">
        <v>3.9639599323272701</v>
      </c>
      <c r="H25">
        <v>3.6477220058441202</v>
      </c>
      <c r="I25">
        <v>3.5913965702056898</v>
      </c>
      <c r="J25">
        <v>3.7728831768035902</v>
      </c>
      <c r="K25">
        <v>4.1299352645873997</v>
      </c>
      <c r="L25">
        <v>4.14056491851807</v>
      </c>
      <c r="M25">
        <v>4.5163002014160201</v>
      </c>
      <c r="N25">
        <v>4.5822029113769496</v>
      </c>
      <c r="O25">
        <v>4.4951190948486301</v>
      </c>
      <c r="P25">
        <v>4.3213567733764604</v>
      </c>
      <c r="Q25">
        <v>3.6613900661468501</v>
      </c>
      <c r="R25">
        <v>4.0156106948852504</v>
      </c>
      <c r="S25">
        <v>3.47708988189697</v>
      </c>
      <c r="T25">
        <v>3.59734010696411</v>
      </c>
      <c r="U25">
        <v>3.5861299037933301</v>
      </c>
      <c r="V25">
        <v>4.4950003623962402</v>
      </c>
      <c r="W25">
        <v>4.0820145606994602</v>
      </c>
      <c r="Z25">
        <v>85.191626310348497</v>
      </c>
    </row>
    <row r="26" spans="1:26" x14ac:dyDescent="0.25">
      <c r="A26" t="s">
        <v>48</v>
      </c>
      <c r="C26">
        <v>3.9037001132965101</v>
      </c>
      <c r="D26">
        <v>4.0155401229858398</v>
      </c>
      <c r="E26">
        <v>4.28529977798462</v>
      </c>
      <c r="F26">
        <v>4.5589599609375</v>
      </c>
      <c r="G26">
        <v>4.1346302032470703</v>
      </c>
      <c r="H26">
        <v>3.8427898883819598</v>
      </c>
      <c r="I26">
        <v>3.45455002784729</v>
      </c>
      <c r="J26">
        <v>3.2606298923492401</v>
      </c>
      <c r="K26">
        <v>4.39212989807129</v>
      </c>
      <c r="L26">
        <v>3.5100300312042201</v>
      </c>
      <c r="M26">
        <v>3.4182200431823699</v>
      </c>
      <c r="N26">
        <v>3.5096099376678498</v>
      </c>
      <c r="O26">
        <v>3.7603199481964098</v>
      </c>
      <c r="P26">
        <v>3.5725500583648699</v>
      </c>
      <c r="Q26">
        <v>3.2621200084686302</v>
      </c>
      <c r="R26">
        <v>3.2926900386810298</v>
      </c>
      <c r="S26">
        <v>3.3098900318145801</v>
      </c>
      <c r="T26">
        <v>3.3262400627136199</v>
      </c>
      <c r="U26">
        <v>3.81017994880676</v>
      </c>
      <c r="V26">
        <v>4.4056200981140101</v>
      </c>
      <c r="W26">
        <v>4.0003099441528303</v>
      </c>
      <c r="X26">
        <v>3.72866010665894</v>
      </c>
      <c r="Y26">
        <v>3.80310010910034</v>
      </c>
      <c r="Z26">
        <v>86.557770252227783</v>
      </c>
    </row>
    <row r="27" spans="1:26" x14ac:dyDescent="0.25">
      <c r="A27" t="s">
        <v>44</v>
      </c>
      <c r="B27">
        <v>4.8684000968933097</v>
      </c>
      <c r="C27">
        <v>4.9310097694396999</v>
      </c>
      <c r="D27">
        <v>5.1792302131652797</v>
      </c>
      <c r="E27">
        <v>5.7923002243042001</v>
      </c>
      <c r="F27">
        <v>5.3276200294494602</v>
      </c>
      <c r="G27">
        <v>5.3200798034668004</v>
      </c>
      <c r="H27">
        <v>5.2897400856018102</v>
      </c>
      <c r="I27">
        <v>5.1349501609802202</v>
      </c>
      <c r="J27">
        <v>4.9676399230956996</v>
      </c>
      <c r="K27">
        <v>4.9463601112365696</v>
      </c>
      <c r="L27">
        <v>4.7237501144409197</v>
      </c>
      <c r="M27">
        <v>4.5631799697876003</v>
      </c>
      <c r="N27">
        <v>4.1424999237060502</v>
      </c>
      <c r="O27">
        <v>4.1892199516296396</v>
      </c>
      <c r="P27">
        <v>4.6018700599670401</v>
      </c>
      <c r="Q27">
        <v>4.49539995193481</v>
      </c>
      <c r="R27">
        <v>4.6154799461364702</v>
      </c>
      <c r="S27">
        <v>4.6475701332092303</v>
      </c>
      <c r="T27">
        <v>4.6234397888183603</v>
      </c>
      <c r="U27">
        <v>4.2248802185058603</v>
      </c>
      <c r="V27">
        <v>4.1535701751709002</v>
      </c>
      <c r="W27">
        <v>4.68406009674072</v>
      </c>
      <c r="Z27">
        <v>105.42225074768065</v>
      </c>
    </row>
    <row r="28" spans="1:26" x14ac:dyDescent="0.25">
      <c r="A28" t="s">
        <v>47</v>
      </c>
      <c r="B28">
        <v>6.4314398765564</v>
      </c>
      <c r="C28">
        <v>6.7059202194213903</v>
      </c>
      <c r="D28">
        <v>7.2989201545715297</v>
      </c>
      <c r="E28">
        <v>7.2450799942016602</v>
      </c>
      <c r="F28">
        <v>7.1611800193786603</v>
      </c>
      <c r="G28">
        <v>7.33843994140625</v>
      </c>
      <c r="H28">
        <v>7.1952199935913104</v>
      </c>
      <c r="I28">
        <v>6.9443302154540998</v>
      </c>
      <c r="J28">
        <v>7.0360198020935103</v>
      </c>
      <c r="K28">
        <v>7.1898498535156197</v>
      </c>
      <c r="L28">
        <v>6.9442400932312003</v>
      </c>
      <c r="M28">
        <v>6.7899799346923801</v>
      </c>
      <c r="N28">
        <v>7.5822300910949698</v>
      </c>
      <c r="O28">
        <v>7.4486899375915501</v>
      </c>
      <c r="P28">
        <v>7.6414098739623997</v>
      </c>
      <c r="Q28">
        <v>7.4579701423645002</v>
      </c>
      <c r="R28">
        <v>7.4321999549865696</v>
      </c>
      <c r="S28">
        <v>7.5838599205017099</v>
      </c>
      <c r="T28">
        <v>7.5634999275207502</v>
      </c>
      <c r="U28">
        <v>7.6012997627258301</v>
      </c>
      <c r="V28">
        <v>8.5838298797607404</v>
      </c>
      <c r="W28">
        <v>8.2178096771240199</v>
      </c>
      <c r="X28">
        <v>7.1396651268005398</v>
      </c>
      <c r="Z28">
        <v>168.53308439254761</v>
      </c>
    </row>
    <row r="29" spans="1:26" x14ac:dyDescent="0.25">
      <c r="A29" t="s">
        <v>39</v>
      </c>
      <c r="B29">
        <v>4.32479000091553</v>
      </c>
      <c r="E29">
        <v>3.61340999603271</v>
      </c>
      <c r="F29">
        <v>3.35254001617432</v>
      </c>
      <c r="G29">
        <v>3.1887500286102299</v>
      </c>
      <c r="H29">
        <v>3.1428499221801798</v>
      </c>
      <c r="K29">
        <v>3.2782499790191699</v>
      </c>
      <c r="L29">
        <v>3.3776900768279998</v>
      </c>
      <c r="M29">
        <v>3.7961800098419198</v>
      </c>
      <c r="N29">
        <v>4.0847983360290501</v>
      </c>
      <c r="O29">
        <v>3.8446700572967498</v>
      </c>
      <c r="P29">
        <v>3.8987803459167498</v>
      </c>
      <c r="Q29">
        <v>4.1149916648864702</v>
      </c>
      <c r="R29">
        <v>4.2565164566040004</v>
      </c>
      <c r="S29">
        <v>4.30639696121216</v>
      </c>
      <c r="T29">
        <v>4.3769326210021999</v>
      </c>
      <c r="U29">
        <v>3.8973236083984402</v>
      </c>
      <c r="V29">
        <v>4.0401415824890101</v>
      </c>
      <c r="W29">
        <v>4.6351413726806596</v>
      </c>
      <c r="X29">
        <v>4.12072849273682</v>
      </c>
      <c r="Z29">
        <v>73.65088152885437</v>
      </c>
    </row>
    <row r="30" spans="1:26" x14ac:dyDescent="0.25">
      <c r="A30" t="s">
        <v>40</v>
      </c>
      <c r="C30">
        <v>2.4600300788879399</v>
      </c>
      <c r="D30">
        <v>2.64568996429443</v>
      </c>
      <c r="E30">
        <v>3.21799993515015</v>
      </c>
      <c r="F30">
        <v>2.7484700679779102</v>
      </c>
      <c r="G30">
        <v>2.8728199005127002</v>
      </c>
      <c r="I30">
        <v>3.04425001144409</v>
      </c>
      <c r="J30">
        <v>2.9019000530242902</v>
      </c>
      <c r="K30">
        <v>3.5251300334930402</v>
      </c>
      <c r="L30">
        <v>2.8122799396514901</v>
      </c>
      <c r="M30">
        <v>3.1894400119781499</v>
      </c>
      <c r="N30">
        <v>3.4074800014495801</v>
      </c>
      <c r="O30">
        <v>3.3590400218963601</v>
      </c>
      <c r="P30">
        <v>3.2880098819732702</v>
      </c>
      <c r="Q30">
        <v>3.5836000442504901</v>
      </c>
      <c r="R30">
        <v>1.2102345228195199</v>
      </c>
      <c r="S30">
        <v>1.05324387550354</v>
      </c>
      <c r="T30">
        <v>0.99443644285202004</v>
      </c>
      <c r="U30">
        <v>0.96439909934997603</v>
      </c>
      <c r="V30">
        <v>1.0159322023391699</v>
      </c>
      <c r="W30">
        <v>1.0322175025939899</v>
      </c>
      <c r="X30">
        <v>0.86394333839416504</v>
      </c>
      <c r="Y30">
        <v>1.2751709222793599</v>
      </c>
      <c r="Z30">
        <v>51.465717852115624</v>
      </c>
    </row>
    <row r="31" spans="1:26" x14ac:dyDescent="0.25">
      <c r="A31" t="s">
        <v>45</v>
      </c>
      <c r="B31">
        <v>4.1322598457336399</v>
      </c>
      <c r="C31">
        <v>4.0874900817871103</v>
      </c>
      <c r="D31">
        <v>4.10487985610962</v>
      </c>
      <c r="E31">
        <v>4.2049398422241202</v>
      </c>
      <c r="F31">
        <v>4.4829602241516104</v>
      </c>
      <c r="G31">
        <v>4.5189800262451199</v>
      </c>
      <c r="H31">
        <v>4.5474200248718297</v>
      </c>
      <c r="I31">
        <v>4.7154102325439498</v>
      </c>
      <c r="J31">
        <v>5.4582800865173304</v>
      </c>
      <c r="K31">
        <v>6.1561098098754901</v>
      </c>
      <c r="L31">
        <v>6.0503301620483398</v>
      </c>
      <c r="M31">
        <v>5.8242897987365696</v>
      </c>
      <c r="N31">
        <v>5.76235008239746</v>
      </c>
      <c r="O31">
        <v>5.3457899093627903</v>
      </c>
      <c r="P31">
        <v>4.8651199340820304</v>
      </c>
      <c r="Q31">
        <v>3.74868988990784</v>
      </c>
      <c r="R31">
        <v>3.7467401027679399</v>
      </c>
      <c r="S31">
        <v>3.49044990539551</v>
      </c>
      <c r="T31">
        <v>3.3783800601959202</v>
      </c>
      <c r="U31">
        <v>3.2961699962615998</v>
      </c>
      <c r="V31">
        <v>3.2508199214935298</v>
      </c>
      <c r="W31">
        <v>3.0059800148010298</v>
      </c>
      <c r="Z31">
        <v>98.17383980751039</v>
      </c>
    </row>
    <row r="32" spans="1:26" x14ac:dyDescent="0.25">
      <c r="A32" t="s">
        <v>43</v>
      </c>
      <c r="B32">
        <v>5.9519500732421902</v>
      </c>
      <c r="C32">
        <v>6.1931600570678702</v>
      </c>
      <c r="D32">
        <v>6.2628197669982901</v>
      </c>
      <c r="E32">
        <v>6.1399497985839799</v>
      </c>
      <c r="F32">
        <v>5.75347995758057</v>
      </c>
      <c r="G32">
        <v>5.5813899040222203</v>
      </c>
      <c r="H32">
        <v>5.5921897888183603</v>
      </c>
      <c r="I32">
        <v>5.3499197959899902</v>
      </c>
      <c r="J32">
        <v>5.4243497848510698</v>
      </c>
      <c r="K32">
        <v>5.3778500556945801</v>
      </c>
      <c r="L32">
        <v>5.4339098930358896</v>
      </c>
      <c r="M32">
        <v>5.45581007003784</v>
      </c>
      <c r="N32">
        <v>5.5889301300048801</v>
      </c>
      <c r="O32">
        <v>5.7841501235961896</v>
      </c>
      <c r="P32">
        <v>5.7047100067138699</v>
      </c>
      <c r="Q32">
        <v>5.7976598739623997</v>
      </c>
      <c r="R32">
        <v>5.7998099327087402</v>
      </c>
      <c r="S32">
        <v>6.0077199935913104</v>
      </c>
      <c r="T32">
        <v>6.0628499984741202</v>
      </c>
      <c r="U32">
        <v>6.0414700508117702</v>
      </c>
      <c r="V32">
        <v>6.47881984710693</v>
      </c>
      <c r="W32">
        <v>6.1840100288391104</v>
      </c>
      <c r="X32">
        <v>6.4562444686889604</v>
      </c>
      <c r="Z32">
        <v>134.42315340042111</v>
      </c>
    </row>
    <row r="33" spans="1:26" x14ac:dyDescent="0.25">
      <c r="A33" t="s">
        <v>42</v>
      </c>
      <c r="B33">
        <v>4.2910799980163601</v>
      </c>
      <c r="C33">
        <v>4.6500902175903303</v>
      </c>
      <c r="D33">
        <v>4.4324097633361799</v>
      </c>
      <c r="E33">
        <v>4.5417900085449201</v>
      </c>
      <c r="F33">
        <v>4.3852000236511204</v>
      </c>
      <c r="G33">
        <v>4.2382998466491699</v>
      </c>
      <c r="H33">
        <v>4.5254502296447798</v>
      </c>
      <c r="I33">
        <v>4.1050300598144496</v>
      </c>
      <c r="J33">
        <v>4.3879499435424796</v>
      </c>
      <c r="K33">
        <v>4.5237197875976598</v>
      </c>
      <c r="L33">
        <v>4.3341197967529297</v>
      </c>
      <c r="M33">
        <v>4.1156802177429199</v>
      </c>
      <c r="N33">
        <v>4.0560197830200204</v>
      </c>
      <c r="O33">
        <v>4.1436700820922896</v>
      </c>
      <c r="P33">
        <v>4.06127977371216</v>
      </c>
      <c r="Q33">
        <v>4.07362985610962</v>
      </c>
      <c r="R33">
        <v>3.8157899379730198</v>
      </c>
      <c r="S33">
        <v>4.0449399948120099</v>
      </c>
      <c r="T33">
        <v>4.2561402320861799</v>
      </c>
      <c r="U33">
        <v>4.0952701568603498</v>
      </c>
      <c r="V33">
        <v>4.4413599967956499</v>
      </c>
      <c r="W33">
        <v>4.2182898521423304</v>
      </c>
      <c r="Z33">
        <v>93.737209558486953</v>
      </c>
    </row>
    <row r="34" spans="1:26" x14ac:dyDescent="0.25">
      <c r="A34" t="s">
        <v>46</v>
      </c>
      <c r="B34">
        <v>3.4601199626922599</v>
      </c>
      <c r="C34">
        <v>3.4008200168609601</v>
      </c>
      <c r="D34">
        <v>3.40898990631104</v>
      </c>
      <c r="E34">
        <v>3.4666299819946298</v>
      </c>
      <c r="F34">
        <v>3.4261100292205802</v>
      </c>
      <c r="G34">
        <v>3.3149399757385298</v>
      </c>
      <c r="H34">
        <v>3.2766799926757799</v>
      </c>
      <c r="I34">
        <v>3.27934002876282</v>
      </c>
      <c r="J34">
        <v>3.2724199295043901</v>
      </c>
      <c r="K34">
        <v>3.5559778213500999</v>
      </c>
      <c r="L34">
        <v>3.59951996803284</v>
      </c>
      <c r="M34">
        <v>3.6052799224853498</v>
      </c>
      <c r="N34">
        <v>3.4194500446319598</v>
      </c>
      <c r="O34">
        <v>3.4087500572204599</v>
      </c>
      <c r="P34">
        <v>3.4152998924255402</v>
      </c>
      <c r="Q34">
        <v>3.3122100830078098</v>
      </c>
      <c r="R34">
        <v>3.14643001556396</v>
      </c>
      <c r="S34">
        <v>3.1305799484252899</v>
      </c>
      <c r="T34">
        <v>3.07782006263733</v>
      </c>
      <c r="U34">
        <v>3.1553399562835698</v>
      </c>
      <c r="V34">
        <v>3.3062899112701398</v>
      </c>
      <c r="W34">
        <v>3.3356399536132799</v>
      </c>
      <c r="X34">
        <v>3.23762130737305</v>
      </c>
      <c r="Z34">
        <v>77.012258768081665</v>
      </c>
    </row>
    <row r="35" spans="1:26" x14ac:dyDescent="0.25">
      <c r="A35" t="s">
        <v>41</v>
      </c>
      <c r="K35">
        <v>3.9135816097259499</v>
      </c>
      <c r="L35">
        <v>3.52756690979004</v>
      </c>
      <c r="Q35">
        <v>4.4542398452758798</v>
      </c>
      <c r="R35">
        <v>4.3330998420715297</v>
      </c>
      <c r="S35">
        <v>4.3282399177551296</v>
      </c>
      <c r="T35">
        <v>4.4580798149108896</v>
      </c>
      <c r="U35">
        <v>4.6846599578857404</v>
      </c>
      <c r="V35">
        <v>4.8017201423645002</v>
      </c>
      <c r="W35">
        <v>4.8662700653076199</v>
      </c>
      <c r="Z35">
        <v>39.36745810508728</v>
      </c>
    </row>
    <row r="36" spans="1:26" x14ac:dyDescent="0.25">
      <c r="A36" t="s">
        <v>38</v>
      </c>
      <c r="B36">
        <v>5.27427005767822</v>
      </c>
      <c r="C36">
        <v>5.44695997238159</v>
      </c>
      <c r="D36">
        <v>5.60254001617432</v>
      </c>
      <c r="E36">
        <v>5.05714988708496</v>
      </c>
      <c r="F36">
        <v>4.8340601921081499</v>
      </c>
      <c r="G36">
        <v>5.2989253997802699</v>
      </c>
      <c r="H36">
        <v>4.68466997146606</v>
      </c>
      <c r="I36">
        <v>4.6332898139953604</v>
      </c>
      <c r="J36">
        <v>5.3664498329162598</v>
      </c>
      <c r="K36">
        <v>5.5226597785949698</v>
      </c>
      <c r="L36">
        <v>5.0388197898864702</v>
      </c>
      <c r="M36">
        <v>5.0716199874877903</v>
      </c>
      <c r="N36">
        <v>6.5827097892761204</v>
      </c>
      <c r="O36">
        <v>6.99697017669678</v>
      </c>
      <c r="P36">
        <v>5.2812299728393599</v>
      </c>
      <c r="Q36">
        <v>5.2825198173522896</v>
      </c>
      <c r="R36">
        <v>4.6574997901916504</v>
      </c>
      <c r="S36">
        <v>4.3667101860046396</v>
      </c>
      <c r="T36">
        <v>4.24356985092163</v>
      </c>
      <c r="U36">
        <v>4.4358401298522896</v>
      </c>
      <c r="V36">
        <v>4.8505902290344203</v>
      </c>
      <c r="W36">
        <v>4.6154699325561497</v>
      </c>
      <c r="Z36">
        <v>113.14452457427976</v>
      </c>
    </row>
    <row r="37" spans="1:26" x14ac:dyDescent="0.25">
      <c r="A37" t="s">
        <v>37</v>
      </c>
      <c r="B37">
        <v>4.24965620040894</v>
      </c>
      <c r="C37">
        <v>3.5397300720214799</v>
      </c>
      <c r="D37">
        <v>4.6221995353698704</v>
      </c>
      <c r="E37">
        <v>4.8809065818786603</v>
      </c>
      <c r="F37">
        <v>4.9162769317626998</v>
      </c>
      <c r="G37">
        <v>4.8638811111450204</v>
      </c>
      <c r="H37">
        <v>4.4328560829162598</v>
      </c>
      <c r="I37">
        <v>4.2810244560241699</v>
      </c>
      <c r="J37">
        <v>4.3364768028259304</v>
      </c>
      <c r="K37">
        <v>4.8769035339355504</v>
      </c>
      <c r="L37">
        <v>5.0210318565368697</v>
      </c>
      <c r="M37">
        <v>4.9960403442382804</v>
      </c>
      <c r="N37">
        <v>3.8781599998474099</v>
      </c>
      <c r="O37">
        <v>4.6866078376770002</v>
      </c>
      <c r="P37">
        <v>3.8556900024414098</v>
      </c>
      <c r="Q37">
        <v>3.7679200172424299</v>
      </c>
      <c r="R37">
        <v>4.4661159515380904</v>
      </c>
      <c r="S37">
        <v>3.4864599704742401</v>
      </c>
      <c r="T37">
        <v>3.66211009025574</v>
      </c>
      <c r="U37">
        <v>3.7360699176788299</v>
      </c>
      <c r="V37">
        <v>3.8534998893737802</v>
      </c>
      <c r="W37">
        <v>3.7198901176452601</v>
      </c>
      <c r="X37">
        <v>4.7030220031738299</v>
      </c>
      <c r="Z37">
        <v>98.832529306411757</v>
      </c>
    </row>
    <row r="38" spans="1:26" x14ac:dyDescent="0.25">
      <c r="A38" t="s">
        <v>36</v>
      </c>
      <c r="B38">
        <v>5.9716100692748997</v>
      </c>
      <c r="C38">
        <v>7.4844698905944798</v>
      </c>
      <c r="D38">
        <v>7.6579298973083496</v>
      </c>
      <c r="E38">
        <v>7.5028800964355504</v>
      </c>
      <c r="F38">
        <v>5.92389011383057</v>
      </c>
      <c r="H38">
        <v>4.4857602119445801</v>
      </c>
      <c r="I38">
        <v>4.3725399971008301</v>
      </c>
      <c r="J38">
        <v>3.9585199356079102</v>
      </c>
      <c r="K38">
        <v>5.9741802215576199</v>
      </c>
      <c r="L38">
        <v>4.9664502143859899</v>
      </c>
      <c r="M38">
        <v>5.76293992996216</v>
      </c>
      <c r="N38">
        <v>5.7390298843383798</v>
      </c>
      <c r="O38">
        <v>5.48120021820068</v>
      </c>
      <c r="P38">
        <v>5.0293598175048801</v>
      </c>
      <c r="Q38">
        <v>4.7038102149963397</v>
      </c>
      <c r="R38">
        <v>4.3459844589233398</v>
      </c>
      <c r="S38">
        <v>4.1848850250244096</v>
      </c>
      <c r="T38">
        <v>4.1319484710693404</v>
      </c>
      <c r="U38">
        <v>3.9795396327972399</v>
      </c>
      <c r="V38">
        <v>4.5188870429992702</v>
      </c>
      <c r="W38">
        <v>4.2610940933227504</v>
      </c>
      <c r="X38">
        <v>3.4993379116058301</v>
      </c>
      <c r="Y38">
        <v>3.6272549629211399</v>
      </c>
      <c r="Z38">
        <v>117.56350231170654</v>
      </c>
    </row>
    <row r="39" spans="1:26" x14ac:dyDescent="0.25">
      <c r="A39" t="s">
        <v>35</v>
      </c>
      <c r="B39">
        <v>3.8087000846862802</v>
      </c>
      <c r="C39">
        <v>4.0313401222229004</v>
      </c>
      <c r="D39">
        <v>4.2430701255798304</v>
      </c>
      <c r="E39">
        <v>4.83262014389038</v>
      </c>
      <c r="F39">
        <v>4.5120401382446298</v>
      </c>
      <c r="G39">
        <v>4.63395023345947</v>
      </c>
      <c r="H39">
        <v>4.4931697845459002</v>
      </c>
      <c r="I39">
        <v>4.4792199134826696</v>
      </c>
      <c r="J39">
        <v>4.6060900688171396</v>
      </c>
      <c r="K39">
        <v>4.94933986663818</v>
      </c>
      <c r="L39">
        <v>4.93695020675659</v>
      </c>
      <c r="M39">
        <v>4.9040598869323704</v>
      </c>
      <c r="N39">
        <v>4.8834800720214799</v>
      </c>
      <c r="O39">
        <v>4.5085802078247097</v>
      </c>
      <c r="P39">
        <v>5.0680899620056197</v>
      </c>
      <c r="Q39">
        <v>5.0508799552917498</v>
      </c>
      <c r="R39">
        <v>4.7579598426818803</v>
      </c>
      <c r="S39">
        <v>4.3975200653076199</v>
      </c>
      <c r="T39">
        <v>4.1394500732421902</v>
      </c>
      <c r="V39">
        <v>4.5005998611450204</v>
      </c>
      <c r="W39">
        <v>4.2495298385620099</v>
      </c>
      <c r="Z39">
        <v>95.986640453338623</v>
      </c>
    </row>
    <row r="40" spans="1:26" x14ac:dyDescent="0.25">
      <c r="A40" t="s">
        <v>34</v>
      </c>
      <c r="B40">
        <v>4.5851202011108398</v>
      </c>
      <c r="C40">
        <v>4.6996498107910201</v>
      </c>
      <c r="D40">
        <v>4.8059000968933097</v>
      </c>
      <c r="E40">
        <v>5.0404200553893999</v>
      </c>
      <c r="F40">
        <v>5.0629701614379901</v>
      </c>
      <c r="G40">
        <v>5.1093997955322301</v>
      </c>
      <c r="H40">
        <v>5.0440201759338397</v>
      </c>
      <c r="I40">
        <v>4.8868298530578604</v>
      </c>
      <c r="J40">
        <v>5.0290498733520499</v>
      </c>
      <c r="K40">
        <v>5.4315600395202601</v>
      </c>
      <c r="L40">
        <v>5.4890899658203098</v>
      </c>
      <c r="M40">
        <v>5.4630398750305202</v>
      </c>
      <c r="N40">
        <v>5.4102201461792001</v>
      </c>
      <c r="O40">
        <v>5.5265598297119096</v>
      </c>
      <c r="P40">
        <v>5.4588999748229998</v>
      </c>
      <c r="Q40">
        <v>5.3481597900390598</v>
      </c>
      <c r="R40">
        <v>5.4795999526977504</v>
      </c>
      <c r="S40">
        <v>5.1750998497009304</v>
      </c>
      <c r="T40">
        <v>5.3576498031616202</v>
      </c>
      <c r="U40">
        <v>5.1598601341247603</v>
      </c>
      <c r="V40">
        <v>5.4238100051879901</v>
      </c>
      <c r="W40">
        <v>5.5060901641845703</v>
      </c>
      <c r="X40">
        <v>5.0520110130310103</v>
      </c>
      <c r="Z40">
        <v>119.54501056671143</v>
      </c>
    </row>
    <row r="41" spans="1:26" x14ac:dyDescent="0.25">
      <c r="A41" t="s">
        <v>30</v>
      </c>
      <c r="K41">
        <v>6.5433382987976101</v>
      </c>
      <c r="L41">
        <v>6.59741258621216</v>
      </c>
      <c r="M41">
        <v>6.5512528419494602</v>
      </c>
      <c r="N41">
        <v>6.5308532714843803</v>
      </c>
      <c r="O41">
        <v>5.8885598182678196</v>
      </c>
      <c r="P41">
        <v>5.8085398674011204</v>
      </c>
      <c r="Q41">
        <v>5.7073497772216797</v>
      </c>
      <c r="R41">
        <v>5.5055999755859402</v>
      </c>
      <c r="S41">
        <v>5.2800002098083496</v>
      </c>
      <c r="T41">
        <v>5.1930899620056197</v>
      </c>
      <c r="U41">
        <v>5.1779799461364702</v>
      </c>
      <c r="V41">
        <v>5.65149021148682</v>
      </c>
      <c r="W41">
        <v>5.5482201576232901</v>
      </c>
      <c r="X41">
        <v>5.23012018203735</v>
      </c>
      <c r="Z41">
        <v>81.213807106018081</v>
      </c>
    </row>
    <row r="42" spans="1:26" x14ac:dyDescent="0.25">
      <c r="A42" t="s">
        <v>28</v>
      </c>
      <c r="B42">
        <v>6.4593400955200204</v>
      </c>
      <c r="C42">
        <v>6.8201599121093803</v>
      </c>
      <c r="D42">
        <v>7.4224600791931197</v>
      </c>
      <c r="E42">
        <v>7.3993301391601598</v>
      </c>
      <c r="F42">
        <v>7.2774400711059597</v>
      </c>
      <c r="G42">
        <v>6.8408298492431596</v>
      </c>
      <c r="H42">
        <v>6.3582201004028303</v>
      </c>
      <c r="I42">
        <v>6.5067100524902299</v>
      </c>
      <c r="J42">
        <v>6.2491598129272496</v>
      </c>
      <c r="K42">
        <v>7.0706701278686497</v>
      </c>
      <c r="L42">
        <v>6.7104201316833496</v>
      </c>
      <c r="M42">
        <v>6.4149098396301296</v>
      </c>
      <c r="N42">
        <v>7.3276600837707502</v>
      </c>
      <c r="O42">
        <v>7.4390602111816397</v>
      </c>
      <c r="P42">
        <v>7.6440300941467303</v>
      </c>
      <c r="Q42">
        <v>7.5233497619628897</v>
      </c>
      <c r="R42">
        <v>7.9844498634338397</v>
      </c>
      <c r="S42">
        <v>7.8459801673889196</v>
      </c>
      <c r="T42">
        <v>7.5956301689147896</v>
      </c>
      <c r="U42">
        <v>7.8645601272582999</v>
      </c>
      <c r="V42">
        <v>8.3728199005127006</v>
      </c>
      <c r="W42">
        <v>6.9602198600768999</v>
      </c>
      <c r="X42">
        <v>3.9680197238922101</v>
      </c>
      <c r="Z42">
        <v>162.0554301738739</v>
      </c>
    </row>
    <row r="43" spans="1:26" x14ac:dyDescent="0.25">
      <c r="A43" t="s">
        <v>26</v>
      </c>
      <c r="B43">
        <v>3.2280299663543701</v>
      </c>
      <c r="C43">
        <v>3.03712010383606</v>
      </c>
      <c r="D43">
        <v>2.8205699920654301</v>
      </c>
      <c r="E43">
        <v>2.9377999305725102</v>
      </c>
      <c r="F43">
        <v>2.9578700065612802</v>
      </c>
      <c r="G43">
        <v>2.8390300273895299</v>
      </c>
      <c r="H43">
        <v>2.65281009674072</v>
      </c>
      <c r="I43">
        <v>2.6294000148773198</v>
      </c>
      <c r="J43">
        <v>2.8677499294281001</v>
      </c>
      <c r="K43">
        <v>3.1399400234222399</v>
      </c>
      <c r="L43">
        <v>2.8673000335693399</v>
      </c>
      <c r="M43">
        <v>2.6635000705718999</v>
      </c>
      <c r="N43">
        <v>2.9227600097656201</v>
      </c>
      <c r="O43">
        <v>3.2972900867462198</v>
      </c>
      <c r="P43">
        <v>3.6959900856018102</v>
      </c>
      <c r="Q43">
        <v>3.9693300724029501</v>
      </c>
      <c r="R43">
        <v>3.8131699562072798</v>
      </c>
      <c r="S43">
        <v>3.9313099384307901</v>
      </c>
      <c r="T43">
        <v>3.7139201164245601</v>
      </c>
      <c r="U43">
        <v>3.8224298954010001</v>
      </c>
      <c r="V43">
        <v>4.2593798637390101</v>
      </c>
      <c r="W43">
        <v>3.9272100925445601</v>
      </c>
      <c r="X43">
        <v>3.8331599235534699</v>
      </c>
      <c r="Y43">
        <v>4.2351698875427202</v>
      </c>
      <c r="Z43">
        <v>80.062240123748794</v>
      </c>
    </row>
    <row r="44" spans="1:26" x14ac:dyDescent="0.25">
      <c r="A44" t="s">
        <v>27</v>
      </c>
      <c r="B44">
        <v>3.16440010070801</v>
      </c>
      <c r="C44">
        <v>2.9246399402618399</v>
      </c>
      <c r="D44">
        <v>2.8922200202941899</v>
      </c>
      <c r="E44">
        <v>2.93517994880676</v>
      </c>
      <c r="F44">
        <v>2.4698300361633301</v>
      </c>
      <c r="G44">
        <v>2.3280699253082302</v>
      </c>
      <c r="H44">
        <v>2.4257900714874299</v>
      </c>
      <c r="I44">
        <v>2.48517990112305</v>
      </c>
      <c r="J44">
        <v>2.5828299522399898</v>
      </c>
      <c r="K44">
        <v>2.53777003288269</v>
      </c>
      <c r="P44">
        <v>2.6645424365997301</v>
      </c>
      <c r="Q44">
        <v>2.8305230140686</v>
      </c>
      <c r="R44">
        <v>3.3012809753418</v>
      </c>
      <c r="S44">
        <v>3.9638409614563002</v>
      </c>
      <c r="T44">
        <v>3.8550276756286599</v>
      </c>
      <c r="U44">
        <v>3.4074864387512198</v>
      </c>
      <c r="V44">
        <v>3.8582904338836701</v>
      </c>
      <c r="W44">
        <v>3.87249755859375</v>
      </c>
      <c r="X44">
        <v>3.57960081100464</v>
      </c>
      <c r="Y44">
        <v>3.6236863136291499</v>
      </c>
      <c r="Z44">
        <v>61.702686548233039</v>
      </c>
    </row>
    <row r="45" spans="1:26" x14ac:dyDescent="0.25">
      <c r="A45" t="s">
        <v>32</v>
      </c>
      <c r="B45">
        <v>4.9839301109314</v>
      </c>
      <c r="C45">
        <v>5.31902980804443</v>
      </c>
      <c r="D45">
        <v>5.38735008239746</v>
      </c>
      <c r="E45">
        <v>5.3244900703430202</v>
      </c>
      <c r="F45">
        <v>5.3555798530578604</v>
      </c>
      <c r="G45">
        <v>5.4257497787475604</v>
      </c>
      <c r="H45">
        <v>5.2076501846313503</v>
      </c>
      <c r="I45">
        <v>4.8687400817871103</v>
      </c>
      <c r="J45">
        <v>5.0423998832702601</v>
      </c>
      <c r="K45">
        <v>4.9897699356079102</v>
      </c>
      <c r="L45">
        <v>5.1070599555969203</v>
      </c>
      <c r="M45">
        <v>4.8610200881957999</v>
      </c>
      <c r="N45">
        <v>4.8615999221801802</v>
      </c>
      <c r="O45">
        <v>5.021240234375</v>
      </c>
      <c r="P45">
        <v>4.9665699005126998</v>
      </c>
      <c r="Q45">
        <v>4.8170099258422896</v>
      </c>
      <c r="R45">
        <v>4.6591100692748997</v>
      </c>
      <c r="S45">
        <v>4.5746498107910201</v>
      </c>
      <c r="T45">
        <v>4.6050601005554199</v>
      </c>
      <c r="U45">
        <v>4.6788101196289098</v>
      </c>
      <c r="V45">
        <v>4.8526501655578604</v>
      </c>
      <c r="W45">
        <v>4.6730399131774902</v>
      </c>
      <c r="Z45">
        <v>109.58250999450684</v>
      </c>
    </row>
    <row r="46" spans="1:26" x14ac:dyDescent="0.25">
      <c r="A46" t="s">
        <v>29</v>
      </c>
      <c r="B46">
        <v>5.1638498306274396</v>
      </c>
      <c r="C46">
        <v>5.3371300697326696</v>
      </c>
      <c r="D46">
        <v>5.2587199211120597</v>
      </c>
      <c r="E46">
        <v>5.2815299034118697</v>
      </c>
      <c r="F46">
        <v>5.0463800430297896</v>
      </c>
      <c r="G46">
        <v>5.0739498138427699</v>
      </c>
      <c r="H46">
        <v>4.9076700210571298</v>
      </c>
      <c r="I46">
        <v>4.92147016525269</v>
      </c>
      <c r="J46">
        <v>4.6960902214050302</v>
      </c>
      <c r="K46">
        <v>5.56314992904663</v>
      </c>
      <c r="L46">
        <v>5.4124898910522496</v>
      </c>
      <c r="M46">
        <v>5.12333011627197</v>
      </c>
      <c r="N46">
        <v>4.9494099617004403</v>
      </c>
      <c r="O46">
        <v>5.2709698677062997</v>
      </c>
      <c r="P46">
        <v>5.1240000724792498</v>
      </c>
      <c r="Q46">
        <v>4.8855400085449201</v>
      </c>
      <c r="R46">
        <v>4.7709059715270996</v>
      </c>
      <c r="S46">
        <v>5.0156102180481001</v>
      </c>
      <c r="T46">
        <v>4.6751599311828604</v>
      </c>
      <c r="U46">
        <v>4.6300201416015598</v>
      </c>
      <c r="V46">
        <v>4.8765602111816397</v>
      </c>
      <c r="W46">
        <v>4.7831602096557599</v>
      </c>
      <c r="Z46">
        <v>110.76709651947023</v>
      </c>
    </row>
    <row r="47" spans="1:26" x14ac:dyDescent="0.25">
      <c r="A47" t="s">
        <v>31</v>
      </c>
      <c r="B47">
        <v>2.86862993240356</v>
      </c>
      <c r="C47">
        <v>3.2662899494171098</v>
      </c>
      <c r="D47">
        <v>3.5041298866271999</v>
      </c>
      <c r="E47">
        <v>3.5439701080322301</v>
      </c>
      <c r="F47">
        <v>3.3127300739288299</v>
      </c>
      <c r="G47">
        <v>3.5003900527954102</v>
      </c>
      <c r="H47">
        <v>4.3065099716186497</v>
      </c>
      <c r="I47">
        <v>4.1495399475097701</v>
      </c>
      <c r="J47">
        <v>4.0971999168395996</v>
      </c>
      <c r="K47">
        <v>4.0021300315856898</v>
      </c>
      <c r="L47">
        <v>3.4171700477600102</v>
      </c>
      <c r="M47">
        <v>2.9137599468231201</v>
      </c>
      <c r="N47">
        <v>2.82322001457214</v>
      </c>
      <c r="O47">
        <v>3.0680000782012899</v>
      </c>
      <c r="P47">
        <v>3.1250801086425799</v>
      </c>
      <c r="Q47">
        <v>3.1069500446319598</v>
      </c>
      <c r="R47">
        <v>3.0255999565124498</v>
      </c>
      <c r="S47">
        <v>3.1182000637054399</v>
      </c>
      <c r="T47">
        <v>3.3191800117492698</v>
      </c>
      <c r="U47">
        <v>3.5669500827789302</v>
      </c>
      <c r="V47">
        <v>3.5892601013183598</v>
      </c>
      <c r="W47">
        <v>3.3245298862457302</v>
      </c>
      <c r="Z47">
        <v>74.949420213699312</v>
      </c>
    </row>
    <row r="48" spans="1:26" x14ac:dyDescent="0.25">
      <c r="A48" t="s">
        <v>33</v>
      </c>
      <c r="B48">
        <v>2.9397900104522701</v>
      </c>
      <c r="C48">
        <v>3.1060199737548801</v>
      </c>
      <c r="D48">
        <v>3.8350200653076199</v>
      </c>
      <c r="E48">
        <v>3.6785399913787802</v>
      </c>
      <c r="F48">
        <v>3.5478699207305899</v>
      </c>
      <c r="G48">
        <v>3.7719299793243399</v>
      </c>
      <c r="H48">
        <v>3.86626005172729</v>
      </c>
      <c r="J48">
        <v>4.1017498970031703</v>
      </c>
      <c r="K48">
        <v>4.47064161300659</v>
      </c>
      <c r="L48">
        <v>3.8476243019103999</v>
      </c>
      <c r="M48">
        <v>3.7126126289367698</v>
      </c>
      <c r="N48">
        <v>3.7931001186370801</v>
      </c>
      <c r="O48">
        <v>3.7638299465179399</v>
      </c>
      <c r="P48">
        <v>4.0138797760009801</v>
      </c>
      <c r="Q48">
        <v>3.8340299129486102</v>
      </c>
      <c r="R48">
        <v>3.7604401111602801</v>
      </c>
      <c r="S48">
        <v>4.6899099349975604</v>
      </c>
      <c r="T48">
        <v>4.6781997680664098</v>
      </c>
      <c r="U48">
        <v>3.6956143379211399</v>
      </c>
      <c r="V48">
        <v>4.01641845703125</v>
      </c>
      <c r="W48">
        <v>3.9948070049285902</v>
      </c>
      <c r="X48">
        <v>4.0540275573730504</v>
      </c>
      <c r="Z48">
        <v>85.172315359115572</v>
      </c>
    </row>
    <row r="49" spans="1:26" x14ac:dyDescent="0.25">
      <c r="A49" t="s">
        <v>23</v>
      </c>
      <c r="B49">
        <v>3.32130002975464</v>
      </c>
      <c r="C49">
        <v>3.5424900054931601</v>
      </c>
      <c r="D49">
        <v>3.87853002548218</v>
      </c>
      <c r="E49">
        <v>3.9819400310516402</v>
      </c>
      <c r="F49">
        <v>3.65276002883911</v>
      </c>
      <c r="G49">
        <v>3.1959600448608398</v>
      </c>
      <c r="H49">
        <v>2.85911989212036</v>
      </c>
      <c r="I49">
        <v>2.9467499256134002</v>
      </c>
      <c r="J49">
        <v>2.7646000385284402</v>
      </c>
      <c r="K49">
        <v>3.0101299285888699</v>
      </c>
      <c r="L49">
        <v>3.0804400444030802</v>
      </c>
      <c r="M49">
        <v>3.0307700634002699</v>
      </c>
      <c r="N49">
        <v>3.0708599090576199</v>
      </c>
      <c r="O49">
        <v>2.8543500900268599</v>
      </c>
      <c r="P49">
        <v>2.92436671257019</v>
      </c>
      <c r="Q49">
        <v>2.8630933761596702</v>
      </c>
      <c r="R49">
        <v>2.8713304996490501</v>
      </c>
      <c r="S49">
        <v>2.7568480968475302</v>
      </c>
      <c r="T49">
        <v>2.85660004615784</v>
      </c>
      <c r="U49">
        <v>2.72951006889343</v>
      </c>
      <c r="V49">
        <v>2.6869900226593</v>
      </c>
      <c r="W49">
        <v>2.8247098922729501</v>
      </c>
      <c r="X49">
        <v>2.48891997337341</v>
      </c>
      <c r="Y49">
        <v>2.1878783702850302</v>
      </c>
      <c r="Z49">
        <v>72.380247116088867</v>
      </c>
    </row>
    <row r="50" spans="1:26" x14ac:dyDescent="0.25">
      <c r="A50" t="s">
        <v>24</v>
      </c>
      <c r="B50">
        <v>3.8646800518035902</v>
      </c>
      <c r="C50">
        <v>3.9356999397277801</v>
      </c>
      <c r="D50">
        <v>4.24539995193481</v>
      </c>
      <c r="E50">
        <v>4.2095699310302699</v>
      </c>
      <c r="F50">
        <v>4.1015701293945304</v>
      </c>
      <c r="G50">
        <v>3.75995993614197</v>
      </c>
      <c r="H50">
        <v>3.7077000141143799</v>
      </c>
      <c r="I50">
        <v>3.5232100486755402</v>
      </c>
      <c r="J50">
        <v>3.52165007591248</v>
      </c>
      <c r="K50">
        <v>4.0064101219177202</v>
      </c>
      <c r="L50">
        <v>4.0447998046875</v>
      </c>
      <c r="M50">
        <v>3.8983600139617902</v>
      </c>
      <c r="N50">
        <v>3.8590099811553999</v>
      </c>
      <c r="O50">
        <v>4.0689501762390101</v>
      </c>
      <c r="P50">
        <v>4.2158999443054199</v>
      </c>
      <c r="Q50">
        <v>4.57843017578125</v>
      </c>
      <c r="R50">
        <v>3.90078997612</v>
      </c>
      <c r="S50">
        <v>3.9322099685668901</v>
      </c>
      <c r="T50">
        <v>3.9529099464416499</v>
      </c>
      <c r="U50">
        <v>4.2731199264526403</v>
      </c>
      <c r="V50">
        <v>4.7642798423767099</v>
      </c>
      <c r="W50">
        <v>4.79718017578125</v>
      </c>
      <c r="Z50">
        <v>89.161790132522583</v>
      </c>
    </row>
    <row r="51" spans="1:26" x14ac:dyDescent="0.25">
      <c r="A51" t="s">
        <v>25</v>
      </c>
      <c r="B51">
        <v>6.1304826736450204</v>
      </c>
      <c r="C51">
        <v>5.7568302154540998</v>
      </c>
      <c r="D51">
        <v>5.6728601455688503</v>
      </c>
      <c r="E51">
        <v>5.70333003997803</v>
      </c>
      <c r="F51">
        <v>5.6442599296569798</v>
      </c>
      <c r="G51">
        <v>5.6040802001953098</v>
      </c>
      <c r="H51">
        <v>5.5906600952148402</v>
      </c>
      <c r="I51">
        <v>5.1166100502014196</v>
      </c>
      <c r="J51">
        <v>5.1095199584960902</v>
      </c>
      <c r="K51">
        <v>5.5549697875976598</v>
      </c>
      <c r="L51">
        <v>5.5454602241516104</v>
      </c>
      <c r="M51">
        <v>5.541259765625</v>
      </c>
      <c r="N51">
        <v>5.6202301979064897</v>
      </c>
      <c r="O51">
        <v>5.4057297706604004</v>
      </c>
      <c r="P51">
        <v>5.2916998863220197</v>
      </c>
      <c r="Q51">
        <v>4.9095301628112802</v>
      </c>
      <c r="R51">
        <v>4.7926697731018102</v>
      </c>
      <c r="S51">
        <v>4.78053998947144</v>
      </c>
      <c r="T51">
        <v>4.9345598220825204</v>
      </c>
      <c r="U51">
        <v>4.8915300369262704</v>
      </c>
      <c r="V51">
        <v>5.3837399482727104</v>
      </c>
      <c r="W51">
        <v>5.3652601242065403</v>
      </c>
      <c r="Z51">
        <v>118.34581279754639</v>
      </c>
    </row>
    <row r="52" spans="1:26" x14ac:dyDescent="0.25">
      <c r="A52" t="s">
        <v>21</v>
      </c>
      <c r="B52">
        <v>4.1660499572753897</v>
      </c>
      <c r="C52">
        <v>4.1112699508667001</v>
      </c>
      <c r="D52">
        <v>4.1345701217651403</v>
      </c>
      <c r="E52">
        <v>4.1734299659729004</v>
      </c>
      <c r="F52">
        <v>4.1578598022460902</v>
      </c>
      <c r="G52">
        <v>4.1443200111389196</v>
      </c>
      <c r="H52">
        <v>4.1848201751709002</v>
      </c>
      <c r="I52">
        <v>4.25404977798462</v>
      </c>
      <c r="J52">
        <v>4.5280599594116202</v>
      </c>
      <c r="K52">
        <v>4.9120001792907697</v>
      </c>
      <c r="L52">
        <v>4.85608005523682</v>
      </c>
      <c r="M52">
        <v>4.7408299446106001</v>
      </c>
      <c r="N52">
        <v>4.4811301231384304</v>
      </c>
      <c r="O52">
        <v>4.3496198654174796</v>
      </c>
      <c r="P52">
        <v>4.3015098571777299</v>
      </c>
      <c r="Q52">
        <v>4.2845702171325701</v>
      </c>
      <c r="R52">
        <v>4.2254400253295898</v>
      </c>
      <c r="S52">
        <v>4.2055201530456499</v>
      </c>
      <c r="T52">
        <v>4.1794900894165004</v>
      </c>
      <c r="U52">
        <v>4.2302198410034197</v>
      </c>
      <c r="V52">
        <v>4.8954000473022496</v>
      </c>
      <c r="W52">
        <v>4.8650698661804199</v>
      </c>
      <c r="X52">
        <v>4.31587886810303</v>
      </c>
      <c r="Z52">
        <v>100.69718885421754</v>
      </c>
    </row>
    <row r="53" spans="1:26" x14ac:dyDescent="0.25">
      <c r="A53" t="s">
        <v>20</v>
      </c>
      <c r="B53">
        <v>6.7401499748229998</v>
      </c>
      <c r="C53">
        <v>6.6176400184631303</v>
      </c>
      <c r="D53">
        <v>6.9243497848510698</v>
      </c>
      <c r="E53">
        <v>6.7914299964904803</v>
      </c>
      <c r="F53">
        <v>6.6631097793579102</v>
      </c>
      <c r="G53">
        <v>6.5064001083373997</v>
      </c>
      <c r="H53">
        <v>6.3642902374267596</v>
      </c>
      <c r="I53">
        <v>6.1715898513793901</v>
      </c>
      <c r="J53">
        <v>6.3445501327514604</v>
      </c>
      <c r="K53">
        <v>6.7497100830078098</v>
      </c>
      <c r="L53">
        <v>6.5226898193359402</v>
      </c>
      <c r="M53">
        <v>6.3669199943542498</v>
      </c>
      <c r="N53">
        <v>7.5369701385498002</v>
      </c>
      <c r="O53">
        <v>7.6112098693847701</v>
      </c>
      <c r="P53">
        <v>7.57372999191284</v>
      </c>
      <c r="Q53">
        <v>7.4439001083373997</v>
      </c>
      <c r="R53">
        <v>7.6186199188232404</v>
      </c>
      <c r="S53">
        <v>7.56883001327515</v>
      </c>
      <c r="T53">
        <v>7.6408400535583496</v>
      </c>
      <c r="U53">
        <v>7.63851022720337</v>
      </c>
      <c r="V53">
        <v>7.9256100654602104</v>
      </c>
      <c r="W53">
        <v>7.5721998214721697</v>
      </c>
      <c r="Z53">
        <v>154.89324998855588</v>
      </c>
    </row>
    <row r="54" spans="1:26" x14ac:dyDescent="0.25">
      <c r="A54" t="s">
        <v>22</v>
      </c>
      <c r="B54">
        <v>4.6587800979614302</v>
      </c>
      <c r="C54">
        <v>4.8221898078918501</v>
      </c>
      <c r="D54">
        <v>5.1788101196289098</v>
      </c>
      <c r="E54">
        <v>5.3840098381042498</v>
      </c>
      <c r="F54">
        <v>5.3142900466918901</v>
      </c>
      <c r="G54">
        <v>5.0847201347351101</v>
      </c>
      <c r="H54">
        <v>4.8412098884582502</v>
      </c>
      <c r="I54">
        <v>4.5839500427246103</v>
      </c>
      <c r="J54">
        <v>4.7572598457336399</v>
      </c>
      <c r="K54">
        <v>4.9256100654602104</v>
      </c>
      <c r="L54">
        <v>4.8021001815795898</v>
      </c>
      <c r="M54">
        <v>4.8566398620605504</v>
      </c>
      <c r="N54">
        <v>4.89862012863159</v>
      </c>
      <c r="O54">
        <v>4.9139299392700204</v>
      </c>
      <c r="P54">
        <v>4.9305701255798304</v>
      </c>
      <c r="Q54">
        <v>4.9955902099609402</v>
      </c>
      <c r="R54">
        <v>4.9816398620605504</v>
      </c>
      <c r="S54">
        <v>5.0176501274108896</v>
      </c>
      <c r="T54">
        <v>4.9300899505615199</v>
      </c>
      <c r="U54">
        <v>5.0143899917602504</v>
      </c>
      <c r="V54">
        <v>5.2767601013183603</v>
      </c>
      <c r="W54">
        <v>5.0370898246765101</v>
      </c>
      <c r="X54">
        <v>4.88824462890625</v>
      </c>
      <c r="Z54">
        <v>114.09414482116702</v>
      </c>
    </row>
    <row r="55" spans="1:26" x14ac:dyDescent="0.25">
      <c r="A55" t="s">
        <v>18</v>
      </c>
      <c r="B55">
        <v>5.2534599304199201</v>
      </c>
      <c r="C55">
        <v>4.81787014007568</v>
      </c>
      <c r="D55">
        <v>3.8649199008941699</v>
      </c>
      <c r="E55">
        <v>3.7256100177764901</v>
      </c>
      <c r="F55">
        <v>4.0308899879455602</v>
      </c>
      <c r="G55">
        <v>3.9385900497436501</v>
      </c>
      <c r="H55">
        <v>4.0503802299499503</v>
      </c>
      <c r="I55">
        <v>3.60314989089966</v>
      </c>
      <c r="J55">
        <v>3.5085000991821298</v>
      </c>
      <c r="K55">
        <v>3.8619399070739702</v>
      </c>
      <c r="L55">
        <v>3.5084400177002002</v>
      </c>
      <c r="M55">
        <v>4.8055500984191903</v>
      </c>
      <c r="N55">
        <v>3.5969183444976802</v>
      </c>
      <c r="O55">
        <v>3.8243985176086399</v>
      </c>
      <c r="P55">
        <v>3.91917753219604</v>
      </c>
      <c r="Q55">
        <v>3.8639762401580802</v>
      </c>
      <c r="R55">
        <v>3.76761746406555</v>
      </c>
      <c r="S55">
        <v>3.46532154083252</v>
      </c>
      <c r="T55">
        <v>3.1976940631866499</v>
      </c>
      <c r="U55">
        <v>3.0222141742706299</v>
      </c>
      <c r="V55">
        <v>3.1531417369842498</v>
      </c>
      <c r="W55">
        <v>2.9821243286132799</v>
      </c>
      <c r="X55">
        <v>2.6118702888488801</v>
      </c>
      <c r="Y55">
        <v>2.5212221145629901</v>
      </c>
      <c r="Z55">
        <v>88.894976615905748</v>
      </c>
    </row>
    <row r="56" spans="1:26" x14ac:dyDescent="0.25">
      <c r="A56" t="s">
        <v>19</v>
      </c>
      <c r="J56">
        <v>3.3205578327178999</v>
      </c>
      <c r="K56">
        <v>3.7650496959686302</v>
      </c>
      <c r="L56">
        <v>3.7870135307311998</v>
      </c>
      <c r="M56">
        <v>4.2215199470520002</v>
      </c>
      <c r="N56">
        <v>4.3872199058532697</v>
      </c>
      <c r="O56">
        <v>4.34481000900269</v>
      </c>
      <c r="P56">
        <v>4.41258001327515</v>
      </c>
      <c r="Q56">
        <v>4.3055000305175799</v>
      </c>
      <c r="R56">
        <v>4.6277399063110396</v>
      </c>
      <c r="S56">
        <v>4.3236899375915501</v>
      </c>
      <c r="T56">
        <v>4.2972998619079599</v>
      </c>
      <c r="U56">
        <v>4.4477601051330602</v>
      </c>
      <c r="V56">
        <v>4.0338201522827104</v>
      </c>
      <c r="W56">
        <v>3.5378799438476598</v>
      </c>
      <c r="X56">
        <v>2.6143035888671902</v>
      </c>
      <c r="Z56">
        <v>60.426744461059585</v>
      </c>
    </row>
    <row r="57" spans="1:26" x14ac:dyDescent="0.25">
      <c r="A57" t="s">
        <v>14</v>
      </c>
      <c r="B57">
        <v>4.0182199478149396</v>
      </c>
      <c r="C57">
        <v>4.1001400947570801</v>
      </c>
      <c r="D57">
        <v>4.6119298934936497</v>
      </c>
      <c r="E57">
        <v>4.8012900352478001</v>
      </c>
      <c r="F57">
        <v>4.7355499267578098</v>
      </c>
      <c r="G57">
        <v>4.92976999282837</v>
      </c>
      <c r="H57">
        <v>4.9764900207519496</v>
      </c>
      <c r="I57">
        <v>4.9244499206543004</v>
      </c>
      <c r="J57">
        <v>4.9097399711608896</v>
      </c>
      <c r="K57">
        <v>5.0626301765441903</v>
      </c>
      <c r="L57">
        <v>5.6986799240112296</v>
      </c>
      <c r="M57">
        <v>5.5721898078918501</v>
      </c>
      <c r="N57">
        <v>5.5788741111755398</v>
      </c>
      <c r="O57">
        <v>5.5253000259399396</v>
      </c>
      <c r="P57">
        <v>5.6013498306274396</v>
      </c>
      <c r="Q57">
        <v>5.5545201301574698</v>
      </c>
      <c r="R57">
        <v>5.4279599189758301</v>
      </c>
      <c r="S57">
        <v>5.4525699615478498</v>
      </c>
      <c r="T57">
        <v>5.2043700218200701</v>
      </c>
      <c r="U57">
        <v>5.2611598968505904</v>
      </c>
      <c r="V57">
        <v>5.4393501281738299</v>
      </c>
      <c r="W57">
        <v>5.90458011627197</v>
      </c>
      <c r="X57">
        <v>4.9591755867004403</v>
      </c>
      <c r="Z57">
        <v>118.25028944015502</v>
      </c>
    </row>
    <row r="58" spans="1:26" x14ac:dyDescent="0.25">
      <c r="A58" t="s">
        <v>15</v>
      </c>
      <c r="B58">
        <v>6.0856494903564498</v>
      </c>
      <c r="C58">
        <v>6.2989230155944798</v>
      </c>
      <c r="D58">
        <v>6.3599553108215297</v>
      </c>
      <c r="E58">
        <v>6.3286075592040998</v>
      </c>
      <c r="F58">
        <v>6.2537636756896999</v>
      </c>
      <c r="G58">
        <v>6.1709833145141602</v>
      </c>
      <c r="H58">
        <v>6.1640291213989302</v>
      </c>
      <c r="I58">
        <v>6.2433185577392596</v>
      </c>
      <c r="J58">
        <v>6.4360861778259304</v>
      </c>
      <c r="K58">
        <v>6.7386984825134304</v>
      </c>
      <c r="L58">
        <v>6.6945538520812997</v>
      </c>
      <c r="M58">
        <v>6.4976835250854501</v>
      </c>
      <c r="N58">
        <v>6.2538862228393599</v>
      </c>
      <c r="O58">
        <v>6.2292580604553196</v>
      </c>
      <c r="P58">
        <v>6.1292057037353498</v>
      </c>
      <c r="Q58">
        <v>4.9306302070617702</v>
      </c>
      <c r="R58">
        <v>4.7832798957824698</v>
      </c>
      <c r="S58">
        <v>5.0929698944091797</v>
      </c>
      <c r="T58">
        <v>4.89502000808716</v>
      </c>
      <c r="U58">
        <v>4.9574699401855504</v>
      </c>
      <c r="V58">
        <v>5.3999800682067898</v>
      </c>
      <c r="W58">
        <v>5.4282999038696298</v>
      </c>
      <c r="Z58">
        <v>130.3722519874573</v>
      </c>
    </row>
    <row r="59" spans="1:26" x14ac:dyDescent="0.25">
      <c r="A59" t="s">
        <v>9</v>
      </c>
      <c r="B59">
        <v>2.4225499629974401</v>
      </c>
      <c r="C59">
        <v>2.8009600639343302</v>
      </c>
      <c r="D59">
        <v>2.3222000598907502</v>
      </c>
      <c r="E59">
        <v>2.0682098865509002</v>
      </c>
      <c r="F59">
        <v>2.49954009056091</v>
      </c>
      <c r="G59">
        <v>2.71475005149841</v>
      </c>
      <c r="H59">
        <v>2.85664010047913</v>
      </c>
      <c r="M59">
        <v>4.1493701934814498</v>
      </c>
      <c r="N59">
        <v>4.0935335159301802</v>
      </c>
      <c r="O59">
        <v>4.2389202117919904</v>
      </c>
      <c r="P59">
        <v>4.2673501968383798</v>
      </c>
      <c r="Q59">
        <v>4.2063698768615696</v>
      </c>
      <c r="R59">
        <v>4.3642001152038601</v>
      </c>
      <c r="S59">
        <v>4.4178700447082502</v>
      </c>
      <c r="T59">
        <v>4.60362005233765</v>
      </c>
      <c r="U59">
        <v>4.6283397674560502</v>
      </c>
      <c r="V59">
        <v>4.5429201126098597</v>
      </c>
      <c r="W59">
        <v>4.4606599807739302</v>
      </c>
      <c r="X59">
        <v>4.5073299407959002</v>
      </c>
      <c r="Z59">
        <v>70.165334224700928</v>
      </c>
    </row>
    <row r="60" spans="1:26" x14ac:dyDescent="0.25">
      <c r="A60" t="s">
        <v>16</v>
      </c>
      <c r="H60">
        <v>3.6690599918365501</v>
      </c>
      <c r="I60">
        <v>3.62732005119324</v>
      </c>
      <c r="K60">
        <v>6.8746800422668501</v>
      </c>
      <c r="Z60">
        <v>14.171060085296642</v>
      </c>
    </row>
    <row r="61" spans="1:26" x14ac:dyDescent="0.25">
      <c r="A61" t="s">
        <v>17</v>
      </c>
      <c r="J61">
        <v>4.88674020767212</v>
      </c>
      <c r="K61">
        <v>4.8165001869201696</v>
      </c>
      <c r="L61">
        <v>4.0459399223327601</v>
      </c>
      <c r="M61">
        <v>3.7802300453186</v>
      </c>
      <c r="N61">
        <v>4.4081702232360804</v>
      </c>
      <c r="O61">
        <v>4.5283398628234899</v>
      </c>
      <c r="P61">
        <v>3.5401232242584202</v>
      </c>
      <c r="Q61">
        <v>3.41660451889038</v>
      </c>
      <c r="R61">
        <v>3.4690740108489999</v>
      </c>
      <c r="S61">
        <v>3.4186568260192902</v>
      </c>
      <c r="T61">
        <v>3.1450231075286901</v>
      </c>
      <c r="U61">
        <v>3.0849983692169198</v>
      </c>
      <c r="V61">
        <v>3.2165288925170898</v>
      </c>
      <c r="W61">
        <v>2.9451749324798602</v>
      </c>
      <c r="X61">
        <v>2.8873867988586399</v>
      </c>
      <c r="Z61">
        <v>55.589491128921509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4DAE4-61A7-4927-A519-0288AFEA3495}">
  <sheetPr>
    <tabColor rgb="FF00B050"/>
  </sheetPr>
  <dimension ref="A1:Z60"/>
  <sheetViews>
    <sheetView workbookViewId="0">
      <selection activeCell="A35" sqref="A35"/>
    </sheetView>
  </sheetViews>
  <sheetFormatPr baseColWidth="10" defaultRowHeight="15" x14ac:dyDescent="0.25"/>
  <sheetData>
    <row r="1" spans="1:26" x14ac:dyDescent="0.25">
      <c r="A1" t="s">
        <v>8</v>
      </c>
      <c r="B1" t="s">
        <v>6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16.226150512695298</v>
      </c>
      <c r="C5">
        <v>16.355960845947301</v>
      </c>
      <c r="D5">
        <v>16.4422092437744</v>
      </c>
      <c r="E5">
        <v>14.3547201156616</v>
      </c>
      <c r="F5">
        <v>15.139300346374499</v>
      </c>
      <c r="G5">
        <v>15.803170204162599</v>
      </c>
      <c r="H5">
        <v>15.509840011596699</v>
      </c>
      <c r="I5">
        <v>15.101570129394499</v>
      </c>
      <c r="J5">
        <v>15.747839927673301</v>
      </c>
      <c r="K5">
        <v>16.0206699371338</v>
      </c>
      <c r="L5">
        <v>15.047969818115201</v>
      </c>
      <c r="M5">
        <v>15.1585597991943</v>
      </c>
      <c r="N5">
        <v>14.5182600021362</v>
      </c>
      <c r="O5">
        <v>14.457929611206101</v>
      </c>
      <c r="P5">
        <v>13.799329757690399</v>
      </c>
      <c r="Q5">
        <v>13.963310241699199</v>
      </c>
      <c r="R5">
        <v>13.3555402755737</v>
      </c>
      <c r="S5">
        <v>13.263919830322299</v>
      </c>
      <c r="T5">
        <v>12.5233402252197</v>
      </c>
      <c r="U5">
        <v>12.5144596099854</v>
      </c>
      <c r="V5">
        <v>12.422289848327599</v>
      </c>
      <c r="W5">
        <v>12.284899711608899</v>
      </c>
      <c r="X5">
        <v>12.7075796127319</v>
      </c>
      <c r="Z5">
        <v>332.71881961822487</v>
      </c>
    </row>
    <row r="6" spans="1:26" x14ac:dyDescent="0.25">
      <c r="A6" t="s">
        <v>69</v>
      </c>
      <c r="B6">
        <v>14.4271249771118</v>
      </c>
      <c r="C6">
        <v>15.1647281646729</v>
      </c>
      <c r="D6">
        <v>15.5506324768066</v>
      </c>
      <c r="E6">
        <v>15.6161003112793</v>
      </c>
      <c r="F6">
        <v>15.513145446777299</v>
      </c>
      <c r="G6">
        <v>15.8242025375366</v>
      </c>
      <c r="H6">
        <v>15.625891685485801</v>
      </c>
      <c r="I6">
        <v>15.095053672790501</v>
      </c>
      <c r="J6">
        <v>15.076463699340801</v>
      </c>
      <c r="K6">
        <v>14.794847488403301</v>
      </c>
      <c r="L6">
        <v>17.115781784057599</v>
      </c>
      <c r="M6">
        <v>17.1274814605713</v>
      </c>
      <c r="N6">
        <v>15.3935136795044</v>
      </c>
      <c r="O6">
        <v>15.5629892349243</v>
      </c>
      <c r="P6">
        <v>15.0333337783813</v>
      </c>
      <c r="Q6">
        <v>14.8824272155762</v>
      </c>
      <c r="R6">
        <v>14.8905534744263</v>
      </c>
      <c r="S6">
        <v>14.849586486816399</v>
      </c>
      <c r="T6">
        <v>15.108436584472701</v>
      </c>
      <c r="U6">
        <v>15.293368339538601</v>
      </c>
      <c r="V6">
        <v>14.4562530517578</v>
      </c>
      <c r="W6">
        <v>13.1453952789307</v>
      </c>
      <c r="X6">
        <v>13.9446935653687</v>
      </c>
      <c r="Z6">
        <v>349.49200439453119</v>
      </c>
    </row>
    <row r="7" spans="1:26" x14ac:dyDescent="0.25">
      <c r="A7" t="s">
        <v>70</v>
      </c>
      <c r="B7">
        <v>10.2170248031616</v>
      </c>
      <c r="C7">
        <v>10.109113693237299</v>
      </c>
      <c r="D7">
        <v>10.1529273986816</v>
      </c>
      <c r="E7">
        <v>10.262785911560099</v>
      </c>
      <c r="F7">
        <v>9.1504611968994105</v>
      </c>
      <c r="G7">
        <v>9.3992052078247106</v>
      </c>
      <c r="H7">
        <v>9.5339050292968803</v>
      </c>
      <c r="I7">
        <v>9.5263595581054705</v>
      </c>
      <c r="J7">
        <v>9.7222051620483398</v>
      </c>
      <c r="K7">
        <v>9.4585685729980504</v>
      </c>
      <c r="L7">
        <v>9.6936550140380895</v>
      </c>
      <c r="M7">
        <v>9.8034992218017596</v>
      </c>
      <c r="N7">
        <v>9.7702569961547905</v>
      </c>
      <c r="O7">
        <v>9.7336511611938494</v>
      </c>
      <c r="P7">
        <v>9.4220018386840803</v>
      </c>
      <c r="Q7">
        <v>9.6505985260009801</v>
      </c>
      <c r="R7">
        <v>9.7787132263183594</v>
      </c>
      <c r="S7">
        <v>9.8195056915283203</v>
      </c>
      <c r="T7">
        <v>9.8119096755981392</v>
      </c>
      <c r="U7">
        <v>9.8817625045776403</v>
      </c>
      <c r="V7">
        <v>8.9496097564697301</v>
      </c>
      <c r="W7">
        <v>8.8113784790039098</v>
      </c>
      <c r="X7">
        <v>8.9772806167602504</v>
      </c>
      <c r="Z7">
        <v>221.63637924194333</v>
      </c>
    </row>
    <row r="8" spans="1:26" x14ac:dyDescent="0.25">
      <c r="A8" t="s">
        <v>67</v>
      </c>
      <c r="B8">
        <v>11.205204010009799</v>
      </c>
      <c r="C8">
        <v>11.500857353210399</v>
      </c>
      <c r="D8">
        <v>11.6047554016113</v>
      </c>
      <c r="E8">
        <v>11.5436449050903</v>
      </c>
      <c r="F8">
        <v>11.4161128997803</v>
      </c>
      <c r="G8">
        <v>10.977983474731399</v>
      </c>
      <c r="H8">
        <v>11.5367441177368</v>
      </c>
      <c r="I8">
        <v>11.3690233230591</v>
      </c>
      <c r="J8">
        <v>11.2771291732788</v>
      </c>
      <c r="K8">
        <v>11.1327447891235</v>
      </c>
      <c r="L8">
        <v>11.2154445648193</v>
      </c>
      <c r="M8">
        <v>11.229570388793899</v>
      </c>
      <c r="N8">
        <v>11.0699214935303</v>
      </c>
      <c r="O8">
        <v>11.3517208099365</v>
      </c>
      <c r="P8">
        <v>11.342495918273899</v>
      </c>
      <c r="Q8">
        <v>11.736147880554199</v>
      </c>
      <c r="R8">
        <v>11.695430755615201</v>
      </c>
      <c r="S8">
        <v>11.9768667221069</v>
      </c>
      <c r="T8">
        <v>11.8788394927979</v>
      </c>
      <c r="U8">
        <v>11.8170013427734</v>
      </c>
      <c r="V8">
        <v>11.148837089538601</v>
      </c>
      <c r="W8">
        <v>11.3196802139282</v>
      </c>
      <c r="Z8">
        <v>251.34615612030001</v>
      </c>
    </row>
    <row r="9" spans="1:26" x14ac:dyDescent="0.25">
      <c r="A9" t="s">
        <v>62</v>
      </c>
      <c r="C9">
        <v>9.2905502319335902</v>
      </c>
      <c r="D9">
        <v>8.1330204010009801</v>
      </c>
      <c r="F9">
        <v>9.6722297668456996</v>
      </c>
      <c r="G9">
        <v>10.329730033874499</v>
      </c>
      <c r="H9">
        <v>11.395239830017101</v>
      </c>
      <c r="I9">
        <v>11.962800025939901</v>
      </c>
      <c r="J9">
        <v>12.6430196762085</v>
      </c>
      <c r="K9">
        <v>13.097820281982401</v>
      </c>
      <c r="L9">
        <v>13.3970499038696</v>
      </c>
      <c r="M9">
        <v>13.638959884643601</v>
      </c>
      <c r="N9">
        <v>13.966290473938001</v>
      </c>
      <c r="O9">
        <v>13.722970008850099</v>
      </c>
      <c r="P9">
        <v>13.467769622802701</v>
      </c>
      <c r="Q9">
        <v>12.697979927063001</v>
      </c>
      <c r="R9">
        <v>12.9940595626831</v>
      </c>
      <c r="S9">
        <v>13.088829994201699</v>
      </c>
      <c r="T9">
        <v>12.8152103424072</v>
      </c>
      <c r="U9">
        <v>12.7402696609497</v>
      </c>
      <c r="V9">
        <v>11.5625896453857</v>
      </c>
      <c r="W9">
        <v>12.8002004623413</v>
      </c>
      <c r="Z9">
        <v>243.41658973693836</v>
      </c>
    </row>
    <row r="10" spans="1:26" x14ac:dyDescent="0.25">
      <c r="A10" t="s">
        <v>66</v>
      </c>
      <c r="B10">
        <v>9.8176841735839808</v>
      </c>
      <c r="C10">
        <v>8.9273614883422905</v>
      </c>
      <c r="D10">
        <v>9.5558977127075195</v>
      </c>
      <c r="E10">
        <v>10.7672672271729</v>
      </c>
      <c r="F10">
        <v>10.477054595947299</v>
      </c>
      <c r="G10">
        <v>11.2711486816406</v>
      </c>
      <c r="H10">
        <v>10.7262678146362</v>
      </c>
      <c r="I10">
        <v>9.5276021957397496</v>
      </c>
      <c r="J10">
        <v>10.652626991271999</v>
      </c>
      <c r="K10">
        <v>10.3638000488281</v>
      </c>
      <c r="L10">
        <v>9.8896512985229492</v>
      </c>
      <c r="M10">
        <v>9.9861221313476598</v>
      </c>
      <c r="N10">
        <v>9.6604213714599592</v>
      </c>
      <c r="O10">
        <v>9.7596044540405291</v>
      </c>
      <c r="P10">
        <v>9.4275655746459996</v>
      </c>
      <c r="Q10">
        <v>9.6901006698608398</v>
      </c>
      <c r="R10">
        <v>9.763916015625</v>
      </c>
      <c r="S10">
        <v>10.144402503967299</v>
      </c>
      <c r="T10">
        <v>9.5412254333496094</v>
      </c>
      <c r="U10">
        <v>10.482262611389199</v>
      </c>
      <c r="V10">
        <v>9.4568967819213903</v>
      </c>
      <c r="W10">
        <v>10.561671257019</v>
      </c>
      <c r="Z10">
        <v>220.45055103302008</v>
      </c>
    </row>
    <row r="11" spans="1:26" x14ac:dyDescent="0.25">
      <c r="A11" t="s">
        <v>64</v>
      </c>
      <c r="J11">
        <v>12.498466491699199</v>
      </c>
      <c r="K11">
        <v>12.5725317001343</v>
      </c>
      <c r="L11">
        <v>12.6209001541138</v>
      </c>
      <c r="M11">
        <v>12.7131490707397</v>
      </c>
      <c r="N11">
        <v>12.857913970947299</v>
      </c>
      <c r="O11">
        <v>13.002293586731</v>
      </c>
      <c r="P11">
        <v>12.9890079498291</v>
      </c>
      <c r="Q11">
        <v>12.7445983886719</v>
      </c>
      <c r="R11">
        <v>12.6629419326782</v>
      </c>
      <c r="S11">
        <v>12.940463066101101</v>
      </c>
      <c r="T11">
        <v>12.9341850280762</v>
      </c>
      <c r="U11">
        <v>12.6524801254272</v>
      </c>
      <c r="V11">
        <v>9.8775424957275408</v>
      </c>
      <c r="W11">
        <v>11.0546884536743</v>
      </c>
      <c r="X11">
        <v>11.0546884536743</v>
      </c>
      <c r="Z11">
        <v>185.1758508682251</v>
      </c>
    </row>
    <row r="12" spans="1:26" x14ac:dyDescent="0.25">
      <c r="A12" t="s">
        <v>63</v>
      </c>
      <c r="B12">
        <v>16.427909851074201</v>
      </c>
      <c r="D12">
        <v>17.450599670410199</v>
      </c>
      <c r="E12">
        <v>17.637220382690401</v>
      </c>
      <c r="F12">
        <v>17.021049499511701</v>
      </c>
      <c r="G12">
        <v>16.199089050293001</v>
      </c>
      <c r="H12">
        <v>16.231279373168899</v>
      </c>
      <c r="I12">
        <v>16.746410369873001</v>
      </c>
      <c r="J12">
        <v>17.401130676269499</v>
      </c>
      <c r="K12">
        <v>17.035610198974599</v>
      </c>
      <c r="L12">
        <v>17.853309631347699</v>
      </c>
      <c r="M12">
        <v>17.7475700378418</v>
      </c>
      <c r="O12">
        <v>19.677650451660199</v>
      </c>
      <c r="P12">
        <v>19.9210090637207</v>
      </c>
      <c r="Q12">
        <v>19.5937099456787</v>
      </c>
      <c r="R12">
        <v>21.1555995941162</v>
      </c>
      <c r="S12">
        <v>21.3112392425537</v>
      </c>
      <c r="T12">
        <v>21.3660697937012</v>
      </c>
      <c r="U12">
        <v>21.2335300445557</v>
      </c>
      <c r="V12">
        <v>19.3549995422363</v>
      </c>
      <c r="W12">
        <v>14.881019592285201</v>
      </c>
      <c r="Z12">
        <v>366.24600601196295</v>
      </c>
    </row>
    <row r="13" spans="1:26" x14ac:dyDescent="0.25">
      <c r="A13" t="s">
        <v>65</v>
      </c>
      <c r="G13">
        <v>9.4963903427124006</v>
      </c>
      <c r="H13">
        <v>9.3238801956176793</v>
      </c>
      <c r="I13">
        <v>8.4151296615600604</v>
      </c>
      <c r="J13">
        <v>14.2963151931763</v>
      </c>
      <c r="K13">
        <v>13.513531684875501</v>
      </c>
      <c r="L13">
        <v>13.5520687103271</v>
      </c>
      <c r="M13">
        <v>13.0780954360962</v>
      </c>
      <c r="N13">
        <v>14.407168388366699</v>
      </c>
      <c r="O13">
        <v>13.3154048919678</v>
      </c>
      <c r="P13">
        <v>12.752611160278301</v>
      </c>
      <c r="Q13">
        <v>12.259829521179199</v>
      </c>
      <c r="R13">
        <v>12.2695617675781</v>
      </c>
      <c r="S13">
        <v>12.1552953720093</v>
      </c>
      <c r="T13">
        <v>11.450690269470201</v>
      </c>
      <c r="U13">
        <v>11.226636886596699</v>
      </c>
      <c r="V13">
        <v>10.532927513122599</v>
      </c>
      <c r="W13">
        <v>10.850317955017101</v>
      </c>
      <c r="X13">
        <v>10.5049028396606</v>
      </c>
      <c r="Z13">
        <v>213.40075778961182</v>
      </c>
    </row>
    <row r="14" spans="1:26" x14ac:dyDescent="0.25">
      <c r="A14" t="s">
        <v>61</v>
      </c>
      <c r="B14">
        <v>18.8195095062256</v>
      </c>
      <c r="C14">
        <v>19.1528205871582</v>
      </c>
      <c r="D14">
        <v>19.24049949646</v>
      </c>
      <c r="E14">
        <v>20.151720046997099</v>
      </c>
      <c r="F14">
        <v>20.4308891296387</v>
      </c>
      <c r="H14">
        <v>20.643339157104499</v>
      </c>
      <c r="I14">
        <v>21.0218906402588</v>
      </c>
      <c r="J14">
        <v>20.810960769653299</v>
      </c>
      <c r="K14">
        <v>23.408220291137699</v>
      </c>
      <c r="L14">
        <v>22.8808898925781</v>
      </c>
      <c r="M14">
        <v>23.009620666503899</v>
      </c>
      <c r="N14">
        <v>23.501560211181602</v>
      </c>
      <c r="O14">
        <v>22.830909729003899</v>
      </c>
      <c r="P14">
        <v>23.1095294952393</v>
      </c>
      <c r="Q14">
        <v>23.373430252075199</v>
      </c>
      <c r="R14">
        <v>23.423200607299801</v>
      </c>
      <c r="S14">
        <v>30.151420593261701</v>
      </c>
      <c r="T14">
        <v>26.086669921875</v>
      </c>
      <c r="U14">
        <v>32.591579437255902</v>
      </c>
      <c r="V14">
        <v>30.082210540771499</v>
      </c>
      <c r="W14">
        <v>31.166620254516602</v>
      </c>
      <c r="Z14">
        <v>495.8874912261964</v>
      </c>
    </row>
    <row r="15" spans="1:26" x14ac:dyDescent="0.25">
      <c r="A15" t="s">
        <v>58</v>
      </c>
      <c r="B15">
        <v>11.201714515686</v>
      </c>
      <c r="C15">
        <v>11.3280839920044</v>
      </c>
      <c r="D15">
        <v>12.510613441467299</v>
      </c>
      <c r="E15">
        <v>12.023205757141101</v>
      </c>
      <c r="F15">
        <v>11.502454757690399</v>
      </c>
      <c r="G15">
        <v>11.7812232971191</v>
      </c>
      <c r="H15">
        <v>11.151527404785201</v>
      </c>
      <c r="I15">
        <v>10.914288520813001</v>
      </c>
      <c r="J15">
        <v>10.4034261703491</v>
      </c>
      <c r="K15">
        <v>10.7116813659668</v>
      </c>
      <c r="L15">
        <v>10.8336887359619</v>
      </c>
      <c r="M15">
        <v>10.467476844787599</v>
      </c>
      <c r="N15">
        <v>10.815416336059601</v>
      </c>
      <c r="O15">
        <v>10.519869804382299</v>
      </c>
      <c r="P15">
        <v>10.6503143310547</v>
      </c>
      <c r="Q15">
        <v>10.464033126831101</v>
      </c>
      <c r="R15">
        <v>10.5424289703369</v>
      </c>
      <c r="S15">
        <v>10.739698410034199</v>
      </c>
      <c r="T15">
        <v>10.4801244735718</v>
      </c>
      <c r="U15">
        <v>10.976164817810099</v>
      </c>
      <c r="V15">
        <v>10.3530426025391</v>
      </c>
      <c r="W15">
        <v>10.720606803894</v>
      </c>
      <c r="Z15">
        <v>241.0910844802857</v>
      </c>
    </row>
    <row r="16" spans="1:26" x14ac:dyDescent="0.25">
      <c r="A16" t="s">
        <v>56</v>
      </c>
      <c r="N16">
        <v>16.4788303375244</v>
      </c>
      <c r="O16">
        <v>16.5196533203125</v>
      </c>
      <c r="P16">
        <v>15.8017377853394</v>
      </c>
      <c r="Q16">
        <v>15.263567924499499</v>
      </c>
      <c r="R16">
        <v>14.9375658035278</v>
      </c>
      <c r="S16">
        <v>13.564913749694799</v>
      </c>
      <c r="T16">
        <v>12.6599740982056</v>
      </c>
      <c r="U16">
        <v>14.2259435653687</v>
      </c>
      <c r="V16">
        <v>16.6611003875732</v>
      </c>
      <c r="W16">
        <v>15.9666299819946</v>
      </c>
      <c r="X16">
        <v>16.959964752197301</v>
      </c>
      <c r="Z16">
        <v>169.03988170623779</v>
      </c>
    </row>
    <row r="17" spans="1:26" x14ac:dyDescent="0.25">
      <c r="A17" t="s">
        <v>55</v>
      </c>
      <c r="B17">
        <v>10.7525682449341</v>
      </c>
      <c r="C17">
        <v>10.4524850845337</v>
      </c>
      <c r="D17">
        <v>11.0171871185303</v>
      </c>
      <c r="E17">
        <v>10.6412544250488</v>
      </c>
      <c r="F17">
        <v>11.2805690765381</v>
      </c>
      <c r="G17">
        <v>11.2287092208862</v>
      </c>
      <c r="H17">
        <v>11.8212118148804</v>
      </c>
      <c r="I17">
        <v>10.6711826324463</v>
      </c>
      <c r="J17">
        <v>10.526892662048301</v>
      </c>
      <c r="K17">
        <v>10.435147285461399</v>
      </c>
      <c r="L17">
        <v>10.585657119751</v>
      </c>
      <c r="M17">
        <v>10.630114555358899</v>
      </c>
      <c r="N17">
        <v>10.166334152221699</v>
      </c>
      <c r="O17">
        <v>10.620042800903301</v>
      </c>
      <c r="P17">
        <v>10.644725799560501</v>
      </c>
      <c r="Q17">
        <v>10.4988613128662</v>
      </c>
      <c r="R17">
        <v>9.9339256286621094</v>
      </c>
      <c r="S17">
        <v>10.4360103607178</v>
      </c>
      <c r="T17">
        <v>11.267529487609901</v>
      </c>
      <c r="U17">
        <v>11.842703819274901</v>
      </c>
      <c r="V17">
        <v>10.743049621581999</v>
      </c>
      <c r="W17">
        <v>10.876903533935501</v>
      </c>
      <c r="Z17">
        <v>237.07306575775141</v>
      </c>
    </row>
    <row r="18" spans="1:26" x14ac:dyDescent="0.25">
      <c r="A18" t="s">
        <v>51</v>
      </c>
      <c r="B18">
        <v>11.9353685379028</v>
      </c>
      <c r="C18">
        <v>12.1024618148804</v>
      </c>
      <c r="D18">
        <v>12.357388496398899</v>
      </c>
      <c r="E18">
        <v>12.242170333862299</v>
      </c>
      <c r="F18">
        <v>12.5096940994263</v>
      </c>
      <c r="G18">
        <v>12.4436130523682</v>
      </c>
      <c r="H18">
        <v>12.424934387206999</v>
      </c>
      <c r="I18">
        <v>11.9803829193115</v>
      </c>
      <c r="J18">
        <v>12.1115255355835</v>
      </c>
      <c r="K18">
        <v>12.267725944519</v>
      </c>
      <c r="L18">
        <v>12.583722114563001</v>
      </c>
      <c r="M18">
        <v>12.083955764770501</v>
      </c>
      <c r="N18">
        <v>12.0301713943481</v>
      </c>
      <c r="O18">
        <v>12.330839157104499</v>
      </c>
      <c r="P18">
        <v>12.9065752029419</v>
      </c>
      <c r="Q18">
        <v>12.8566246032715</v>
      </c>
      <c r="R18">
        <v>12.9486169815063</v>
      </c>
      <c r="S18">
        <v>12.736314773559601</v>
      </c>
      <c r="T18">
        <v>12.6484069824219</v>
      </c>
      <c r="U18">
        <v>12.7428998947144</v>
      </c>
      <c r="V18">
        <v>11.699903488159199</v>
      </c>
      <c r="W18">
        <v>11.825959205627401</v>
      </c>
      <c r="X18">
        <v>11.804358482360801</v>
      </c>
      <c r="Z18">
        <v>283.57361316680897</v>
      </c>
    </row>
    <row r="19" spans="1:26" x14ac:dyDescent="0.25">
      <c r="A19" t="s">
        <v>49</v>
      </c>
      <c r="B19">
        <v>4.9573001861572301</v>
      </c>
      <c r="K19">
        <v>13.172570228576699</v>
      </c>
      <c r="L19">
        <v>12.9965600967407</v>
      </c>
      <c r="M19">
        <v>11.976110458374</v>
      </c>
      <c r="N19">
        <v>10.7635498046875</v>
      </c>
      <c r="O19">
        <v>10.539719581604</v>
      </c>
      <c r="P19">
        <v>11.3273000717163</v>
      </c>
      <c r="Q19">
        <v>11.572790145874</v>
      </c>
      <c r="U19">
        <v>10.6745500564575</v>
      </c>
      <c r="V19">
        <v>10.5891103744507</v>
      </c>
      <c r="W19">
        <v>9.7560100555419904</v>
      </c>
      <c r="X19">
        <v>9.2932596206665004</v>
      </c>
      <c r="Y19">
        <v>9.6949396133422905</v>
      </c>
      <c r="Z19">
        <v>137.31377029418942</v>
      </c>
    </row>
    <row r="20" spans="1:26" x14ac:dyDescent="0.25">
      <c r="A20" t="s">
        <v>57</v>
      </c>
      <c r="B20">
        <v>17.620044708251999</v>
      </c>
      <c r="C20">
        <v>18.1624450683594</v>
      </c>
      <c r="D20">
        <v>18.2003059387207</v>
      </c>
      <c r="E20">
        <v>17.920057296752901</v>
      </c>
      <c r="F20">
        <v>18.098472595214801</v>
      </c>
      <c r="G20">
        <v>17.517999649047901</v>
      </c>
      <c r="H20">
        <v>17.536851882934599</v>
      </c>
      <c r="I20">
        <v>17.0132350921631</v>
      </c>
      <c r="J20">
        <v>16.422779083251999</v>
      </c>
      <c r="K20">
        <v>15.2818441390991</v>
      </c>
      <c r="L20">
        <v>16.172855377197301</v>
      </c>
      <c r="M20">
        <v>16.256568908691399</v>
      </c>
      <c r="N20">
        <v>15.619310379028301</v>
      </c>
      <c r="O20">
        <v>15.3818626403809</v>
      </c>
      <c r="P20">
        <v>14.616979598999</v>
      </c>
      <c r="Q20">
        <v>14.978848457336399</v>
      </c>
      <c r="R20">
        <v>14.3647565841675</v>
      </c>
      <c r="S20">
        <v>14.4936990737915</v>
      </c>
      <c r="T20">
        <v>15.8006401062012</v>
      </c>
      <c r="U20">
        <v>15.525013923645</v>
      </c>
      <c r="V20">
        <v>14.2844390869141</v>
      </c>
      <c r="W20">
        <v>14.251974105835</v>
      </c>
      <c r="Z20">
        <v>355.52098369598411</v>
      </c>
    </row>
    <row r="21" spans="1:26" x14ac:dyDescent="0.25">
      <c r="A21" t="s">
        <v>53</v>
      </c>
      <c r="B21">
        <v>12.2187032699585</v>
      </c>
      <c r="C21">
        <v>12.4842576980591</v>
      </c>
      <c r="D21">
        <v>12.6149435043335</v>
      </c>
      <c r="E21">
        <v>12.757938385009799</v>
      </c>
      <c r="F21">
        <v>12.6649990081787</v>
      </c>
      <c r="G21">
        <v>12.461870193481399</v>
      </c>
      <c r="H21">
        <v>12.443335533142101</v>
      </c>
      <c r="I21">
        <v>12.4147138595581</v>
      </c>
      <c r="J21">
        <v>12.190757751464799</v>
      </c>
      <c r="K21">
        <v>11.9996738433838</v>
      </c>
      <c r="L21">
        <v>12.1376848220825</v>
      </c>
      <c r="M21">
        <v>11.9793186187744</v>
      </c>
      <c r="N21">
        <v>11.558082580566399</v>
      </c>
      <c r="O21">
        <v>11.207059860229499</v>
      </c>
      <c r="P21">
        <v>11.074434280395501</v>
      </c>
      <c r="Q21">
        <v>10.972207069396999</v>
      </c>
      <c r="R21">
        <v>10.876088142395</v>
      </c>
      <c r="S21">
        <v>10.540070533752401</v>
      </c>
      <c r="T21">
        <v>10.399473190307599</v>
      </c>
      <c r="U21">
        <v>10.5227766036987</v>
      </c>
      <c r="V21">
        <v>10.2389678955078</v>
      </c>
      <c r="W21">
        <v>10.231122016906699</v>
      </c>
      <c r="Z21">
        <v>255.98847866058333</v>
      </c>
    </row>
    <row r="22" spans="1:26" x14ac:dyDescent="0.25">
      <c r="A22" t="s">
        <v>50</v>
      </c>
      <c r="B22">
        <v>10.838972091674799</v>
      </c>
      <c r="C22">
        <v>10.8771810531616</v>
      </c>
      <c r="D22">
        <v>10.957714080810501</v>
      </c>
      <c r="E22">
        <v>10.8201856613159</v>
      </c>
      <c r="F22">
        <v>10.4804420471191</v>
      </c>
      <c r="G22">
        <v>10.355126380920399</v>
      </c>
      <c r="H22">
        <v>10.3564348220825</v>
      </c>
      <c r="I22">
        <v>10.0942478179932</v>
      </c>
      <c r="J22">
        <v>10.1141309738159</v>
      </c>
      <c r="K22">
        <v>9.9223775863647496</v>
      </c>
      <c r="L22">
        <v>9.9216680526733398</v>
      </c>
      <c r="M22">
        <v>9.7378149032592791</v>
      </c>
      <c r="N22">
        <v>9.61224365234375</v>
      </c>
      <c r="O22">
        <v>9.5985364913940394</v>
      </c>
      <c r="P22">
        <v>9.5941991806030291</v>
      </c>
      <c r="Q22">
        <v>9.5904350280761701</v>
      </c>
      <c r="R22">
        <v>9.5415935516357404</v>
      </c>
      <c r="S22">
        <v>9.5468950271606392</v>
      </c>
      <c r="T22">
        <v>9.5655260086059606</v>
      </c>
      <c r="U22">
        <v>9.4819984436035192</v>
      </c>
      <c r="V22">
        <v>8.8227119445800799</v>
      </c>
      <c r="W22">
        <v>8.8754110336303693</v>
      </c>
      <c r="Z22">
        <v>218.70584583282459</v>
      </c>
    </row>
    <row r="23" spans="1:26" x14ac:dyDescent="0.25">
      <c r="A23" t="s">
        <v>54</v>
      </c>
      <c r="B23">
        <v>8.52844333648682</v>
      </c>
      <c r="C23">
        <v>8.7554502487182599</v>
      </c>
      <c r="D23">
        <v>8.7079610824584996</v>
      </c>
      <c r="E23">
        <v>8.6425132751464808</v>
      </c>
      <c r="F23">
        <v>8.7716159820556605</v>
      </c>
      <c r="G23">
        <v>8.7802896499633807</v>
      </c>
      <c r="H23">
        <v>8.9067792892456108</v>
      </c>
      <c r="I23">
        <v>9.0443153381347692</v>
      </c>
      <c r="J23">
        <v>8.9298458099365199</v>
      </c>
      <c r="K23">
        <v>9.0180683135986293</v>
      </c>
      <c r="L23">
        <v>9.1134414672851598</v>
      </c>
      <c r="M23">
        <v>9.5116453170776403</v>
      </c>
      <c r="N23">
        <v>9.5172300338745099</v>
      </c>
      <c r="O23">
        <v>9.7097110748290998</v>
      </c>
      <c r="P23">
        <v>9.7481040954589808</v>
      </c>
      <c r="Q23">
        <v>9.6381435394287092</v>
      </c>
      <c r="R23">
        <v>9.4778299331665004</v>
      </c>
      <c r="S23">
        <v>9.4807310104370099</v>
      </c>
      <c r="T23">
        <v>9.6382017135620099</v>
      </c>
      <c r="U23">
        <v>9.72637844085693</v>
      </c>
      <c r="V23">
        <v>9.2984409332275408</v>
      </c>
      <c r="W23">
        <v>9.0661725997924805</v>
      </c>
      <c r="X23">
        <v>9.1907014846801793</v>
      </c>
      <c r="Z23">
        <v>211.20201396942139</v>
      </c>
    </row>
    <row r="24" spans="1:26" x14ac:dyDescent="0.25">
      <c r="A24" t="s">
        <v>52</v>
      </c>
      <c r="B24">
        <v>8.3163928985595703</v>
      </c>
      <c r="C24">
        <v>8.0720376968383807</v>
      </c>
      <c r="D24">
        <v>8.5487794876098597</v>
      </c>
      <c r="E24">
        <v>9.1345462799072301</v>
      </c>
      <c r="F24">
        <v>8.6254014968872106</v>
      </c>
      <c r="G24">
        <v>9.2447900772094709</v>
      </c>
      <c r="H24">
        <v>8.0897846221923793</v>
      </c>
      <c r="I24">
        <v>7.6367754936218297</v>
      </c>
      <c r="J24">
        <v>7.4268703460693404</v>
      </c>
      <c r="K24">
        <v>7.63661861419678</v>
      </c>
      <c r="L24">
        <v>7.8240270614623997</v>
      </c>
      <c r="M24">
        <v>8.2007036209106392</v>
      </c>
      <c r="N24">
        <v>8.0876979827880895</v>
      </c>
      <c r="O24">
        <v>7.1693296432495099</v>
      </c>
      <c r="P24">
        <v>8.5331344604492205</v>
      </c>
      <c r="Q24">
        <v>7.6833367347717303</v>
      </c>
      <c r="R24">
        <v>8.0551338195800799</v>
      </c>
      <c r="S24">
        <v>8.0326719284057599</v>
      </c>
      <c r="T24">
        <v>8.45666408538818</v>
      </c>
      <c r="U24">
        <v>8.3554191589355504</v>
      </c>
      <c r="V24">
        <v>7.5391917228698704</v>
      </c>
      <c r="W24">
        <v>7.1118955612182599</v>
      </c>
      <c r="Z24">
        <v>177.78120279312134</v>
      </c>
    </row>
    <row r="25" spans="1:26" x14ac:dyDescent="0.25">
      <c r="A25" t="s">
        <v>48</v>
      </c>
      <c r="D25">
        <v>19.122961044311499</v>
      </c>
      <c r="E25">
        <v>19.782251358032202</v>
      </c>
      <c r="F25">
        <v>19.9351615905762</v>
      </c>
      <c r="G25">
        <v>18.2606601715088</v>
      </c>
      <c r="H25">
        <v>20.049077987670898</v>
      </c>
      <c r="I25">
        <v>19.762035369873001</v>
      </c>
      <c r="J25">
        <v>17.608848571777301</v>
      </c>
      <c r="K25">
        <v>18.1912631988525</v>
      </c>
      <c r="L25">
        <v>19.391736984252901</v>
      </c>
      <c r="M25">
        <v>17.521631240844702</v>
      </c>
      <c r="N25">
        <v>17.735908508300799</v>
      </c>
      <c r="O25">
        <v>16.261379241943398</v>
      </c>
      <c r="P25">
        <v>17.5052490234375</v>
      </c>
      <c r="Q25">
        <v>16.783073425293001</v>
      </c>
      <c r="R25">
        <v>17.0466003417969</v>
      </c>
      <c r="S25">
        <v>17.836483001708999</v>
      </c>
      <c r="T25">
        <v>19.680110931396499</v>
      </c>
      <c r="U25">
        <v>17.485620498657202</v>
      </c>
      <c r="V25">
        <v>12.821702003479</v>
      </c>
      <c r="W25">
        <v>14.8568267822266</v>
      </c>
      <c r="Z25">
        <v>357.63858127593988</v>
      </c>
    </row>
    <row r="26" spans="1:26" x14ac:dyDescent="0.25">
      <c r="A26" t="s">
        <v>44</v>
      </c>
      <c r="B26">
        <v>11.2330541610718</v>
      </c>
      <c r="C26">
        <v>11.3520240783691</v>
      </c>
      <c r="D26">
        <v>11.1195278167725</v>
      </c>
      <c r="E26">
        <v>13.051322937011699</v>
      </c>
      <c r="F26">
        <v>12.089709281921399</v>
      </c>
      <c r="G26">
        <v>12.146801948547401</v>
      </c>
      <c r="H26">
        <v>11.518119812011699</v>
      </c>
      <c r="I26">
        <v>11.057045936584499</v>
      </c>
      <c r="J26">
        <v>10.867124557495099</v>
      </c>
      <c r="K26">
        <v>10.6141624450684</v>
      </c>
      <c r="L26">
        <v>11.2314052581787</v>
      </c>
      <c r="M26">
        <v>10.294374465942401</v>
      </c>
      <c r="N26">
        <v>9.5221004486084002</v>
      </c>
      <c r="O26">
        <v>9.4147863388061506</v>
      </c>
      <c r="P26">
        <v>10.3912000656128</v>
      </c>
      <c r="Q26">
        <v>10.3242197036743</v>
      </c>
      <c r="R26">
        <v>10.605502128601101</v>
      </c>
      <c r="S26">
        <v>10.839489936828601</v>
      </c>
      <c r="T26">
        <v>10.8592433929443</v>
      </c>
      <c r="U26">
        <v>10.1927442550659</v>
      </c>
      <c r="V26">
        <v>9.3338794708252006</v>
      </c>
      <c r="W26">
        <v>10.3632917404175</v>
      </c>
      <c r="Z26">
        <v>238.42113018035897</v>
      </c>
    </row>
    <row r="27" spans="1:26" x14ac:dyDescent="0.25">
      <c r="A27" t="s">
        <v>47</v>
      </c>
      <c r="B27">
        <v>15.532013893127401</v>
      </c>
      <c r="C27">
        <v>18.178380966186499</v>
      </c>
      <c r="D27">
        <v>18.7273769378662</v>
      </c>
      <c r="E27">
        <v>18.109569549560501</v>
      </c>
      <c r="F27">
        <v>18.605690002441399</v>
      </c>
      <c r="G27">
        <v>17.339469909668001</v>
      </c>
      <c r="H27">
        <v>17.104221343994102</v>
      </c>
      <c r="I27">
        <v>16.612611770629901</v>
      </c>
      <c r="J27">
        <v>11.8554468154907</v>
      </c>
      <c r="K27">
        <v>14.102907180786101</v>
      </c>
      <c r="L27">
        <v>14.687912940979</v>
      </c>
      <c r="M27">
        <v>14.072451591491699</v>
      </c>
      <c r="N27">
        <v>14.5596466064453</v>
      </c>
      <c r="O27">
        <v>15.5000915527344</v>
      </c>
      <c r="P27">
        <v>15.1298274993896</v>
      </c>
      <c r="Q27">
        <v>15.6150579452515</v>
      </c>
      <c r="R27">
        <v>14.3981485366821</v>
      </c>
      <c r="S27">
        <v>15.8099613189697</v>
      </c>
      <c r="T27">
        <v>15.990013122558601</v>
      </c>
      <c r="U27">
        <v>16.135856628418001</v>
      </c>
      <c r="V27">
        <v>15.875850677490201</v>
      </c>
      <c r="W27">
        <v>15.406312942504901</v>
      </c>
      <c r="X27">
        <v>14.898689270019499</v>
      </c>
      <c r="Z27">
        <v>364.24750900268526</v>
      </c>
    </row>
    <row r="28" spans="1:26" x14ac:dyDescent="0.25">
      <c r="A28" t="s">
        <v>39</v>
      </c>
      <c r="B28">
        <v>16.730510711669901</v>
      </c>
      <c r="E28">
        <v>12.410799980163601</v>
      </c>
      <c r="F28">
        <v>11.196860313415501</v>
      </c>
      <c r="G28">
        <v>11.208459854126</v>
      </c>
      <c r="H28">
        <v>11.6937103271484</v>
      </c>
      <c r="K28">
        <v>11.191200256347701</v>
      </c>
      <c r="L28">
        <v>11.8336801528931</v>
      </c>
      <c r="M28">
        <v>13.564909934997599</v>
      </c>
      <c r="N28">
        <v>13.0877075195312</v>
      </c>
      <c r="O28">
        <v>14.0501804351807</v>
      </c>
      <c r="P28">
        <v>15.7181539535522</v>
      </c>
      <c r="Q28">
        <v>16.334230422973601</v>
      </c>
      <c r="R28">
        <v>17.155302047729499</v>
      </c>
      <c r="S28">
        <v>13.5492553710938</v>
      </c>
      <c r="T28">
        <v>13.0661878585815</v>
      </c>
      <c r="U28">
        <v>14.998430252075201</v>
      </c>
      <c r="V28">
        <v>14.9909858703613</v>
      </c>
      <c r="W28">
        <v>14.647361755371101</v>
      </c>
      <c r="X28">
        <v>14.155474662780801</v>
      </c>
      <c r="Z28">
        <v>261.58340167999268</v>
      </c>
    </row>
    <row r="29" spans="1:26" x14ac:dyDescent="0.25">
      <c r="A29" t="s">
        <v>40</v>
      </c>
      <c r="J29">
        <v>11.4513339996338</v>
      </c>
      <c r="K29">
        <v>16.164842605590799</v>
      </c>
      <c r="L29">
        <v>18.013923645019499</v>
      </c>
      <c r="M29">
        <v>18.548284530639599</v>
      </c>
      <c r="N29">
        <v>16.9681091308594</v>
      </c>
      <c r="O29">
        <v>16.300586700439499</v>
      </c>
      <c r="P29">
        <v>16.459547042846701</v>
      </c>
      <c r="Q29">
        <v>16.713871002197301</v>
      </c>
      <c r="R29">
        <v>21.078784942626999</v>
      </c>
      <c r="S29">
        <v>16.110479354858398</v>
      </c>
      <c r="T29">
        <v>16.795709609985401</v>
      </c>
      <c r="U29">
        <v>17.33811378479</v>
      </c>
      <c r="V29">
        <v>17.943683624267599</v>
      </c>
      <c r="W29">
        <v>16.067815780639599</v>
      </c>
      <c r="X29">
        <v>13.932614326477101</v>
      </c>
      <c r="Z29">
        <v>249.88770008087172</v>
      </c>
    </row>
    <row r="30" spans="1:26" x14ac:dyDescent="0.25">
      <c r="A30" t="s">
        <v>45</v>
      </c>
      <c r="B30">
        <v>12.938889503479</v>
      </c>
      <c r="C30">
        <v>12.7310466766357</v>
      </c>
      <c r="D30">
        <v>12.1440725326538</v>
      </c>
      <c r="E30">
        <v>12.570197105407701</v>
      </c>
      <c r="F30">
        <v>12.5068759918213</v>
      </c>
      <c r="G30">
        <v>12.435116767883301</v>
      </c>
      <c r="H30">
        <v>11.953315734863301</v>
      </c>
      <c r="I30">
        <v>12.1383266448975</v>
      </c>
      <c r="J30">
        <v>11.326087951660201</v>
      </c>
      <c r="K30">
        <v>10.1927270889282</v>
      </c>
      <c r="L30">
        <v>7.1244440078735396</v>
      </c>
      <c r="M30">
        <v>11.187884330749499</v>
      </c>
      <c r="N30">
        <v>11.931877136230501</v>
      </c>
      <c r="O30">
        <v>11.8800659179688</v>
      </c>
      <c r="P30">
        <v>12.119793891906699</v>
      </c>
      <c r="Q30">
        <v>11.918103218078601</v>
      </c>
      <c r="R30">
        <v>12.2743225097656</v>
      </c>
      <c r="S30">
        <v>12.612678527831999</v>
      </c>
      <c r="T30">
        <v>12.475253105163601</v>
      </c>
      <c r="U30">
        <v>13.212444305419901</v>
      </c>
      <c r="V30">
        <v>11.877575874328601</v>
      </c>
      <c r="W30">
        <v>12.0236730575562</v>
      </c>
      <c r="Z30">
        <v>261.57477188110357</v>
      </c>
    </row>
    <row r="31" spans="1:26" x14ac:dyDescent="0.25">
      <c r="A31" t="s">
        <v>43</v>
      </c>
      <c r="B31">
        <v>15.812695503234901</v>
      </c>
      <c r="C31">
        <v>15.729214668273899</v>
      </c>
      <c r="D31">
        <v>14.5283851623535</v>
      </c>
      <c r="E31">
        <v>15.251654624939</v>
      </c>
      <c r="F31">
        <v>15.328326225280801</v>
      </c>
      <c r="G31">
        <v>14.9900407791138</v>
      </c>
      <c r="H31">
        <v>14.8964519500732</v>
      </c>
      <c r="I31">
        <v>15.348430633544901</v>
      </c>
      <c r="J31">
        <v>15.607460021972701</v>
      </c>
      <c r="K31">
        <v>15.563290596008301</v>
      </c>
      <c r="L31">
        <v>16.425962448120099</v>
      </c>
      <c r="M31">
        <v>16.4476222991943</v>
      </c>
      <c r="N31">
        <v>17.017858505248999</v>
      </c>
      <c r="O31">
        <v>17.264476776123001</v>
      </c>
      <c r="P31">
        <v>17.855998992919901</v>
      </c>
      <c r="Q31">
        <v>18.083259582519499</v>
      </c>
      <c r="R31">
        <v>18.026613235473601</v>
      </c>
      <c r="S31">
        <v>18.205095291137699</v>
      </c>
      <c r="T31">
        <v>18.124406814575199</v>
      </c>
      <c r="U31">
        <v>18.125907897949201</v>
      </c>
      <c r="V31">
        <v>15.7630271911621</v>
      </c>
      <c r="W31">
        <v>16.484247207641602</v>
      </c>
      <c r="X31">
        <v>17.5333347320557</v>
      </c>
      <c r="Z31">
        <v>378.4137611389159</v>
      </c>
    </row>
    <row r="32" spans="1:26" x14ac:dyDescent="0.25">
      <c r="A32" t="s">
        <v>42</v>
      </c>
      <c r="B32">
        <v>9.32159328460693</v>
      </c>
      <c r="C32">
        <v>9.3359222412109393</v>
      </c>
      <c r="D32">
        <v>9.5078754425048793</v>
      </c>
      <c r="E32">
        <v>9.6362104415893608</v>
      </c>
      <c r="F32">
        <v>9.2177667617797905</v>
      </c>
      <c r="G32">
        <v>9.4085693359375</v>
      </c>
      <c r="H32">
        <v>9.1535339355468803</v>
      </c>
      <c r="I32">
        <v>9.4509372711181605</v>
      </c>
      <c r="J32">
        <v>8.9630289077758807</v>
      </c>
      <c r="K32">
        <v>8.8647804260253906</v>
      </c>
      <c r="L32">
        <v>8.7069139480590803</v>
      </c>
      <c r="M32">
        <v>8.2584381103515607</v>
      </c>
      <c r="N32">
        <v>8.0184297561645508</v>
      </c>
      <c r="O32">
        <v>8.0210485458374006</v>
      </c>
      <c r="P32">
        <v>7.9423513412475604</v>
      </c>
      <c r="Q32">
        <v>7.9438447952270499</v>
      </c>
      <c r="R32">
        <v>7.8623733520507804</v>
      </c>
      <c r="S32">
        <v>7.9176912307739302</v>
      </c>
      <c r="T32">
        <v>8.1116409301757795</v>
      </c>
      <c r="U32">
        <v>8.04736328125</v>
      </c>
      <c r="V32">
        <v>7.4938817024231001</v>
      </c>
      <c r="W32">
        <v>7.4371619224548304</v>
      </c>
      <c r="Z32">
        <v>188.62135696411136</v>
      </c>
    </row>
    <row r="33" spans="1:26" x14ac:dyDescent="0.25">
      <c r="A33" t="s">
        <v>46</v>
      </c>
      <c r="G33">
        <v>9.3271703720092791</v>
      </c>
      <c r="H33">
        <v>9.3939924240112305</v>
      </c>
      <c r="I33">
        <v>9.4127511978149396</v>
      </c>
      <c r="J33">
        <v>9.1277551651000994</v>
      </c>
      <c r="K33">
        <v>8.9305095672607404</v>
      </c>
      <c r="L33">
        <v>8.7844982147216797</v>
      </c>
      <c r="M33">
        <v>8.5370521545410192</v>
      </c>
      <c r="N33">
        <v>8.5043392181396502</v>
      </c>
      <c r="O33">
        <v>8.46380710601807</v>
      </c>
      <c r="P33">
        <v>8.5344810485839808</v>
      </c>
      <c r="Q33">
        <v>8.3743534088134801</v>
      </c>
      <c r="R33">
        <v>8.1960353851318395</v>
      </c>
      <c r="S33">
        <v>8.1531496047973597</v>
      </c>
      <c r="T33">
        <v>8.1292934417724592</v>
      </c>
      <c r="U33">
        <v>8.1462821960449201</v>
      </c>
      <c r="V33">
        <v>7.2928972244262704</v>
      </c>
      <c r="W33">
        <v>7.4108343124389604</v>
      </c>
      <c r="X33">
        <v>7.5212912559509304</v>
      </c>
      <c r="Z33">
        <v>152.2404932975769</v>
      </c>
    </row>
    <row r="34" spans="1:26" x14ac:dyDescent="0.25">
      <c r="A34" t="s">
        <v>38</v>
      </c>
      <c r="B34">
        <v>14.6156311035156</v>
      </c>
      <c r="C34">
        <v>16.027006149291999</v>
      </c>
      <c r="D34">
        <v>16.2490139007568</v>
      </c>
      <c r="E34">
        <v>15.742730140686</v>
      </c>
      <c r="F34">
        <v>16.417421340942401</v>
      </c>
      <c r="G34">
        <v>15.2358856201172</v>
      </c>
      <c r="H34">
        <v>15.360034942626999</v>
      </c>
      <c r="I34">
        <v>15.935499191284199</v>
      </c>
      <c r="J34">
        <v>16.401718139648398</v>
      </c>
      <c r="K34">
        <v>14.6940021514893</v>
      </c>
      <c r="L34">
        <v>13.4196310043335</v>
      </c>
      <c r="M34">
        <v>14.2099361419678</v>
      </c>
      <c r="N34">
        <v>14.743120193481399</v>
      </c>
      <c r="O34">
        <v>14.9403123855591</v>
      </c>
      <c r="P34">
        <v>15.185315132141101</v>
      </c>
      <c r="Q34">
        <v>15.2136878967285</v>
      </c>
      <c r="R34">
        <v>14.797971725463899</v>
      </c>
      <c r="S34">
        <v>14.933296203613301</v>
      </c>
      <c r="T34">
        <v>14.810621261596699</v>
      </c>
      <c r="U34">
        <v>15.018287658691399</v>
      </c>
      <c r="V34">
        <v>13.7033176422119</v>
      </c>
      <c r="W34">
        <v>12.6531772613525</v>
      </c>
      <c r="Z34">
        <v>330.30761718749994</v>
      </c>
    </row>
    <row r="35" spans="1:26" x14ac:dyDescent="0.25">
      <c r="A35" t="s">
        <v>37</v>
      </c>
      <c r="B35">
        <v>11.228955268859901</v>
      </c>
      <c r="C35">
        <v>11.556562423706101</v>
      </c>
      <c r="D35">
        <v>11.072964668273899</v>
      </c>
      <c r="E35">
        <v>11.246839523315399</v>
      </c>
      <c r="F35">
        <v>11.2454776763916</v>
      </c>
      <c r="G35">
        <v>11.186240196228001</v>
      </c>
      <c r="H35">
        <v>11.2557678222656</v>
      </c>
      <c r="I35">
        <v>11.448784828186</v>
      </c>
      <c r="J35">
        <v>11.462409019470201</v>
      </c>
      <c r="K35">
        <v>11.4353742599487</v>
      </c>
      <c r="L35">
        <v>11.978755950927701</v>
      </c>
      <c r="M35">
        <v>12.073920249939</v>
      </c>
      <c r="N35">
        <v>12.164294242858899</v>
      </c>
      <c r="O35">
        <v>11.379886627197299</v>
      </c>
      <c r="P35">
        <v>11.3736276626587</v>
      </c>
      <c r="Q35">
        <v>11.2310438156128</v>
      </c>
      <c r="R35">
        <v>11.1684913635254</v>
      </c>
      <c r="S35">
        <v>11.0432891845703</v>
      </c>
      <c r="T35">
        <v>11.1042575836182</v>
      </c>
      <c r="U35">
        <v>11.1825523376465</v>
      </c>
      <c r="V35">
        <v>10.656986236572299</v>
      </c>
      <c r="W35">
        <v>11.0031833648682</v>
      </c>
      <c r="X35">
        <v>10.7424373626709</v>
      </c>
      <c r="Z35">
        <v>260.24210166931158</v>
      </c>
    </row>
    <row r="36" spans="1:26" x14ac:dyDescent="0.25">
      <c r="A36" t="s">
        <v>36</v>
      </c>
      <c r="B36">
        <v>21.390680313110401</v>
      </c>
      <c r="C36">
        <v>24.3485202789307</v>
      </c>
      <c r="D36">
        <v>25.903600692748999</v>
      </c>
      <c r="E36">
        <v>24.5424404144287</v>
      </c>
      <c r="F36">
        <v>21.0129203796387</v>
      </c>
      <c r="H36">
        <v>16.745569229126001</v>
      </c>
      <c r="I36">
        <v>16.124660491943398</v>
      </c>
      <c r="J36">
        <v>14.0386400222778</v>
      </c>
      <c r="K36">
        <v>18.4646301269531</v>
      </c>
      <c r="L36">
        <v>18.4062309265137</v>
      </c>
      <c r="M36">
        <v>20.9770202636719</v>
      </c>
      <c r="N36">
        <v>19.851160049438501</v>
      </c>
      <c r="O36">
        <v>19.454309463501001</v>
      </c>
      <c r="P36">
        <v>21.392065048217798</v>
      </c>
      <c r="Q36">
        <v>21.3044834136963</v>
      </c>
      <c r="R36">
        <v>21.347570419311499</v>
      </c>
      <c r="S36">
        <v>21.647865295410199</v>
      </c>
      <c r="T36">
        <v>20.700771331787099</v>
      </c>
      <c r="U36">
        <v>19.138452529907202</v>
      </c>
      <c r="V36">
        <v>15.621879577636699</v>
      </c>
      <c r="W36">
        <v>20.462577819824201</v>
      </c>
      <c r="X36">
        <v>20.14967918396</v>
      </c>
      <c r="Y36">
        <v>17.114179611206101</v>
      </c>
      <c r="Z36">
        <v>460.13990688324009</v>
      </c>
    </row>
    <row r="37" spans="1:26" x14ac:dyDescent="0.25">
      <c r="A37" t="s">
        <v>35</v>
      </c>
      <c r="B37">
        <v>19.6461296081543</v>
      </c>
      <c r="C37">
        <v>20.624280929565401</v>
      </c>
      <c r="D37">
        <v>21.464910507202099</v>
      </c>
      <c r="E37">
        <v>22.471870422363299</v>
      </c>
      <c r="F37">
        <v>22.053829193115199</v>
      </c>
      <c r="G37">
        <v>21.9037895202637</v>
      </c>
      <c r="H37">
        <v>20.8243198394775</v>
      </c>
      <c r="I37">
        <v>19.8890705108643</v>
      </c>
      <c r="J37">
        <v>17.3801593780518</v>
      </c>
      <c r="K37">
        <v>18.665119171142599</v>
      </c>
      <c r="L37">
        <v>18.6425895690918</v>
      </c>
      <c r="M37">
        <v>18.4210205078125</v>
      </c>
      <c r="N37">
        <v>18.0871906280518</v>
      </c>
      <c r="O37">
        <v>16.905990600585898</v>
      </c>
      <c r="P37">
        <v>18.8059406280518</v>
      </c>
      <c r="Q37">
        <v>19.018749237060501</v>
      </c>
      <c r="R37">
        <v>17.939329147338899</v>
      </c>
      <c r="S37">
        <v>17.577299118041999</v>
      </c>
      <c r="T37">
        <v>16.5778503417969</v>
      </c>
      <c r="V37">
        <v>16.195859909057599</v>
      </c>
      <c r="W37">
        <v>15.883130073547401</v>
      </c>
      <c r="Z37">
        <v>398.97842884063732</v>
      </c>
    </row>
    <row r="38" spans="1:26" x14ac:dyDescent="0.25">
      <c r="A38" t="s">
        <v>34</v>
      </c>
      <c r="B38">
        <v>10.984347343444799</v>
      </c>
      <c r="C38">
        <v>10.716505050659199</v>
      </c>
      <c r="D38">
        <v>11.0190944671631</v>
      </c>
      <c r="E38">
        <v>11.395012855529799</v>
      </c>
      <c r="F38">
        <v>11.7296485900879</v>
      </c>
      <c r="G38">
        <v>12.140740394592299</v>
      </c>
      <c r="H38">
        <v>11.985449790954601</v>
      </c>
      <c r="I38">
        <v>12.047568321228001</v>
      </c>
      <c r="J38">
        <v>12.0563087463379</v>
      </c>
      <c r="K38">
        <v>11.7798805236816</v>
      </c>
      <c r="L38">
        <v>11.7047338485718</v>
      </c>
      <c r="M38">
        <v>11.6830587387085</v>
      </c>
      <c r="N38">
        <v>11.7369089126587</v>
      </c>
      <c r="O38">
        <v>11.5621957778931</v>
      </c>
      <c r="P38">
        <v>11.796979904174799</v>
      </c>
      <c r="Q38">
        <v>11.8186254501343</v>
      </c>
      <c r="R38">
        <v>12.0879125595093</v>
      </c>
      <c r="S38">
        <v>12.073976516723601</v>
      </c>
      <c r="T38">
        <v>11.9594812393188</v>
      </c>
      <c r="U38">
        <v>11.8349256515503</v>
      </c>
      <c r="V38">
        <v>10.9442539215088</v>
      </c>
      <c r="W38">
        <v>11.044226646423301</v>
      </c>
      <c r="X38">
        <v>11.617128372192401</v>
      </c>
      <c r="Z38">
        <v>267.71896362304688</v>
      </c>
    </row>
    <row r="39" spans="1:26" x14ac:dyDescent="0.25">
      <c r="A39" t="s">
        <v>30</v>
      </c>
      <c r="K39">
        <v>16.534469604492202</v>
      </c>
      <c r="L39">
        <v>16.763868331909201</v>
      </c>
      <c r="M39">
        <v>14.6914110183716</v>
      </c>
      <c r="N39">
        <v>16.634243011474599</v>
      </c>
      <c r="O39">
        <v>16.3211269378662</v>
      </c>
      <c r="P39">
        <v>16.405513763427699</v>
      </c>
      <c r="Q39">
        <v>16.623876571655298</v>
      </c>
      <c r="R39">
        <v>16.474552154541001</v>
      </c>
      <c r="S39">
        <v>16.2446899414062</v>
      </c>
      <c r="T39">
        <v>15.804400444030801</v>
      </c>
      <c r="U39">
        <v>15.865841865539601</v>
      </c>
      <c r="V39">
        <v>14.436502456665</v>
      </c>
      <c r="W39">
        <v>14.288180351257299</v>
      </c>
      <c r="X39">
        <v>13.138547897338899</v>
      </c>
      <c r="Z39">
        <v>220.22722434997559</v>
      </c>
    </row>
    <row r="40" spans="1:26" x14ac:dyDescent="0.25">
      <c r="A40" t="s">
        <v>28</v>
      </c>
      <c r="B40">
        <v>12.275022506713899</v>
      </c>
      <c r="C40">
        <v>12.3536577224731</v>
      </c>
      <c r="D40">
        <v>12.222559928894</v>
      </c>
      <c r="E40">
        <v>12.679018020629901</v>
      </c>
      <c r="F40">
        <v>12.444375038146999</v>
      </c>
      <c r="G40">
        <v>12.260657310485801</v>
      </c>
      <c r="H40">
        <v>11.939603805541999</v>
      </c>
      <c r="I40">
        <v>11.6383047103882</v>
      </c>
      <c r="J40">
        <v>11.520503997802701</v>
      </c>
      <c r="K40">
        <v>11.6466312408447</v>
      </c>
      <c r="L40">
        <v>11.588888168335</v>
      </c>
      <c r="M40">
        <v>11.3563146591187</v>
      </c>
      <c r="N40">
        <v>11.280474662780801</v>
      </c>
      <c r="O40">
        <v>11.050294876098601</v>
      </c>
      <c r="P40">
        <v>11.0784196853638</v>
      </c>
      <c r="Q40">
        <v>11.0946817398071</v>
      </c>
      <c r="R40">
        <v>10.9676599502563</v>
      </c>
      <c r="S40">
        <v>11.0532388687134</v>
      </c>
      <c r="T40">
        <v>11.050391197204601</v>
      </c>
      <c r="U40">
        <v>10.8743686676025</v>
      </c>
      <c r="V40">
        <v>10.122546195983899</v>
      </c>
      <c r="W40">
        <v>10.2669334411621</v>
      </c>
      <c r="X40">
        <v>10.122114181518601</v>
      </c>
      <c r="Z40">
        <v>262.8866605758667</v>
      </c>
    </row>
    <row r="41" spans="1:26" x14ac:dyDescent="0.25">
      <c r="A41" t="s">
        <v>26</v>
      </c>
      <c r="B41">
        <v>15.250370025634799</v>
      </c>
      <c r="C41">
        <v>14.7962303161621</v>
      </c>
      <c r="D41">
        <v>14.5780601501465</v>
      </c>
      <c r="E41">
        <v>14.6583099365234</v>
      </c>
      <c r="F41">
        <v>15.273850440979</v>
      </c>
      <c r="G41">
        <v>14.2785196304321</v>
      </c>
      <c r="H41">
        <v>14.0353002548218</v>
      </c>
      <c r="I41">
        <v>14.141770362854</v>
      </c>
      <c r="J41">
        <v>14.377820014953601</v>
      </c>
      <c r="K41">
        <v>14.547630310058601</v>
      </c>
      <c r="L41">
        <v>13.4923696517944</v>
      </c>
      <c r="M41">
        <v>13.5442399978638</v>
      </c>
      <c r="N41">
        <v>14.369489669799799</v>
      </c>
      <c r="O41">
        <v>15.2219400405884</v>
      </c>
      <c r="P41">
        <v>16.227510452270501</v>
      </c>
      <c r="Q41">
        <v>17.615379333496101</v>
      </c>
      <c r="R41">
        <v>17.93577003479</v>
      </c>
      <c r="S41">
        <v>18.321159362793001</v>
      </c>
      <c r="T41">
        <v>17.152179718017599</v>
      </c>
      <c r="U41">
        <v>17.7330207824707</v>
      </c>
      <c r="V41">
        <v>15.514760017395</v>
      </c>
      <c r="W41">
        <v>16.709470748901399</v>
      </c>
      <c r="X41">
        <v>16.4729194641113</v>
      </c>
      <c r="Y41">
        <v>18.888450622558601</v>
      </c>
      <c r="Z41">
        <v>375.13652133941662</v>
      </c>
    </row>
    <row r="42" spans="1:26" x14ac:dyDescent="0.25">
      <c r="A42" t="s">
        <v>27</v>
      </c>
      <c r="B42">
        <v>15.2067604064941</v>
      </c>
      <c r="C42">
        <v>13.9159097671509</v>
      </c>
      <c r="D42">
        <v>14.0689296722412</v>
      </c>
      <c r="E42">
        <v>14.380220413208001</v>
      </c>
      <c r="F42">
        <v>12.7508497238159</v>
      </c>
      <c r="G42">
        <v>12.422360420227101</v>
      </c>
      <c r="H42">
        <v>13.2685298919678</v>
      </c>
      <c r="I42">
        <v>13.667019844055201</v>
      </c>
      <c r="J42">
        <v>14.4419898986816</v>
      </c>
      <c r="K42">
        <v>13.2111597061157</v>
      </c>
      <c r="P42">
        <v>15.5159406661987</v>
      </c>
      <c r="Q42">
        <v>15.1455326080322</v>
      </c>
      <c r="R42">
        <v>16.642095565795898</v>
      </c>
      <c r="S42">
        <v>19.590427398681602</v>
      </c>
      <c r="T42">
        <v>18.692012786865199</v>
      </c>
      <c r="U42">
        <v>18.163091659545898</v>
      </c>
      <c r="V42">
        <v>16.893264770507798</v>
      </c>
      <c r="W42">
        <v>16.6816596984863</v>
      </c>
      <c r="X42">
        <v>15.696400642395</v>
      </c>
      <c r="Y42">
        <v>16.727983474731399</v>
      </c>
      <c r="Z42">
        <v>307.08213901519758</v>
      </c>
    </row>
    <row r="43" spans="1:26" x14ac:dyDescent="0.25">
      <c r="A43" t="s">
        <v>32</v>
      </c>
      <c r="B43">
        <v>13.124534606933601</v>
      </c>
      <c r="C43">
        <v>13.4195232391357</v>
      </c>
      <c r="D43">
        <v>13.5851888656616</v>
      </c>
      <c r="E43">
        <v>13.361885070800801</v>
      </c>
      <c r="F43">
        <v>13.000384330749499</v>
      </c>
      <c r="G43">
        <v>13.739021301269499</v>
      </c>
      <c r="H43">
        <v>13.3620262145996</v>
      </c>
      <c r="I43">
        <v>13.2720899581909</v>
      </c>
      <c r="J43">
        <v>12.760693550109901</v>
      </c>
      <c r="K43">
        <v>12.0212306976318</v>
      </c>
      <c r="L43">
        <v>12.081535339355501</v>
      </c>
      <c r="M43">
        <v>12.310503959655801</v>
      </c>
      <c r="N43">
        <v>12.484474182128899</v>
      </c>
      <c r="O43">
        <v>12.3380889892578</v>
      </c>
      <c r="P43">
        <v>12.390227317810099</v>
      </c>
      <c r="Q43">
        <v>12.6554670333862</v>
      </c>
      <c r="R43">
        <v>12.0719213485718</v>
      </c>
      <c r="S43">
        <v>11.868741035461399</v>
      </c>
      <c r="T43">
        <v>12.027419090271</v>
      </c>
      <c r="U43">
        <v>11.987805366516101</v>
      </c>
      <c r="V43">
        <v>10.6044521331787</v>
      </c>
      <c r="W43">
        <v>11.169273376464799</v>
      </c>
      <c r="Z43">
        <v>275.636487007141</v>
      </c>
    </row>
    <row r="44" spans="1:26" x14ac:dyDescent="0.25">
      <c r="A44" t="s">
        <v>29</v>
      </c>
      <c r="B44">
        <v>14.910840988159199</v>
      </c>
      <c r="C44">
        <v>14.6478080749512</v>
      </c>
      <c r="D44">
        <v>15.0870504379272</v>
      </c>
      <c r="E44">
        <v>14.3763580322266</v>
      </c>
      <c r="F44">
        <v>14.369065284729</v>
      </c>
      <c r="G44">
        <v>14.293439865112299</v>
      </c>
      <c r="H44">
        <v>14.153261184692401</v>
      </c>
      <c r="I44">
        <v>13.308819770813001</v>
      </c>
      <c r="J44">
        <v>13.272910118103001</v>
      </c>
      <c r="K44">
        <v>13.020256996154799</v>
      </c>
      <c r="L44">
        <v>12.972752571106</v>
      </c>
      <c r="M44">
        <v>12.2480764389038</v>
      </c>
      <c r="N44">
        <v>11.0157775878906</v>
      </c>
      <c r="O44">
        <v>10.974002838134799</v>
      </c>
      <c r="P44">
        <v>10.273159980773899</v>
      </c>
      <c r="Q44">
        <v>10.543515205383301</v>
      </c>
      <c r="R44">
        <v>10.646930694580099</v>
      </c>
      <c r="S44">
        <v>10.1069326400757</v>
      </c>
      <c r="T44">
        <v>10.2643232345581</v>
      </c>
      <c r="U44">
        <v>10.529254913330099</v>
      </c>
      <c r="V44">
        <v>9.6072139739990199</v>
      </c>
      <c r="W44">
        <v>9.7091884613037092</v>
      </c>
      <c r="Z44">
        <v>270.33093929290789</v>
      </c>
    </row>
    <row r="45" spans="1:26" x14ac:dyDescent="0.25">
      <c r="A45" t="s">
        <v>31</v>
      </c>
      <c r="B45">
        <v>8.1399869918823207</v>
      </c>
      <c r="C45">
        <v>10.622636795043899</v>
      </c>
      <c r="D45">
        <v>11.4455919265747</v>
      </c>
      <c r="E45">
        <v>10.627727508544901</v>
      </c>
      <c r="F45">
        <v>10.7533826828003</v>
      </c>
      <c r="G45">
        <v>10.8933877944946</v>
      </c>
      <c r="H45">
        <v>11.616482734680201</v>
      </c>
      <c r="I45">
        <v>10.272676467895501</v>
      </c>
      <c r="J45">
        <v>11.3391313552856</v>
      </c>
      <c r="K45">
        <v>9.5693273544311506</v>
      </c>
      <c r="L45">
        <v>8.2358341217040998</v>
      </c>
      <c r="M45">
        <v>10.309374809265099</v>
      </c>
      <c r="N45">
        <v>7.88751125335693</v>
      </c>
      <c r="O45">
        <v>7.8434419631957999</v>
      </c>
      <c r="P45">
        <v>8.4298048019409197</v>
      </c>
      <c r="Q45">
        <v>8.5012722015380895</v>
      </c>
      <c r="R45">
        <v>9.5960912704467791</v>
      </c>
      <c r="S45">
        <v>8.5061874389648402</v>
      </c>
      <c r="T45">
        <v>9.0986356735229492</v>
      </c>
      <c r="U45">
        <v>10.0885829925537</v>
      </c>
      <c r="V45">
        <v>8.8029041290283203</v>
      </c>
      <c r="W45">
        <v>8.1368007659912092</v>
      </c>
      <c r="Z45">
        <v>210.71677303314192</v>
      </c>
    </row>
    <row r="46" spans="1:26" x14ac:dyDescent="0.25">
      <c r="A46" t="s">
        <v>33</v>
      </c>
      <c r="B46">
        <v>8.3643121719360405</v>
      </c>
      <c r="C46">
        <v>8.0711946487426793</v>
      </c>
      <c r="D46">
        <v>8.7249307632446307</v>
      </c>
      <c r="E46">
        <v>9.4950771331787092</v>
      </c>
      <c r="F46">
        <v>10.1645860671997</v>
      </c>
      <c r="G46">
        <v>11.221515655517599</v>
      </c>
      <c r="H46">
        <v>12.1500587463379</v>
      </c>
      <c r="J46">
        <v>9.3138132095336896</v>
      </c>
      <c r="K46">
        <v>10.0264291763306</v>
      </c>
      <c r="L46">
        <v>9.7716655731201207</v>
      </c>
      <c r="M46">
        <v>9.6311569213867205</v>
      </c>
      <c r="N46">
        <v>9.5043230056762695</v>
      </c>
      <c r="O46">
        <v>10.0020542144775</v>
      </c>
      <c r="P46">
        <v>9.1654138565063494</v>
      </c>
      <c r="Q46">
        <v>2.1959972381591801</v>
      </c>
      <c r="R46">
        <v>9.5941448211669904</v>
      </c>
      <c r="S46">
        <v>9.5012483596801793</v>
      </c>
      <c r="T46">
        <v>10.0498723983765</v>
      </c>
      <c r="U46">
        <v>9.2856969833374006</v>
      </c>
      <c r="V46">
        <v>8.9350471496581996</v>
      </c>
      <c r="Z46">
        <v>185.16853809356695</v>
      </c>
    </row>
    <row r="47" spans="1:26" x14ac:dyDescent="0.25">
      <c r="A47" t="s">
        <v>23</v>
      </c>
      <c r="B47">
        <v>21.0251979827881</v>
      </c>
      <c r="C47">
        <v>19.440750122070298</v>
      </c>
      <c r="D47">
        <v>23.375139236450199</v>
      </c>
      <c r="E47">
        <v>21.9349460601807</v>
      </c>
      <c r="F47">
        <v>21.597557067871101</v>
      </c>
      <c r="G47">
        <v>21.612220764160199</v>
      </c>
      <c r="H47">
        <v>19.936059951782202</v>
      </c>
      <c r="I47">
        <v>20.816514968872099</v>
      </c>
      <c r="J47">
        <v>18.648576736450199</v>
      </c>
      <c r="K47">
        <v>18.332271575927699</v>
      </c>
      <c r="L47">
        <v>21.020631790161101</v>
      </c>
      <c r="M47">
        <v>20.837329864501999</v>
      </c>
      <c r="N47">
        <v>21.334815979003899</v>
      </c>
      <c r="O47">
        <v>21.958763122558601</v>
      </c>
      <c r="P47">
        <v>19.961776733398398</v>
      </c>
      <c r="Q47">
        <v>16.3894443511963</v>
      </c>
      <c r="R47">
        <v>17.650146484375</v>
      </c>
      <c r="S47">
        <v>17.263961791992202</v>
      </c>
      <c r="T47">
        <v>16.086410522460898</v>
      </c>
      <c r="U47">
        <v>16.479852676391602</v>
      </c>
      <c r="V47">
        <v>11.215181350708001</v>
      </c>
      <c r="W47">
        <v>13.0648202896118</v>
      </c>
      <c r="X47">
        <v>10.073259353637701</v>
      </c>
      <c r="Z47">
        <v>430.05562877655024</v>
      </c>
    </row>
    <row r="48" spans="1:26" x14ac:dyDescent="0.25">
      <c r="A48" t="s">
        <v>24</v>
      </c>
      <c r="B48">
        <v>7.1007533073425302</v>
      </c>
      <c r="C48">
        <v>7.9584918022155797</v>
      </c>
      <c r="D48">
        <v>7.6045336723327601</v>
      </c>
      <c r="E48">
        <v>10.818713188171399</v>
      </c>
      <c r="F48">
        <v>9.9344434738159197</v>
      </c>
      <c r="G48">
        <v>9.7788276672363299</v>
      </c>
      <c r="H48">
        <v>10.041104316711399</v>
      </c>
      <c r="I48">
        <v>10.033749580383301</v>
      </c>
      <c r="J48">
        <v>9.9616641998290998</v>
      </c>
      <c r="K48">
        <v>10.0805253982544</v>
      </c>
      <c r="L48">
        <v>10.7363271713257</v>
      </c>
      <c r="M48">
        <v>10.3220014572144</v>
      </c>
      <c r="N48">
        <v>9.7705459594726598</v>
      </c>
      <c r="O48">
        <v>9.7138757705688494</v>
      </c>
      <c r="P48">
        <v>9.3317737579345703</v>
      </c>
      <c r="Q48">
        <v>9.1263055801391602</v>
      </c>
      <c r="R48">
        <v>9.0546216964721697</v>
      </c>
      <c r="S48">
        <v>9.8207836151122994</v>
      </c>
      <c r="T48">
        <v>9.8833274841308594</v>
      </c>
      <c r="U48">
        <v>10.470991134643601</v>
      </c>
      <c r="V48">
        <v>9.9396133422851598</v>
      </c>
      <c r="W48">
        <v>9.3523797988891602</v>
      </c>
      <c r="Z48">
        <v>210.83535337448131</v>
      </c>
    </row>
    <row r="49" spans="1:26" x14ac:dyDescent="0.25">
      <c r="A49" t="s">
        <v>25</v>
      </c>
      <c r="B49">
        <v>12.897157669067401</v>
      </c>
      <c r="C49">
        <v>13.144732475280801</v>
      </c>
      <c r="D49">
        <v>13.588250160217299</v>
      </c>
      <c r="E49">
        <v>13.3926591873169</v>
      </c>
      <c r="F49">
        <v>13.6627960205078</v>
      </c>
      <c r="G49">
        <v>14.0315799713135</v>
      </c>
      <c r="H49">
        <v>13.940541267395</v>
      </c>
      <c r="I49">
        <v>13.5291805267334</v>
      </c>
      <c r="J49">
        <v>13.404333114624</v>
      </c>
      <c r="K49">
        <v>13.4246673583984</v>
      </c>
      <c r="L49">
        <v>12.888750076293899</v>
      </c>
      <c r="M49">
        <v>12.564806938171399</v>
      </c>
      <c r="N49">
        <v>12.935122489929199</v>
      </c>
      <c r="O49">
        <v>10.6639356613159</v>
      </c>
      <c r="P49">
        <v>11.7385368347168</v>
      </c>
      <c r="Q49">
        <v>11.459012031555201</v>
      </c>
      <c r="R49">
        <v>11.998925209045399</v>
      </c>
      <c r="S49">
        <v>12.334150314331101</v>
      </c>
      <c r="T49">
        <v>12.371244430541999</v>
      </c>
      <c r="U49">
        <v>12.571479797363301</v>
      </c>
      <c r="V49">
        <v>11.125628471374499</v>
      </c>
      <c r="W49">
        <v>11.501742362976101</v>
      </c>
      <c r="Z49">
        <v>279.1692323684693</v>
      </c>
    </row>
    <row r="50" spans="1:26" x14ac:dyDescent="0.25">
      <c r="A50" t="s">
        <v>21</v>
      </c>
      <c r="B50">
        <v>10.5237493515015</v>
      </c>
      <c r="C50">
        <v>10.4827470779419</v>
      </c>
      <c r="D50">
        <v>10.5665941238403</v>
      </c>
      <c r="E50">
        <v>10.5926456451416</v>
      </c>
      <c r="F50">
        <v>10.628664970397899</v>
      </c>
      <c r="G50">
        <v>10.405225753784199</v>
      </c>
      <c r="H50">
        <v>10.437034606933601</v>
      </c>
      <c r="I50">
        <v>10.3825521469116</v>
      </c>
      <c r="J50">
        <v>10.359805107116699</v>
      </c>
      <c r="K50">
        <v>10.177654266357401</v>
      </c>
      <c r="L50">
        <v>9.9380931854247994</v>
      </c>
      <c r="M50">
        <v>9.6976537704467791</v>
      </c>
      <c r="N50">
        <v>8.5584030151367205</v>
      </c>
      <c r="O50">
        <v>8.9751205444335902</v>
      </c>
      <c r="P50">
        <v>9.1732826232910192</v>
      </c>
      <c r="Q50">
        <v>9.4144573211669904</v>
      </c>
      <c r="R50">
        <v>9.6604299545288104</v>
      </c>
      <c r="S50">
        <v>9.7541475296020508</v>
      </c>
      <c r="T50">
        <v>9.5720233917236293</v>
      </c>
      <c r="U50">
        <v>9.5769405364990199</v>
      </c>
      <c r="V50">
        <v>9.0220613479614293</v>
      </c>
      <c r="W50">
        <v>9.2008275985717791</v>
      </c>
      <c r="X50">
        <v>9.2489337921142596</v>
      </c>
      <c r="Z50">
        <v>226.34904766082758</v>
      </c>
    </row>
    <row r="51" spans="1:26" x14ac:dyDescent="0.25">
      <c r="A51" t="s">
        <v>20</v>
      </c>
      <c r="B51">
        <v>12.0698051452637</v>
      </c>
      <c r="C51">
        <v>12.8003377914429</v>
      </c>
      <c r="D51">
        <v>12.764432907104499</v>
      </c>
      <c r="E51">
        <v>12.5808153152466</v>
      </c>
      <c r="F51">
        <v>12.6398839950562</v>
      </c>
      <c r="G51">
        <v>12.6949138641357</v>
      </c>
      <c r="H51">
        <v>12.765959739685099</v>
      </c>
      <c r="I51">
        <v>12.693743705749499</v>
      </c>
      <c r="J51">
        <v>12.793719291686999</v>
      </c>
      <c r="K51">
        <v>12.8022012710571</v>
      </c>
      <c r="L51">
        <v>12.724107742309601</v>
      </c>
      <c r="M51">
        <v>12.723208427429199</v>
      </c>
      <c r="N51">
        <v>12.6309471130371</v>
      </c>
      <c r="O51">
        <v>12.542096138000501</v>
      </c>
      <c r="P51">
        <v>12.8345699310303</v>
      </c>
      <c r="Q51">
        <v>13.0132026672363</v>
      </c>
      <c r="R51">
        <v>13.333045005798301</v>
      </c>
      <c r="S51">
        <v>13.6095180511475</v>
      </c>
      <c r="T51">
        <v>13.821062088012701</v>
      </c>
      <c r="U51">
        <v>14.075319290161101</v>
      </c>
      <c r="V51">
        <v>13.4383907318115</v>
      </c>
      <c r="W51">
        <v>13.531939506530801</v>
      </c>
      <c r="Z51">
        <v>284.88321971893322</v>
      </c>
    </row>
    <row r="52" spans="1:26" x14ac:dyDescent="0.25">
      <c r="A52" t="s">
        <v>22</v>
      </c>
      <c r="B52">
        <v>14.0967302322388</v>
      </c>
      <c r="C52">
        <v>14.798916816711399</v>
      </c>
      <c r="D52">
        <v>14.686710357666</v>
      </c>
      <c r="E52">
        <v>15.3090171813965</v>
      </c>
      <c r="F52">
        <v>15.1373510360718</v>
      </c>
      <c r="G52">
        <v>15.1917314529419</v>
      </c>
      <c r="H52">
        <v>15.4210720062256</v>
      </c>
      <c r="I52">
        <v>15.234768867492701</v>
      </c>
      <c r="J52">
        <v>15.2296237945557</v>
      </c>
      <c r="K52">
        <v>15.288734436035201</v>
      </c>
      <c r="L52">
        <v>15.1756076812744</v>
      </c>
      <c r="M52">
        <v>15.3431043624878</v>
      </c>
      <c r="N52">
        <v>15.3788661956787</v>
      </c>
      <c r="O52">
        <v>15.0640153884888</v>
      </c>
      <c r="P52">
        <v>15.2539520263672</v>
      </c>
      <c r="Q52">
        <v>15.384970664978001</v>
      </c>
      <c r="R52">
        <v>15.357821464538601</v>
      </c>
      <c r="S52">
        <v>15.359375</v>
      </c>
      <c r="T52">
        <v>15.4628915786743</v>
      </c>
      <c r="U52">
        <v>15.6454629898071</v>
      </c>
      <c r="V52">
        <v>14.2427225112915</v>
      </c>
      <c r="W52">
        <v>14.5807075500488</v>
      </c>
      <c r="X52">
        <v>15.4052076339722</v>
      </c>
      <c r="Z52">
        <v>348.04936122894304</v>
      </c>
    </row>
    <row r="53" spans="1:26" x14ac:dyDescent="0.25">
      <c r="A53" t="s">
        <v>18</v>
      </c>
      <c r="O53">
        <v>17.073959350585898</v>
      </c>
      <c r="P53">
        <v>16.899375915527301</v>
      </c>
      <c r="Q53">
        <v>17.057792663574201</v>
      </c>
      <c r="R53">
        <v>17.313899993896499</v>
      </c>
      <c r="S53">
        <v>15.859331130981399</v>
      </c>
      <c r="T53">
        <v>14.529060363769499</v>
      </c>
      <c r="U53">
        <v>14.4990835189819</v>
      </c>
      <c r="V53">
        <v>12.2840824127197</v>
      </c>
      <c r="W53">
        <v>11.8762474060059</v>
      </c>
      <c r="X53">
        <v>11.1855068206787</v>
      </c>
      <c r="Z53">
        <v>148.57833957672102</v>
      </c>
    </row>
    <row r="54" spans="1:26" x14ac:dyDescent="0.25">
      <c r="A54" t="s">
        <v>19</v>
      </c>
      <c r="J54">
        <v>9.7368345260620099</v>
      </c>
      <c r="K54">
        <v>9.7282762527465803</v>
      </c>
      <c r="L54">
        <v>10.588183403015099</v>
      </c>
      <c r="M54">
        <v>11.372520446777299</v>
      </c>
      <c r="N54">
        <v>12.135881423950201</v>
      </c>
      <c r="O54">
        <v>10.9222631454468</v>
      </c>
      <c r="P54">
        <v>11.814083099365201</v>
      </c>
      <c r="Q54">
        <v>11.8485431671143</v>
      </c>
      <c r="R54">
        <v>11.407426834106399</v>
      </c>
      <c r="S54">
        <v>10.809206008911101</v>
      </c>
      <c r="T54">
        <v>10.742770195007299</v>
      </c>
      <c r="U54">
        <v>11.1729640960693</v>
      </c>
      <c r="V54">
        <v>9.3112335205078107</v>
      </c>
      <c r="W54">
        <v>8.8098449707031197</v>
      </c>
      <c r="X54">
        <v>8.7788114547729492</v>
      </c>
      <c r="Z54">
        <v>159.17884254455549</v>
      </c>
    </row>
    <row r="55" spans="1:26" x14ac:dyDescent="0.25">
      <c r="A55" t="s">
        <v>14</v>
      </c>
      <c r="B55">
        <v>13.2567586898804</v>
      </c>
      <c r="C55">
        <v>13.613959312439</v>
      </c>
      <c r="D55">
        <v>14.7339725494385</v>
      </c>
      <c r="E55">
        <v>14.477489471435501</v>
      </c>
      <c r="F55">
        <v>13.8854837417603</v>
      </c>
      <c r="G55">
        <v>13.3772115707397</v>
      </c>
      <c r="H55">
        <v>13.7595329284668</v>
      </c>
      <c r="I55">
        <v>13.7904605865479</v>
      </c>
      <c r="J55">
        <v>13.030921936035201</v>
      </c>
      <c r="K55">
        <v>13.1349544525146</v>
      </c>
      <c r="L55">
        <v>13.2197780609131</v>
      </c>
      <c r="M55">
        <v>12.7005062103271</v>
      </c>
      <c r="N55">
        <v>12.249860763549799</v>
      </c>
      <c r="O55">
        <v>12.094999313354499</v>
      </c>
      <c r="P55">
        <v>12.3320922851562</v>
      </c>
      <c r="Q55">
        <v>12.2591743469238</v>
      </c>
      <c r="R55">
        <v>12.210995674133301</v>
      </c>
      <c r="S55">
        <v>12.2464151382446</v>
      </c>
      <c r="T55">
        <v>12.080590248107899</v>
      </c>
      <c r="U55">
        <v>11.9921426773071</v>
      </c>
      <c r="V55">
        <v>10.440752983093301</v>
      </c>
      <c r="W55">
        <v>11.054573059081999</v>
      </c>
      <c r="X55">
        <v>10.643750190734901</v>
      </c>
      <c r="Z55">
        <v>292.58637619018549</v>
      </c>
    </row>
    <row r="56" spans="1:26" x14ac:dyDescent="0.25">
      <c r="A56" t="s">
        <v>15</v>
      </c>
      <c r="B56">
        <v>17.988155364990199</v>
      </c>
      <c r="C56">
        <v>17.689609527587901</v>
      </c>
      <c r="D56">
        <v>17.3132019042969</v>
      </c>
      <c r="E56">
        <v>16.981616973876999</v>
      </c>
      <c r="F56">
        <v>16.961956024169901</v>
      </c>
      <c r="G56">
        <v>16.698810577392599</v>
      </c>
      <c r="H56">
        <v>16.8092250823975</v>
      </c>
      <c r="I56">
        <v>16.705812454223601</v>
      </c>
      <c r="J56">
        <v>16.2201328277588</v>
      </c>
      <c r="K56">
        <v>15.601061820983899</v>
      </c>
      <c r="L56">
        <v>15.5616855621338</v>
      </c>
      <c r="M56">
        <v>15.5074806213379</v>
      </c>
      <c r="N56">
        <v>15.5992212295532</v>
      </c>
      <c r="O56">
        <v>16.0246276855469</v>
      </c>
      <c r="P56">
        <v>16.004613876342798</v>
      </c>
      <c r="Q56">
        <v>16.052463531494102</v>
      </c>
      <c r="R56">
        <v>15.9738168716431</v>
      </c>
      <c r="S56">
        <v>15.900825500488301</v>
      </c>
      <c r="T56">
        <v>15.7807312011719</v>
      </c>
      <c r="U56">
        <v>15.517133712768601</v>
      </c>
      <c r="V56">
        <v>12.6542158126831</v>
      </c>
      <c r="Z56">
        <v>339.54639816284197</v>
      </c>
    </row>
    <row r="57" spans="1:26" x14ac:dyDescent="0.25">
      <c r="A57" t="s">
        <v>9</v>
      </c>
      <c r="B57">
        <v>8.3591699600219709</v>
      </c>
      <c r="C57">
        <v>9.2296304702758807</v>
      </c>
      <c r="D57">
        <v>7.7126598358154297</v>
      </c>
      <c r="E57">
        <v>6.8362698554992702</v>
      </c>
      <c r="F57">
        <v>8.6092395782470703</v>
      </c>
      <c r="G57">
        <v>9.4709701538085902</v>
      </c>
      <c r="H57">
        <v>9.8412103652954102</v>
      </c>
      <c r="M57">
        <v>15.162549972534199</v>
      </c>
      <c r="O57">
        <v>14.370470046997101</v>
      </c>
      <c r="P57">
        <v>14.4442701339722</v>
      </c>
      <c r="Q57">
        <v>14.7243003845215</v>
      </c>
      <c r="R57">
        <v>14.7101402282715</v>
      </c>
      <c r="S57">
        <v>14.8612604141235</v>
      </c>
      <c r="T57">
        <v>15.1831197738647</v>
      </c>
      <c r="U57">
        <v>15.188540458679199</v>
      </c>
      <c r="V57">
        <v>13.8813695907593</v>
      </c>
      <c r="W57">
        <v>14.7776203155518</v>
      </c>
      <c r="X57">
        <v>14.930700302124</v>
      </c>
      <c r="Y57">
        <v>15.4337558746338</v>
      </c>
      <c r="Z57">
        <v>237.72724771499642</v>
      </c>
    </row>
    <row r="58" spans="1:26" x14ac:dyDescent="0.25">
      <c r="A58" t="s">
        <v>16</v>
      </c>
      <c r="Y58">
        <v>9.2399995774030703E-3</v>
      </c>
      <c r="Z58">
        <v>9.2399995774030703E-3</v>
      </c>
    </row>
    <row r="59" spans="1:26" x14ac:dyDescent="0.25">
      <c r="A59" t="s">
        <v>17</v>
      </c>
      <c r="J59">
        <v>18.0012397766113</v>
      </c>
      <c r="K59">
        <v>15.1887102127075</v>
      </c>
      <c r="L59">
        <v>17.056669235229499</v>
      </c>
      <c r="M59">
        <v>17.8112697601318</v>
      </c>
      <c r="N59">
        <v>18.784990310668899</v>
      </c>
      <c r="O59">
        <v>18.515510559081999</v>
      </c>
      <c r="P59">
        <v>16.812290191650401</v>
      </c>
      <c r="Q59">
        <v>15.0167531967163</v>
      </c>
      <c r="R59">
        <v>15.130211830139199</v>
      </c>
      <c r="S59">
        <v>15.474296569824199</v>
      </c>
      <c r="T59">
        <v>15.356738090515099</v>
      </c>
      <c r="U59">
        <v>15.571949005126999</v>
      </c>
      <c r="V59">
        <v>14.471880912780801</v>
      </c>
      <c r="W59">
        <v>14.817486763000501</v>
      </c>
      <c r="X59">
        <v>15.449344635009799</v>
      </c>
      <c r="Z59">
        <v>243.45934104919428</v>
      </c>
    </row>
    <row r="60" spans="1:26" x14ac:dyDescent="0.25">
      <c r="A60" t="s">
        <v>72</v>
      </c>
      <c r="B60">
        <v>557.53392171859764</v>
      </c>
      <c r="C60">
        <v>540.32139444351196</v>
      </c>
      <c r="D60">
        <v>585.96302461624111</v>
      </c>
      <c r="E60">
        <v>593.22899866104115</v>
      </c>
      <c r="F60">
        <v>595.90744876861572</v>
      </c>
      <c r="G60">
        <v>571.06787967681885</v>
      </c>
      <c r="H60">
        <v>608.66781520843483</v>
      </c>
      <c r="I60">
        <v>567.25016736984253</v>
      </c>
      <c r="J60">
        <v>620.81242084503151</v>
      </c>
      <c r="K60">
        <v>665.03493404388405</v>
      </c>
      <c r="L60">
        <v>659.60519218444824</v>
      </c>
      <c r="M60">
        <v>678.26745128631592</v>
      </c>
      <c r="N60">
        <v>656.27777194976807</v>
      </c>
      <c r="O60">
        <v>700.08145236969017</v>
      </c>
      <c r="P60">
        <v>722.45929813384987</v>
      </c>
      <c r="Q60">
        <v>710.90972566604626</v>
      </c>
      <c r="R60">
        <v>714.38306140899635</v>
      </c>
      <c r="S60">
        <v>716.06844043731701</v>
      </c>
      <c r="T60">
        <v>707.82716178894054</v>
      </c>
      <c r="U60">
        <v>712.65370368957531</v>
      </c>
      <c r="V60">
        <v>665.53371906280506</v>
      </c>
      <c r="W60">
        <v>650.83207368850697</v>
      </c>
      <c r="X60">
        <v>366.13357496261631</v>
      </c>
      <c r="Y60">
        <v>77.868549196049599</v>
      </c>
      <c r="Z60">
        <v>14644.689181176946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2DC8A-EFE3-46F8-9EAC-6399D4775212}">
  <sheetPr>
    <tabColor rgb="FF00B050"/>
  </sheetPr>
  <dimension ref="A1:Z63"/>
  <sheetViews>
    <sheetView zoomScale="160" zoomScaleNormal="160" workbookViewId="0">
      <selection activeCell="A20" sqref="A20"/>
    </sheetView>
  </sheetViews>
  <sheetFormatPr baseColWidth="10" defaultRowHeight="15" x14ac:dyDescent="0.25"/>
  <sheetData>
    <row r="1" spans="1:26" x14ac:dyDescent="0.25">
      <c r="A1" t="s">
        <v>8</v>
      </c>
      <c r="B1" t="s">
        <v>1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0.438840001821518</v>
      </c>
      <c r="C5">
        <v>0.42460998892784102</v>
      </c>
      <c r="D5">
        <v>0.38885998725891102</v>
      </c>
      <c r="E5">
        <v>0.410129994153976</v>
      </c>
      <c r="F5">
        <v>0.403759986162186</v>
      </c>
      <c r="G5">
        <v>0.42074000835418701</v>
      </c>
      <c r="H5">
        <v>0.45216000080108598</v>
      </c>
      <c r="I5">
        <v>0.46007001399993902</v>
      </c>
      <c r="J5">
        <v>0.47055000066757202</v>
      </c>
      <c r="K5">
        <v>0.58398002386093095</v>
      </c>
      <c r="L5">
        <v>0.56103998422622703</v>
      </c>
      <c r="M5">
        <v>0.56597000360488903</v>
      </c>
      <c r="N5">
        <v>0.634909987449646</v>
      </c>
      <c r="O5">
        <v>0.61848998069763195</v>
      </c>
      <c r="P5">
        <v>0.59395998716354403</v>
      </c>
      <c r="Q5">
        <v>0.62261998653411899</v>
      </c>
      <c r="R5">
        <v>0.55814999341964699</v>
      </c>
      <c r="S5">
        <v>0.55630999803543102</v>
      </c>
      <c r="T5">
        <v>0.48829999566078203</v>
      </c>
      <c r="U5">
        <v>0.478130012750626</v>
      </c>
      <c r="V5">
        <v>0.54126000404357899</v>
      </c>
      <c r="W5">
        <v>0.52215999364852905</v>
      </c>
      <c r="X5">
        <v>0.54947000741958596</v>
      </c>
      <c r="Z5">
        <v>11.744469940662382</v>
      </c>
    </row>
    <row r="6" spans="1:26" x14ac:dyDescent="0.25">
      <c r="A6" t="s">
        <v>69</v>
      </c>
      <c r="B6">
        <v>1.5719799995422401</v>
      </c>
      <c r="D6">
        <v>1.7465399503707899</v>
      </c>
      <c r="F6">
        <v>1.8480199575424201</v>
      </c>
      <c r="H6">
        <v>2.1786201000213601</v>
      </c>
      <c r="J6">
        <v>2.3989799022674601</v>
      </c>
      <c r="L6">
        <v>2.3700900077819802</v>
      </c>
      <c r="M6">
        <v>2.2344501018524201</v>
      </c>
      <c r="O6">
        <v>2.1770899295806898</v>
      </c>
      <c r="Q6">
        <v>1.9190200567245499</v>
      </c>
      <c r="S6">
        <v>1.87918996810913</v>
      </c>
      <c r="U6">
        <v>1.82570004463196</v>
      </c>
      <c r="W6">
        <v>1.8550900220871001</v>
      </c>
      <c r="Z6">
        <v>24.004770040512103</v>
      </c>
    </row>
    <row r="7" spans="1:26" x14ac:dyDescent="0.25">
      <c r="A7" t="s">
        <v>70</v>
      </c>
      <c r="B7">
        <v>1.88601994514465</v>
      </c>
      <c r="C7">
        <v>1.9921000003814699</v>
      </c>
      <c r="D7">
        <v>2.06597995758057</v>
      </c>
      <c r="E7">
        <v>2.17456007003784</v>
      </c>
      <c r="F7">
        <v>2.16612005233765</v>
      </c>
      <c r="G7">
        <v>2.37323999404907</v>
      </c>
      <c r="H7">
        <v>2.3592300415039098</v>
      </c>
      <c r="I7">
        <v>2.4184300899505602</v>
      </c>
      <c r="J7">
        <v>2.5694499015808101</v>
      </c>
      <c r="K7">
        <v>2.59674000740051</v>
      </c>
      <c r="L7">
        <v>2.7260999679565399</v>
      </c>
      <c r="M7">
        <v>2.66867995262146</v>
      </c>
      <c r="N7">
        <v>2.9147200584411599</v>
      </c>
      <c r="O7">
        <v>2.9549200534820601</v>
      </c>
      <c r="P7">
        <v>3.08429002761841</v>
      </c>
      <c r="Q7">
        <v>3.0496900081634499</v>
      </c>
      <c r="R7">
        <v>3.1165499687194802</v>
      </c>
      <c r="S7">
        <v>3.0565600395202601</v>
      </c>
      <c r="T7">
        <v>3.0918200016021702</v>
      </c>
      <c r="U7">
        <v>3.1326498985290501</v>
      </c>
      <c r="V7">
        <v>3.20278000831604</v>
      </c>
      <c r="W7">
        <v>3.26360988616943</v>
      </c>
      <c r="X7">
        <v>3.2004799842834499</v>
      </c>
      <c r="Z7">
        <v>62.064719915390015</v>
      </c>
    </row>
    <row r="8" spans="1:26" x14ac:dyDescent="0.25">
      <c r="A8" t="s">
        <v>67</v>
      </c>
      <c r="B8">
        <v>1.9362000226974501</v>
      </c>
      <c r="C8">
        <v>2.0327899456024201</v>
      </c>
      <c r="D8">
        <v>1.9032499790191699</v>
      </c>
      <c r="E8">
        <v>1.8411899805069001</v>
      </c>
      <c r="F8">
        <v>1.82050001621246</v>
      </c>
      <c r="G8">
        <v>1.79060995578766</v>
      </c>
      <c r="H8">
        <v>1.8226900100707999</v>
      </c>
      <c r="I8">
        <v>1.8499900102615401</v>
      </c>
      <c r="J8">
        <v>1.93684005737305</v>
      </c>
      <c r="K8">
        <v>1.9986000061035201</v>
      </c>
      <c r="L8">
        <v>2.0618801116943399</v>
      </c>
      <c r="M8">
        <v>2.1733200550079301</v>
      </c>
      <c r="N8">
        <v>2.2811400890350302</v>
      </c>
      <c r="O8">
        <v>2.3307299613952601</v>
      </c>
      <c r="P8">
        <v>2.3700199127197301</v>
      </c>
      <c r="Q8">
        <v>2.4281699657440199</v>
      </c>
      <c r="R8">
        <v>2.5233800411224401</v>
      </c>
      <c r="S8">
        <v>2.6666600704193102</v>
      </c>
      <c r="T8">
        <v>2.86017990112305</v>
      </c>
      <c r="U8">
        <v>3.1565999984741202</v>
      </c>
      <c r="V8">
        <v>3.3917500972747798</v>
      </c>
      <c r="W8">
        <v>3.3923900127410902</v>
      </c>
      <c r="X8">
        <v>3.4054400920867902</v>
      </c>
      <c r="Z8">
        <v>53.974320292472868</v>
      </c>
    </row>
    <row r="9" spans="1:26" x14ac:dyDescent="0.25">
      <c r="A9" t="s">
        <v>62</v>
      </c>
      <c r="B9">
        <v>1.0475100278854399</v>
      </c>
      <c r="C9">
        <v>1.0619800090789799</v>
      </c>
      <c r="D9">
        <v>1.0096800327301001</v>
      </c>
      <c r="E9">
        <v>0.99939000606536899</v>
      </c>
      <c r="F9">
        <v>0.96342998743057295</v>
      </c>
      <c r="G9">
        <v>1.0024600028991699</v>
      </c>
      <c r="H9">
        <v>0.98807001113891602</v>
      </c>
      <c r="I9">
        <v>1.0813800096511801</v>
      </c>
      <c r="J9">
        <v>1.12904000282288</v>
      </c>
      <c r="K9">
        <v>1.1186599731445299</v>
      </c>
      <c r="L9">
        <v>1.1599199771881099</v>
      </c>
      <c r="M9">
        <v>1.13966000080109</v>
      </c>
      <c r="N9">
        <v>1.1268399953842201</v>
      </c>
      <c r="O9">
        <v>1.1956700086593599</v>
      </c>
      <c r="P9">
        <v>1.26970994472504</v>
      </c>
      <c r="Q9">
        <v>1.3709299564361599</v>
      </c>
      <c r="R9">
        <v>1.2863700389862101</v>
      </c>
      <c r="S9">
        <v>1.1174999475479099</v>
      </c>
      <c r="T9">
        <v>1.1676900386810301</v>
      </c>
      <c r="U9">
        <v>1.21096003055573</v>
      </c>
      <c r="V9">
        <v>1.1452599763870199</v>
      </c>
      <c r="Z9">
        <v>23.592109978199016</v>
      </c>
    </row>
    <row r="10" spans="1:26" x14ac:dyDescent="0.25">
      <c r="A10" t="s">
        <v>66</v>
      </c>
      <c r="B10">
        <v>0.495169997215271</v>
      </c>
      <c r="C10">
        <v>0.44708999991416898</v>
      </c>
      <c r="D10">
        <v>0.464729994535446</v>
      </c>
      <c r="E10">
        <v>0.47222000360488903</v>
      </c>
      <c r="F10">
        <v>0.47086000442504899</v>
      </c>
      <c r="G10">
        <v>0.44269001483917197</v>
      </c>
      <c r="H10">
        <v>0.44216001033782998</v>
      </c>
      <c r="I10">
        <v>0.43002998828887901</v>
      </c>
      <c r="J10">
        <v>0.447310000658035</v>
      </c>
      <c r="K10">
        <v>0.49338001012802102</v>
      </c>
      <c r="L10">
        <v>0.56299000978469804</v>
      </c>
      <c r="M10">
        <v>0.52950000762939498</v>
      </c>
      <c r="N10">
        <v>0.60039001703262296</v>
      </c>
      <c r="O10">
        <v>0.63423997163772605</v>
      </c>
      <c r="P10">
        <v>0.79006999731063798</v>
      </c>
      <c r="Q10">
        <v>0.94946998357772805</v>
      </c>
      <c r="R10">
        <v>0.77008998394012496</v>
      </c>
      <c r="S10">
        <v>0.74036997556686401</v>
      </c>
      <c r="T10">
        <v>0.75413000583648704</v>
      </c>
      <c r="U10">
        <v>0.83274000883102395</v>
      </c>
      <c r="V10">
        <v>0.84966999292373702</v>
      </c>
      <c r="W10">
        <v>0.772780001163483</v>
      </c>
      <c r="X10">
        <v>0.75420999526977495</v>
      </c>
      <c r="Z10">
        <v>14.146289974451063</v>
      </c>
    </row>
    <row r="11" spans="1:26" x14ac:dyDescent="0.25">
      <c r="A11" t="s">
        <v>64</v>
      </c>
      <c r="B11">
        <v>1.8584799766540501</v>
      </c>
      <c r="C11">
        <v>2.0211699008941699</v>
      </c>
      <c r="D11">
        <v>1.9717099666595499</v>
      </c>
      <c r="E11">
        <v>1.9678100347518901</v>
      </c>
      <c r="F11">
        <v>1.9973399639129601</v>
      </c>
      <c r="G11">
        <v>1.97126996517181</v>
      </c>
      <c r="H11">
        <v>1.9430400133132899</v>
      </c>
      <c r="I11">
        <v>1.90357995033264</v>
      </c>
      <c r="J11">
        <v>1.85578000545502</v>
      </c>
      <c r="K11">
        <v>1.9174200296402</v>
      </c>
      <c r="L11">
        <v>1.82503998279572</v>
      </c>
      <c r="M11">
        <v>1.7871400117874101</v>
      </c>
      <c r="N11">
        <v>1.7730400562286399</v>
      </c>
      <c r="O11">
        <v>1.7062400579452499</v>
      </c>
      <c r="P11">
        <v>1.7148300409317001</v>
      </c>
      <c r="Q11">
        <v>1.6935900449752801</v>
      </c>
      <c r="R11">
        <v>1.7290300130844101</v>
      </c>
      <c r="S11">
        <v>1.6870199441909799</v>
      </c>
      <c r="T11">
        <v>1.73720002174377</v>
      </c>
      <c r="U11">
        <v>1.7557799816131601</v>
      </c>
      <c r="V11">
        <v>1.9341399669647199</v>
      </c>
      <c r="W11">
        <v>1.8643100261688199</v>
      </c>
      <c r="X11">
        <v>1.7116600275039699</v>
      </c>
      <c r="Y11">
        <v>1.7013299465179399</v>
      </c>
      <c r="Z11">
        <v>44.027949929237352</v>
      </c>
    </row>
    <row r="12" spans="1:26" x14ac:dyDescent="0.25">
      <c r="A12" t="s">
        <v>63</v>
      </c>
      <c r="I12">
        <v>0.31143000721931502</v>
      </c>
      <c r="J12">
        <v>0.37492001056671098</v>
      </c>
      <c r="K12">
        <v>0.35403001308441201</v>
      </c>
      <c r="L12">
        <v>0.33164998888969399</v>
      </c>
      <c r="M12">
        <v>0.35288000106811501</v>
      </c>
      <c r="N12">
        <v>0.362129986286163</v>
      </c>
      <c r="O12">
        <v>0.39030000567436202</v>
      </c>
      <c r="P12">
        <v>0.37667998671531699</v>
      </c>
      <c r="Q12">
        <v>0.38295999169349698</v>
      </c>
      <c r="R12">
        <v>0.371030002832413</v>
      </c>
      <c r="S12">
        <v>0.35679000616073597</v>
      </c>
      <c r="T12">
        <v>0.369159996509552</v>
      </c>
      <c r="U12">
        <v>0.34242999553680398</v>
      </c>
      <c r="V12">
        <v>0.33524999022483798</v>
      </c>
      <c r="W12">
        <v>0.36041000485420199</v>
      </c>
      <c r="Z12">
        <v>5.3720499873161325</v>
      </c>
    </row>
    <row r="13" spans="1:26" x14ac:dyDescent="0.25">
      <c r="A13" t="s">
        <v>65</v>
      </c>
      <c r="B13">
        <v>0.89315998554229703</v>
      </c>
      <c r="C13">
        <v>0.94033002853393599</v>
      </c>
      <c r="D13">
        <v>1.0578600168228101</v>
      </c>
      <c r="E13">
        <v>1.1203700304031401</v>
      </c>
      <c r="F13">
        <v>1.2149800062179601</v>
      </c>
      <c r="G13">
        <v>1.3079199790954601</v>
      </c>
      <c r="H13">
        <v>1.3685400485992401</v>
      </c>
      <c r="I13">
        <v>1.37369000911713</v>
      </c>
      <c r="J13">
        <v>1.4459199905395499</v>
      </c>
      <c r="K13">
        <v>1.66480004787445</v>
      </c>
      <c r="L13">
        <v>1.7137199640273999</v>
      </c>
      <c r="M13">
        <v>1.78033995628357</v>
      </c>
      <c r="N13">
        <v>1.9121400117874101</v>
      </c>
      <c r="O13">
        <v>1.9978599548339799</v>
      </c>
      <c r="P13">
        <v>2.0224299430847199</v>
      </c>
      <c r="Q13">
        <v>2.0570099353790301</v>
      </c>
      <c r="R13">
        <v>2.10033011436462</v>
      </c>
      <c r="S13">
        <v>2.1160299777984601</v>
      </c>
      <c r="T13">
        <v>2.1405799388885498</v>
      </c>
      <c r="U13">
        <v>2.2446300983428999</v>
      </c>
      <c r="V13">
        <v>2.4066600799560498</v>
      </c>
      <c r="W13">
        <v>2.4326000213622998</v>
      </c>
      <c r="X13">
        <v>2.5551800727844198</v>
      </c>
      <c r="Z13">
        <v>39.867080211639376</v>
      </c>
    </row>
    <row r="14" spans="1:26" x14ac:dyDescent="0.25">
      <c r="A14" t="s">
        <v>60</v>
      </c>
      <c r="B14">
        <v>0.13106000423431399</v>
      </c>
      <c r="C14">
        <v>0.13289999961853</v>
      </c>
      <c r="D14">
        <v>0.15558999776840199</v>
      </c>
      <c r="E14">
        <v>0.173979997634888</v>
      </c>
      <c r="F14">
        <v>0.16964000463485701</v>
      </c>
      <c r="G14">
        <v>0.16557000577449801</v>
      </c>
      <c r="H14">
        <v>0.164269998669624</v>
      </c>
      <c r="I14">
        <v>0.183070003986359</v>
      </c>
      <c r="J14">
        <v>0.19540999829769101</v>
      </c>
      <c r="K14">
        <v>0.193509995937347</v>
      </c>
      <c r="L14">
        <v>0.193580001592636</v>
      </c>
      <c r="M14">
        <v>0.19842000305652599</v>
      </c>
      <c r="N14">
        <v>0.22115999460220301</v>
      </c>
      <c r="O14">
        <v>0.257609993219376</v>
      </c>
      <c r="P14">
        <v>0.303169995546341</v>
      </c>
      <c r="Q14">
        <v>0.36542001366615301</v>
      </c>
      <c r="R14">
        <v>0.27050998806953402</v>
      </c>
      <c r="S14">
        <v>0.26109001040458701</v>
      </c>
      <c r="T14">
        <v>0.31233000755310097</v>
      </c>
      <c r="U14">
        <v>0.32201001048088101</v>
      </c>
      <c r="V14">
        <v>0.28940001130104098</v>
      </c>
      <c r="Z14">
        <v>4.6597000360488883</v>
      </c>
    </row>
    <row r="15" spans="1:26" x14ac:dyDescent="0.25">
      <c r="A15" t="s">
        <v>61</v>
      </c>
      <c r="B15">
        <v>0.41135001182556202</v>
      </c>
      <c r="E15">
        <v>0.36190000176429699</v>
      </c>
      <c r="F15">
        <v>0.37288001179695102</v>
      </c>
      <c r="H15">
        <v>0.42693001031875599</v>
      </c>
      <c r="I15">
        <v>0.35655000805854797</v>
      </c>
      <c r="J15">
        <v>0.38593000173568698</v>
      </c>
      <c r="K15">
        <v>0.51718002557754505</v>
      </c>
      <c r="L15">
        <v>0.479900002479553</v>
      </c>
      <c r="M15">
        <v>0.46235001087188698</v>
      </c>
      <c r="N15">
        <v>0.54712998867034901</v>
      </c>
      <c r="O15">
        <v>0.54253000020980802</v>
      </c>
      <c r="P15">
        <v>0.55627000331878695</v>
      </c>
      <c r="Q15">
        <v>0.43665000796318099</v>
      </c>
      <c r="R15">
        <v>0.44334998726844799</v>
      </c>
      <c r="S15">
        <v>0.425870001316071</v>
      </c>
      <c r="T15">
        <v>0.37143999338150002</v>
      </c>
      <c r="V15">
        <v>0.33002001047134399</v>
      </c>
      <c r="W15">
        <v>0.27384999394416798</v>
      </c>
      <c r="X15">
        <v>0.33788999915123002</v>
      </c>
      <c r="Z15">
        <v>8.0399700701236725</v>
      </c>
    </row>
    <row r="16" spans="1:26" x14ac:dyDescent="0.25">
      <c r="A16" t="s">
        <v>58</v>
      </c>
      <c r="B16">
        <v>1.0425000190734901</v>
      </c>
      <c r="C16">
        <v>0.91762000322341897</v>
      </c>
      <c r="D16">
        <v>0.94086998701095603</v>
      </c>
      <c r="E16">
        <v>0.94068998098373402</v>
      </c>
      <c r="F16">
        <v>1.02002000808716</v>
      </c>
      <c r="G16">
        <v>0.84776002168655396</v>
      </c>
      <c r="H16">
        <v>0.73211002349853505</v>
      </c>
      <c r="I16">
        <v>0.78298997879028298</v>
      </c>
      <c r="J16">
        <v>0.87568002939224199</v>
      </c>
      <c r="K16">
        <v>0.83303999900817904</v>
      </c>
      <c r="L16">
        <v>0.73054999113082897</v>
      </c>
      <c r="M16">
        <v>0.73645997047424305</v>
      </c>
      <c r="N16">
        <v>0.73724997043609597</v>
      </c>
      <c r="O16">
        <v>0.795130014419556</v>
      </c>
      <c r="P16">
        <v>0.76902002096176103</v>
      </c>
      <c r="Q16">
        <v>0.82378000020980802</v>
      </c>
      <c r="R16">
        <v>0.84433001279830899</v>
      </c>
      <c r="S16">
        <v>0.841499984264374</v>
      </c>
      <c r="T16">
        <v>0.94312000274658203</v>
      </c>
      <c r="U16">
        <v>1.0702699422836299</v>
      </c>
      <c r="V16">
        <v>1.2298899888992301</v>
      </c>
      <c r="W16">
        <v>1.23124003410339</v>
      </c>
      <c r="X16">
        <v>1.4032299518585201</v>
      </c>
      <c r="Z16">
        <v>21.089049935340885</v>
      </c>
    </row>
    <row r="17" spans="1:26" x14ac:dyDescent="0.25">
      <c r="A17" t="s">
        <v>56</v>
      </c>
      <c r="B17">
        <v>0.47865000367164601</v>
      </c>
      <c r="C17">
        <v>0.56529998779296897</v>
      </c>
      <c r="D17">
        <v>0.56445002555847201</v>
      </c>
      <c r="E17">
        <v>0.58243000507354703</v>
      </c>
      <c r="F17">
        <v>0.60231000185012795</v>
      </c>
      <c r="G17">
        <v>0.549199998378754</v>
      </c>
      <c r="H17">
        <v>0.44139000773429898</v>
      </c>
      <c r="I17">
        <v>0.43615001440048201</v>
      </c>
      <c r="J17">
        <v>0.50060999393463101</v>
      </c>
      <c r="K17">
        <v>0.61484998464584395</v>
      </c>
      <c r="L17">
        <v>0.60767000913619995</v>
      </c>
      <c r="M17">
        <v>0.271919995546341</v>
      </c>
      <c r="N17">
        <v>0.407160013914108</v>
      </c>
      <c r="O17">
        <v>0.47466999292373702</v>
      </c>
      <c r="P17">
        <v>0.415960013866425</v>
      </c>
      <c r="Q17">
        <v>0.42853999137878401</v>
      </c>
      <c r="R17">
        <v>0.34222999215125999</v>
      </c>
      <c r="S17">
        <v>0.430660009384155</v>
      </c>
      <c r="T17">
        <v>0.53690999746322599</v>
      </c>
      <c r="U17">
        <v>0.55308002233505205</v>
      </c>
      <c r="V17">
        <v>0.518379986286163</v>
      </c>
      <c r="W17">
        <v>0.32282000780105602</v>
      </c>
      <c r="X17">
        <v>0.360119998455048</v>
      </c>
      <c r="Z17">
        <v>11.005460053682329</v>
      </c>
    </row>
    <row r="18" spans="1:26" x14ac:dyDescent="0.25">
      <c r="A18" t="s">
        <v>55</v>
      </c>
      <c r="B18">
        <v>1.1099699735641499</v>
      </c>
      <c r="C18">
        <v>1.09870994091034</v>
      </c>
      <c r="D18">
        <v>1.09818994998932</v>
      </c>
      <c r="E18">
        <v>1.14209997653961</v>
      </c>
      <c r="F18">
        <v>1.13935005664825</v>
      </c>
      <c r="G18">
        <v>1.16100001335144</v>
      </c>
      <c r="H18">
        <v>1.22541999816895</v>
      </c>
      <c r="I18">
        <v>1.29571998119354</v>
      </c>
      <c r="J18">
        <v>1.2335799932479901</v>
      </c>
      <c r="K18">
        <v>1.28656005859375</v>
      </c>
      <c r="L18">
        <v>1.32669997215271</v>
      </c>
      <c r="M18">
        <v>1.5447700023651101</v>
      </c>
      <c r="N18">
        <v>1.76967000961304</v>
      </c>
      <c r="O18">
        <v>1.87924003601074</v>
      </c>
      <c r="P18">
        <v>1.95833003520966</v>
      </c>
      <c r="Q18">
        <v>1.9168900251388501</v>
      </c>
      <c r="R18">
        <v>1.6700299978256199</v>
      </c>
      <c r="S18">
        <v>1.76855003833771</v>
      </c>
      <c r="T18">
        <v>1.89906001091003</v>
      </c>
      <c r="U18">
        <v>1.92734003067017</v>
      </c>
      <c r="V18">
        <v>1.98599004745483</v>
      </c>
      <c r="W18">
        <v>1.99600994586945</v>
      </c>
      <c r="X18">
        <v>1.96420001983643</v>
      </c>
      <c r="Z18">
        <v>35.397380113601692</v>
      </c>
    </row>
    <row r="19" spans="1:26" x14ac:dyDescent="0.25">
      <c r="A19" t="s">
        <v>51</v>
      </c>
      <c r="B19">
        <v>2.1861999034881601</v>
      </c>
      <c r="C19">
        <v>2.3246600627899201</v>
      </c>
      <c r="D19">
        <v>2.4414501190185498</v>
      </c>
      <c r="E19">
        <v>2.5108499526977499</v>
      </c>
      <c r="F19">
        <v>2.4191598892211901</v>
      </c>
      <c r="G19">
        <v>2.3933699131011998</v>
      </c>
      <c r="H19">
        <v>2.4030001163482702</v>
      </c>
      <c r="I19">
        <v>2.5154099464416499</v>
      </c>
      <c r="J19">
        <v>2.77345991134644</v>
      </c>
      <c r="K19">
        <v>3.0551400184631299</v>
      </c>
      <c r="L19">
        <v>2.9170699119567902</v>
      </c>
      <c r="M19">
        <v>2.9446499347686799</v>
      </c>
      <c r="N19">
        <v>2.9812500476837198</v>
      </c>
      <c r="O19">
        <v>2.97047996520996</v>
      </c>
      <c r="P19">
        <v>2.9140899181365998</v>
      </c>
      <c r="Q19">
        <v>3.0549700260162398</v>
      </c>
      <c r="R19">
        <v>3.0928299427032502</v>
      </c>
      <c r="S19">
        <v>2.9312400817871098</v>
      </c>
      <c r="T19">
        <v>2.9660298824310298</v>
      </c>
      <c r="U19">
        <v>2.89685010910034</v>
      </c>
      <c r="V19">
        <v>2.9725799560546902</v>
      </c>
      <c r="W19">
        <v>2.7614200115203902</v>
      </c>
      <c r="X19">
        <v>2.8905100822448699</v>
      </c>
      <c r="Z19">
        <v>63.316669702529936</v>
      </c>
    </row>
    <row r="20" spans="1:26" x14ac:dyDescent="0.25">
      <c r="A20" t="s">
        <v>49</v>
      </c>
      <c r="C20">
        <v>5.4480001330375699E-2</v>
      </c>
      <c r="D20">
        <v>5.8400001376867301E-2</v>
      </c>
      <c r="E20">
        <v>6.0070000588893897E-2</v>
      </c>
      <c r="H20">
        <v>0.13176000118255601</v>
      </c>
      <c r="I20">
        <v>0.13501000404357899</v>
      </c>
      <c r="J20">
        <v>0.23011000454425801</v>
      </c>
      <c r="K20">
        <v>0.41054999828338601</v>
      </c>
      <c r="L20">
        <v>0.41126999258995101</v>
      </c>
      <c r="M20">
        <v>0.34114998579025302</v>
      </c>
      <c r="N20">
        <v>0.333079993724823</v>
      </c>
      <c r="O20">
        <v>0.37422999739646901</v>
      </c>
      <c r="P20">
        <v>0.43838998675346402</v>
      </c>
      <c r="Z20">
        <v>2.9784999676048765</v>
      </c>
    </row>
    <row r="21" spans="1:26" x14ac:dyDescent="0.25">
      <c r="A21" t="s">
        <v>57</v>
      </c>
      <c r="B21">
        <v>0.60000002384185802</v>
      </c>
      <c r="C21">
        <v>0.69839000701904297</v>
      </c>
      <c r="D21">
        <v>0.71202999353408802</v>
      </c>
      <c r="E21">
        <v>0.76464998722076405</v>
      </c>
      <c r="F21">
        <v>0.84583997726440396</v>
      </c>
      <c r="G21">
        <v>0.91705000400543202</v>
      </c>
      <c r="H21">
        <v>1.11276996135712</v>
      </c>
      <c r="I21">
        <v>1.0587400197982799</v>
      </c>
      <c r="J21">
        <v>1.25188004970551</v>
      </c>
      <c r="K21">
        <v>1.39679002761841</v>
      </c>
      <c r="L21">
        <v>1.57898998260498</v>
      </c>
      <c r="M21">
        <v>2.3052198886871298</v>
      </c>
      <c r="N21">
        <v>2.1248099803924601</v>
      </c>
      <c r="O21">
        <v>1.72412002086639</v>
      </c>
      <c r="P21">
        <v>1.43023002147675</v>
      </c>
      <c r="Q21">
        <v>1.4677699804305999</v>
      </c>
      <c r="R21">
        <v>1.2430599927902199</v>
      </c>
      <c r="S21">
        <v>1.27684998512268</v>
      </c>
      <c r="T21">
        <v>1.40998995304108</v>
      </c>
      <c r="U21">
        <v>1.6205799579620399</v>
      </c>
      <c r="V21">
        <v>1.7531499862670901</v>
      </c>
      <c r="W21">
        <v>1.7676600217819201</v>
      </c>
      <c r="X21">
        <v>1.78205001354218</v>
      </c>
      <c r="Z21">
        <v>30.842619836330428</v>
      </c>
    </row>
    <row r="22" spans="1:26" x14ac:dyDescent="0.25">
      <c r="A22" t="s">
        <v>53</v>
      </c>
      <c r="B22">
        <v>3.2413799762725799</v>
      </c>
      <c r="C22">
        <v>3.1937201023101802</v>
      </c>
      <c r="D22">
        <v>3.25307989120483</v>
      </c>
      <c r="E22">
        <v>3.2982199192047101</v>
      </c>
      <c r="F22">
        <v>3.30907011032104</v>
      </c>
      <c r="G22">
        <v>3.3236999511718799</v>
      </c>
      <c r="H22">
        <v>3.33215999603271</v>
      </c>
      <c r="I22">
        <v>3.3370399475097701</v>
      </c>
      <c r="J22">
        <v>3.53696990013123</v>
      </c>
      <c r="K22">
        <v>3.73401999473572</v>
      </c>
      <c r="L22">
        <v>3.7053198814392099</v>
      </c>
      <c r="M22">
        <v>3.6180601119995099</v>
      </c>
      <c r="N22">
        <v>3.3983199596404998</v>
      </c>
      <c r="O22">
        <v>3.2713699340820299</v>
      </c>
      <c r="P22">
        <v>3.14751005172729</v>
      </c>
      <c r="Q22">
        <v>2.87195992469788</v>
      </c>
      <c r="R22">
        <v>2.7244200706481898</v>
      </c>
      <c r="S22">
        <v>2.7278699874877899</v>
      </c>
      <c r="T22">
        <v>2.75748991966248</v>
      </c>
      <c r="U22">
        <v>2.79960989952087</v>
      </c>
      <c r="V22">
        <v>2.9124300479888898</v>
      </c>
      <c r="W22">
        <v>2.9885001182556201</v>
      </c>
      <c r="X22">
        <v>2.9646899700164799</v>
      </c>
      <c r="Z22">
        <v>73.446909666061387</v>
      </c>
    </row>
    <row r="23" spans="1:26" x14ac:dyDescent="0.25">
      <c r="A23" t="s">
        <v>50</v>
      </c>
      <c r="B23">
        <v>2.0934600830078098</v>
      </c>
      <c r="C23">
        <v>2.13804006576538</v>
      </c>
      <c r="D23">
        <v>2.1744899749755899</v>
      </c>
      <c r="E23">
        <v>2.1199400424957302</v>
      </c>
      <c r="F23">
        <v>2.0946099758148198</v>
      </c>
      <c r="G23">
        <v>2.0515100955963099</v>
      </c>
      <c r="H23">
        <v>2.0509400367736799</v>
      </c>
      <c r="I23">
        <v>2.0245099067688002</v>
      </c>
      <c r="J23">
        <v>2.0611701011657702</v>
      </c>
      <c r="K23">
        <v>2.2120699882507302</v>
      </c>
      <c r="L23">
        <v>2.1785700321197501</v>
      </c>
      <c r="M23">
        <v>2.1916100978851301</v>
      </c>
      <c r="N23">
        <v>2.2270700931549099</v>
      </c>
      <c r="O23">
        <v>2.2370300292968799</v>
      </c>
      <c r="P23">
        <v>2.2759199142456099</v>
      </c>
      <c r="Q23">
        <v>2.2270200252532999</v>
      </c>
      <c r="R23">
        <v>2.22237992286682</v>
      </c>
      <c r="S23">
        <v>2.1988799571990998</v>
      </c>
      <c r="T23">
        <v>2.1966600418090798</v>
      </c>
      <c r="U23">
        <v>2.19179010391235</v>
      </c>
      <c r="V23">
        <v>2.2746400833129901</v>
      </c>
      <c r="W23">
        <v>2.2180800437927202</v>
      </c>
      <c r="X23">
        <v>2.2331199645996098</v>
      </c>
      <c r="Z23">
        <v>49.893510580062873</v>
      </c>
    </row>
    <row r="24" spans="1:26" x14ac:dyDescent="0.25">
      <c r="A24" t="s">
        <v>54</v>
      </c>
      <c r="B24">
        <v>2.4098200798034699</v>
      </c>
      <c r="C24">
        <v>2.4043700695037802</v>
      </c>
      <c r="D24">
        <v>2.4362199306488002</v>
      </c>
      <c r="E24">
        <v>2.47461009025574</v>
      </c>
      <c r="F24">
        <v>2.4351899623870801</v>
      </c>
      <c r="G24">
        <v>2.4419300556182901</v>
      </c>
      <c r="H24">
        <v>2.4723200798034699</v>
      </c>
      <c r="I24">
        <v>2.4604799747467001</v>
      </c>
      <c r="J24">
        <v>2.61512994766235</v>
      </c>
      <c r="K24">
        <v>2.7426600456237802</v>
      </c>
      <c r="L24">
        <v>2.7302401065826398</v>
      </c>
      <c r="M24">
        <v>2.8055500984191899</v>
      </c>
      <c r="N24">
        <v>2.8816599845886199</v>
      </c>
      <c r="O24">
        <v>2.8359899520874001</v>
      </c>
      <c r="P24">
        <v>2.87784004211426</v>
      </c>
      <c r="Q24">
        <v>2.9337899684906001</v>
      </c>
      <c r="R24">
        <v>2.94039011001587</v>
      </c>
      <c r="S24">
        <v>3.0471000671386701</v>
      </c>
      <c r="T24">
        <v>3.1101100444793701</v>
      </c>
      <c r="U24">
        <v>3.16701006889343</v>
      </c>
      <c r="V24">
        <v>3.1313600540161102</v>
      </c>
      <c r="W24">
        <v>3.1288199424743701</v>
      </c>
      <c r="X24">
        <v>3.1323599815368701</v>
      </c>
      <c r="Z24">
        <v>63.614950656890876</v>
      </c>
    </row>
    <row r="25" spans="1:26" x14ac:dyDescent="0.25">
      <c r="A25" t="s">
        <v>52</v>
      </c>
      <c r="C25">
        <v>0.55948001146316495</v>
      </c>
      <c r="E25">
        <v>0.54654002189636197</v>
      </c>
      <c r="F25">
        <v>0.52730000019073497</v>
      </c>
      <c r="G25">
        <v>0.578960001468658</v>
      </c>
      <c r="H25">
        <v>0.56117999553680398</v>
      </c>
      <c r="I25">
        <v>0.57655000686645497</v>
      </c>
      <c r="J25">
        <v>0.66183000802993797</v>
      </c>
      <c r="K25">
        <v>0.62556999921798695</v>
      </c>
      <c r="L25">
        <v>0.60347002744674705</v>
      </c>
      <c r="M25">
        <v>0.68426001071929898</v>
      </c>
      <c r="N25">
        <v>0.71004998683929399</v>
      </c>
      <c r="O25">
        <v>0.81477999687194802</v>
      </c>
      <c r="P25">
        <v>0.83998000621795699</v>
      </c>
      <c r="Q25">
        <v>0.96605002880096402</v>
      </c>
      <c r="R25">
        <v>1.0052900314331099</v>
      </c>
      <c r="S25">
        <v>1.1522799730300901</v>
      </c>
      <c r="T25">
        <v>1.2137099504470801</v>
      </c>
      <c r="U25">
        <v>1.27498996257782</v>
      </c>
      <c r="V25">
        <v>1.5114899873733501</v>
      </c>
      <c r="W25">
        <v>1.45782005786896</v>
      </c>
      <c r="X25">
        <v>1.4859600067138701</v>
      </c>
      <c r="Z25">
        <v>18.357540071010597</v>
      </c>
    </row>
    <row r="26" spans="1:26" x14ac:dyDescent="0.25">
      <c r="A26" t="s">
        <v>59</v>
      </c>
      <c r="C26">
        <v>0.52740997076034501</v>
      </c>
      <c r="D26">
        <v>0.556280016899109</v>
      </c>
      <c r="E26">
        <v>0.508040010929108</v>
      </c>
      <c r="F26">
        <v>0.64608001708984397</v>
      </c>
      <c r="Z26">
        <v>2.2378100156784058</v>
      </c>
    </row>
    <row r="27" spans="1:26" x14ac:dyDescent="0.25">
      <c r="A27" t="s">
        <v>48</v>
      </c>
      <c r="B27">
        <v>0.46492999792098999</v>
      </c>
      <c r="C27">
        <v>0.53645002841949496</v>
      </c>
      <c r="D27">
        <v>0.58147001266479503</v>
      </c>
      <c r="E27">
        <v>0.68027001619339</v>
      </c>
      <c r="F27">
        <v>0.72175997495651201</v>
      </c>
      <c r="G27">
        <v>0.77342998981475797</v>
      </c>
      <c r="H27">
        <v>0.79467999935150102</v>
      </c>
      <c r="I27">
        <v>0.75160998106002797</v>
      </c>
      <c r="J27">
        <v>0.71995997428893999</v>
      </c>
      <c r="K27">
        <v>0.77341997623443604</v>
      </c>
      <c r="L27">
        <v>0.74945998191833496</v>
      </c>
      <c r="M27">
        <v>0.72086000442504905</v>
      </c>
      <c r="N27">
        <v>0.72733002901077304</v>
      </c>
      <c r="O27">
        <v>0.73017001152038596</v>
      </c>
      <c r="P27">
        <v>0.740140020847321</v>
      </c>
      <c r="Q27">
        <v>0.76182997226715099</v>
      </c>
      <c r="R27">
        <v>0.79149997234344505</v>
      </c>
      <c r="S27">
        <v>0.83518999814987205</v>
      </c>
      <c r="T27">
        <v>0.86330002546310403</v>
      </c>
      <c r="U27">
        <v>0.92557001113891602</v>
      </c>
      <c r="V27">
        <v>0.99235999584197998</v>
      </c>
      <c r="W27">
        <v>0.97026002407073997</v>
      </c>
      <c r="X27">
        <v>1.0728800296783401</v>
      </c>
      <c r="Y27">
        <v>1.1033899784088099</v>
      </c>
      <c r="Z27">
        <v>18.782220005989068</v>
      </c>
    </row>
    <row r="28" spans="1:26" x14ac:dyDescent="0.25">
      <c r="A28" t="s">
        <v>44</v>
      </c>
      <c r="B28">
        <v>0.790960013866425</v>
      </c>
      <c r="C28">
        <v>0.91310000419616699</v>
      </c>
      <c r="D28">
        <v>0.98355001211166404</v>
      </c>
      <c r="E28">
        <v>0.91882997751235995</v>
      </c>
      <c r="F28">
        <v>0.85989999771118197</v>
      </c>
      <c r="G28">
        <v>0.91951000690460205</v>
      </c>
      <c r="H28">
        <v>0.97740000486373901</v>
      </c>
      <c r="I28">
        <v>0.95445001125335704</v>
      </c>
      <c r="J28">
        <v>0.97756999731063798</v>
      </c>
      <c r="K28">
        <v>1.1280200481414799</v>
      </c>
      <c r="L28">
        <v>1.12864995002747</v>
      </c>
      <c r="M28">
        <v>1.17925000190735</v>
      </c>
      <c r="N28">
        <v>1.2542300224304199</v>
      </c>
      <c r="O28">
        <v>1.38409996032715</v>
      </c>
      <c r="P28">
        <v>1.3445999622345</v>
      </c>
      <c r="Q28">
        <v>1.3395899534225499</v>
      </c>
      <c r="R28">
        <v>1.1798700094223</v>
      </c>
      <c r="S28">
        <v>1.3170200586319001</v>
      </c>
      <c r="T28">
        <v>1.5077500343322801</v>
      </c>
      <c r="U28">
        <v>1.4729100465774501</v>
      </c>
      <c r="V28">
        <v>1.5925199985504199</v>
      </c>
      <c r="W28">
        <v>1.6437900066375699</v>
      </c>
      <c r="X28">
        <v>1.39472997188568</v>
      </c>
      <c r="Z28">
        <v>27.162300050258651</v>
      </c>
    </row>
    <row r="29" spans="1:26" x14ac:dyDescent="0.25">
      <c r="A29" t="s">
        <v>47</v>
      </c>
      <c r="B29">
        <v>2.5720100402832</v>
      </c>
      <c r="C29">
        <v>2.8398900032043501</v>
      </c>
      <c r="D29">
        <v>2.82119989395142</v>
      </c>
      <c r="E29">
        <v>2.7054998874664302</v>
      </c>
      <c r="G29">
        <v>2.6796898841857901</v>
      </c>
      <c r="H29">
        <v>2.8526599407196001</v>
      </c>
      <c r="I29">
        <v>2.5329399108886701</v>
      </c>
      <c r="J29">
        <v>2.46413993835449</v>
      </c>
      <c r="K29">
        <v>2.5971300601959202</v>
      </c>
      <c r="M29">
        <v>2.4036700725555402</v>
      </c>
      <c r="O29">
        <v>1.6923799514770499</v>
      </c>
      <c r="P29">
        <v>1.9361599683761599</v>
      </c>
      <c r="Q29">
        <v>2.1813800334930402</v>
      </c>
      <c r="R29">
        <v>2.1101100444793701</v>
      </c>
      <c r="S29">
        <v>2.0836501121521001</v>
      </c>
      <c r="T29">
        <v>2.0008099079132098</v>
      </c>
      <c r="U29">
        <v>2.3401799201965301</v>
      </c>
      <c r="V29">
        <v>2.48639988899231</v>
      </c>
      <c r="W29">
        <v>2.7787499427795401</v>
      </c>
      <c r="X29">
        <v>2.6003999710082999</v>
      </c>
      <c r="Z29">
        <v>48.679049372673028</v>
      </c>
    </row>
    <row r="30" spans="1:26" x14ac:dyDescent="0.25">
      <c r="A30" t="s">
        <v>39</v>
      </c>
      <c r="B30">
        <v>0.75699001550674405</v>
      </c>
      <c r="C30">
        <v>0.73590999841690097</v>
      </c>
      <c r="D30">
        <v>0.72566998004913297</v>
      </c>
      <c r="E30">
        <v>0.71929001808166504</v>
      </c>
      <c r="F30">
        <v>0.75690001249313399</v>
      </c>
      <c r="G30">
        <v>0.82410997152328502</v>
      </c>
      <c r="H30">
        <v>0.80472999811172496</v>
      </c>
      <c r="I30">
        <v>0.80506998300552401</v>
      </c>
      <c r="J30">
        <v>0.85875999927520796</v>
      </c>
      <c r="K30">
        <v>0.83314001560211204</v>
      </c>
      <c r="L30">
        <v>0.78848999738693204</v>
      </c>
      <c r="M30">
        <v>0.75502002239227295</v>
      </c>
      <c r="N30">
        <v>0.74399000406265303</v>
      </c>
      <c r="O30">
        <v>0.70642000436782804</v>
      </c>
      <c r="P30">
        <v>0.70159000158309903</v>
      </c>
      <c r="Q30">
        <v>0.69309997558593806</v>
      </c>
      <c r="R30">
        <v>0.66983997821807895</v>
      </c>
      <c r="S30">
        <v>0.66602998971939098</v>
      </c>
      <c r="T30">
        <v>0.66000998020172097</v>
      </c>
      <c r="U30">
        <v>0.65942001342773404</v>
      </c>
      <c r="V30">
        <v>0.645579993724823</v>
      </c>
      <c r="Z30">
        <v>15.510059952735901</v>
      </c>
    </row>
    <row r="31" spans="1:26" x14ac:dyDescent="0.25">
      <c r="A31" t="s">
        <v>40</v>
      </c>
      <c r="B31">
        <v>6.7689999938011197E-2</v>
      </c>
      <c r="C31">
        <v>4.7559998929500601E-2</v>
      </c>
      <c r="K31">
        <v>8.3319999277591705E-2</v>
      </c>
      <c r="O31">
        <v>8.4700003266334506E-2</v>
      </c>
      <c r="R31">
        <v>0.24535000324249301</v>
      </c>
      <c r="S31">
        <v>0.23804999887943301</v>
      </c>
      <c r="T31">
        <v>0.22631999850273099</v>
      </c>
      <c r="U31">
        <v>0.27129000425338701</v>
      </c>
      <c r="V31">
        <v>0.28068000078201299</v>
      </c>
      <c r="Z31">
        <v>1.5449600070714951</v>
      </c>
    </row>
    <row r="32" spans="1:26" x14ac:dyDescent="0.25">
      <c r="A32" t="s">
        <v>45</v>
      </c>
      <c r="B32">
        <v>1.08382999897003</v>
      </c>
      <c r="C32">
        <v>1.05193996429443</v>
      </c>
      <c r="D32">
        <v>1.0557500123977701</v>
      </c>
      <c r="E32">
        <v>1.12434995174408</v>
      </c>
      <c r="F32">
        <v>1.1777800321578999</v>
      </c>
      <c r="G32">
        <v>1.1919699907302901</v>
      </c>
      <c r="H32">
        <v>1.19886994361877</v>
      </c>
      <c r="I32">
        <v>1.23407995700836</v>
      </c>
      <c r="J32">
        <v>1.3912600278854399</v>
      </c>
      <c r="K32">
        <v>1.6137100458145099</v>
      </c>
      <c r="L32">
        <v>1.5947699546814</v>
      </c>
      <c r="M32">
        <v>1.55153000354767</v>
      </c>
      <c r="N32">
        <v>1.5602799654007</v>
      </c>
      <c r="O32">
        <v>1.56907999515533</v>
      </c>
      <c r="P32">
        <v>1.5179799795150799</v>
      </c>
      <c r="Q32">
        <v>1.1797399520873999</v>
      </c>
      <c r="R32">
        <v>1.1771600246429399</v>
      </c>
      <c r="S32">
        <v>1.2486599683761599</v>
      </c>
      <c r="T32">
        <v>1.1069799661636399</v>
      </c>
      <c r="U32">
        <v>1.1606800556182899</v>
      </c>
      <c r="V32">
        <v>1.1455099582672099</v>
      </c>
      <c r="W32">
        <v>1.11064994335175</v>
      </c>
      <c r="X32">
        <v>0.96263998746871904</v>
      </c>
      <c r="Z32">
        <v>29.009199678897868</v>
      </c>
    </row>
    <row r="33" spans="1:26" x14ac:dyDescent="0.25">
      <c r="A33" t="s">
        <v>43</v>
      </c>
      <c r="B33">
        <v>3.8265199661254901</v>
      </c>
      <c r="C33">
        <v>4.0644001960754403</v>
      </c>
      <c r="D33">
        <v>4.0006399154663104</v>
      </c>
      <c r="E33">
        <v>3.7645399570465101</v>
      </c>
      <c r="F33">
        <v>3.74903011322021</v>
      </c>
      <c r="G33">
        <v>3.9228200912475599</v>
      </c>
      <c r="H33">
        <v>4.01997995376587</v>
      </c>
      <c r="I33">
        <v>4.2999801635742196</v>
      </c>
      <c r="J33">
        <v>4.2551198005676296</v>
      </c>
      <c r="K33">
        <v>4.0451598167419398</v>
      </c>
      <c r="L33">
        <v>3.8632900714874299</v>
      </c>
      <c r="M33">
        <v>3.9352099895477299</v>
      </c>
      <c r="N33">
        <v>4.0805201530456499</v>
      </c>
      <c r="O33">
        <v>4.1167798042297399</v>
      </c>
      <c r="P33">
        <v>4.2053098678588903</v>
      </c>
      <c r="Q33">
        <v>4.2984099388122603</v>
      </c>
      <c r="R33">
        <v>4.5882201194763201</v>
      </c>
      <c r="S33">
        <v>4.7430601119995099</v>
      </c>
      <c r="T33">
        <v>4.9145097732543901</v>
      </c>
      <c r="U33">
        <v>5.3309898376464799</v>
      </c>
      <c r="V33">
        <v>5.7968101501464799</v>
      </c>
      <c r="W33">
        <v>5.7827601432800302</v>
      </c>
      <c r="X33">
        <v>6.0192399024963397</v>
      </c>
      <c r="Z33">
        <v>101.62329983711243</v>
      </c>
    </row>
    <row r="34" spans="1:26" x14ac:dyDescent="0.25">
      <c r="A34" t="s">
        <v>42</v>
      </c>
      <c r="B34">
        <v>1.00364005565643</v>
      </c>
      <c r="C34">
        <v>1.04069995880127</v>
      </c>
      <c r="D34">
        <v>1.0812400579452499</v>
      </c>
      <c r="E34">
        <v>1.0589400529861499</v>
      </c>
      <c r="F34">
        <v>1.0502500534057599</v>
      </c>
      <c r="G34">
        <v>1.04435002803802</v>
      </c>
      <c r="H34">
        <v>1.0840100049972501</v>
      </c>
      <c r="I34">
        <v>1.12899005413055</v>
      </c>
      <c r="J34">
        <v>1.1597199440002399</v>
      </c>
      <c r="K34">
        <v>1.2178699970245399</v>
      </c>
      <c r="L34">
        <v>1.2179700136184699</v>
      </c>
      <c r="M34">
        <v>1.20155000686646</v>
      </c>
      <c r="N34">
        <v>1.26218998432159</v>
      </c>
      <c r="O34">
        <v>1.30106997489929</v>
      </c>
      <c r="P34">
        <v>1.33840000629425</v>
      </c>
      <c r="Q34">
        <v>1.33850002288818</v>
      </c>
      <c r="R34">
        <v>1.3664200305938701</v>
      </c>
      <c r="S34">
        <v>1.3701299428939799</v>
      </c>
      <c r="T34">
        <v>1.4244300127029399</v>
      </c>
      <c r="U34">
        <v>1.4615900516510001</v>
      </c>
      <c r="V34">
        <v>1.5066000223159799</v>
      </c>
      <c r="W34">
        <v>1.42657995223999</v>
      </c>
      <c r="X34">
        <v>1.3901400566101101</v>
      </c>
      <c r="Z34">
        <v>28.475280284881567</v>
      </c>
    </row>
    <row r="35" spans="1:26" x14ac:dyDescent="0.25">
      <c r="A35" t="s">
        <v>46</v>
      </c>
      <c r="B35">
        <v>2.8584098815918</v>
      </c>
      <c r="C35">
        <v>2.9234800338745099</v>
      </c>
      <c r="D35">
        <v>2.9651401042938201</v>
      </c>
      <c r="E35">
        <v>2.9932000637054399</v>
      </c>
      <c r="F35">
        <v>2.9812500476837198</v>
      </c>
      <c r="G35">
        <v>3.13091993331909</v>
      </c>
      <c r="H35">
        <v>3.2276599407196001</v>
      </c>
      <c r="I35">
        <v>3.29257011413574</v>
      </c>
      <c r="J35">
        <v>3.2922399044036901</v>
      </c>
      <c r="K35">
        <v>3.1958999633789098</v>
      </c>
      <c r="L35">
        <v>3.1049499511718799</v>
      </c>
      <c r="M35">
        <v>3.2053699493408199</v>
      </c>
      <c r="N35">
        <v>3.1737101078033398</v>
      </c>
      <c r="O35">
        <v>3.2789599895477299</v>
      </c>
      <c r="P35">
        <v>3.36788010597229</v>
      </c>
      <c r="Q35">
        <v>3.2407100200653098</v>
      </c>
      <c r="R35">
        <v>3.1066598892211901</v>
      </c>
      <c r="S35">
        <v>3.16635990142822</v>
      </c>
      <c r="T35">
        <v>3.2191998958587602</v>
      </c>
      <c r="U35">
        <v>3.2182400226593</v>
      </c>
      <c r="V35">
        <v>3.2645800113678001</v>
      </c>
      <c r="W35">
        <v>3.2767701148986799</v>
      </c>
      <c r="X35">
        <v>3.4053699970245401</v>
      </c>
      <c r="Z35">
        <v>72.889529943466172</v>
      </c>
    </row>
    <row r="36" spans="1:26" x14ac:dyDescent="0.25">
      <c r="A36" t="s">
        <v>41</v>
      </c>
      <c r="B36">
        <v>2.1251900196075399</v>
      </c>
      <c r="C36">
        <v>2.2786500453949001</v>
      </c>
      <c r="D36">
        <v>2.2077400684356698</v>
      </c>
      <c r="E36">
        <v>2.2772200107574498</v>
      </c>
      <c r="F36">
        <v>2.4421401023864702</v>
      </c>
      <c r="G36">
        <v>2.52290010452271</v>
      </c>
      <c r="H36">
        <v>2.7193400859832799</v>
      </c>
      <c r="I36">
        <v>2.87258005142212</v>
      </c>
      <c r="J36">
        <v>2.9888699054718</v>
      </c>
      <c r="K36">
        <v>3.14668989181519</v>
      </c>
      <c r="L36">
        <v>3.3157799243927002</v>
      </c>
      <c r="M36">
        <v>3.59198999404907</v>
      </c>
      <c r="N36">
        <v>3.8503999710082999</v>
      </c>
      <c r="O36">
        <v>3.9512400627136199</v>
      </c>
      <c r="P36">
        <v>4.07785987854004</v>
      </c>
      <c r="Q36">
        <v>3.97819995880127</v>
      </c>
      <c r="R36">
        <v>3.9870400428771999</v>
      </c>
      <c r="S36">
        <v>4.2920598983764604</v>
      </c>
      <c r="T36">
        <v>4.5163297653198198</v>
      </c>
      <c r="U36">
        <v>4.6270298957824698</v>
      </c>
      <c r="V36">
        <v>4.7957100868225098</v>
      </c>
      <c r="W36">
        <v>4.9098801612854004</v>
      </c>
      <c r="X36">
        <v>5.2108101844787598</v>
      </c>
      <c r="Z36">
        <v>80.685650110244737</v>
      </c>
    </row>
    <row r="37" spans="1:26" x14ac:dyDescent="0.25">
      <c r="A37" t="s">
        <v>38</v>
      </c>
      <c r="B37">
        <v>0.43483000993728599</v>
      </c>
      <c r="C37">
        <v>0.40263000130653398</v>
      </c>
      <c r="D37">
        <v>0.40843001008033802</v>
      </c>
      <c r="E37">
        <v>0.35929998755455</v>
      </c>
      <c r="F37">
        <v>0.398400008678436</v>
      </c>
      <c r="G37">
        <v>0.52706998586654696</v>
      </c>
      <c r="H37">
        <v>0.64691001176834095</v>
      </c>
      <c r="I37">
        <v>0.55106997489929199</v>
      </c>
      <c r="J37">
        <v>0.57719999551773105</v>
      </c>
      <c r="K37">
        <v>0.44857999682426503</v>
      </c>
      <c r="L37">
        <v>0.605710029602051</v>
      </c>
      <c r="M37">
        <v>0.71561998128891002</v>
      </c>
      <c r="N37">
        <v>0.66307002305984497</v>
      </c>
      <c r="O37">
        <v>0.61321002244949296</v>
      </c>
      <c r="P37">
        <v>0.68907999992370605</v>
      </c>
      <c r="Q37">
        <v>0.61940002441406194</v>
      </c>
      <c r="R37">
        <v>0.43514001369476302</v>
      </c>
      <c r="S37">
        <v>0.51103997230529796</v>
      </c>
      <c r="T37">
        <v>0.63868999481201205</v>
      </c>
      <c r="U37">
        <v>0.63846999406814597</v>
      </c>
      <c r="V37">
        <v>0.73439002037048295</v>
      </c>
      <c r="W37">
        <v>0.74621999263763406</v>
      </c>
      <c r="X37">
        <v>0.76381999254226696</v>
      </c>
      <c r="Z37">
        <v>13.12828004360199</v>
      </c>
    </row>
    <row r="38" spans="1:26" x14ac:dyDescent="0.25">
      <c r="A38" t="s">
        <v>37</v>
      </c>
      <c r="B38">
        <v>1.58314001560211</v>
      </c>
      <c r="E38">
        <v>1.6234999895095801</v>
      </c>
      <c r="F38">
        <v>1.58818995952606</v>
      </c>
      <c r="G38">
        <v>1.5587300062179601</v>
      </c>
      <c r="H38">
        <v>1.64885997772217</v>
      </c>
      <c r="I38">
        <v>1.57165002822876</v>
      </c>
      <c r="J38">
        <v>1.54663002490997</v>
      </c>
      <c r="K38">
        <v>1.58838999271393</v>
      </c>
      <c r="L38">
        <v>1.4237300157546999</v>
      </c>
      <c r="M38">
        <v>1.4245300292968801</v>
      </c>
      <c r="N38">
        <v>1.2066400051116899</v>
      </c>
      <c r="O38">
        <v>1.23380994796753</v>
      </c>
      <c r="P38">
        <v>1.2170000076293901</v>
      </c>
      <c r="Q38">
        <v>1.2522599697112999</v>
      </c>
      <c r="R38">
        <v>1.26689994335175</v>
      </c>
      <c r="S38">
        <v>1.23898005485535</v>
      </c>
      <c r="T38">
        <v>1.1718000173568699</v>
      </c>
      <c r="U38">
        <v>1.1817699670791599</v>
      </c>
      <c r="V38">
        <v>1.0958399772644001</v>
      </c>
      <c r="W38">
        <v>1.0412000417709399</v>
      </c>
      <c r="X38">
        <v>0.97653001546859697</v>
      </c>
      <c r="Z38">
        <v>28.440079987049096</v>
      </c>
    </row>
    <row r="39" spans="1:26" x14ac:dyDescent="0.25">
      <c r="A39" t="s">
        <v>36</v>
      </c>
      <c r="B39">
        <v>0.468989998102188</v>
      </c>
      <c r="D39">
        <v>0.65254002809524503</v>
      </c>
      <c r="F39">
        <v>0.59990000724792503</v>
      </c>
      <c r="H39">
        <v>0.61106002330779996</v>
      </c>
      <c r="J39">
        <v>0.78846997022628795</v>
      </c>
      <c r="K39">
        <v>1.01001000404358</v>
      </c>
      <c r="L39">
        <v>1.0360800027847299</v>
      </c>
      <c r="M39">
        <v>1.03341996669769</v>
      </c>
      <c r="N39">
        <v>1.09268999099731</v>
      </c>
      <c r="P39">
        <v>1.2627500295639</v>
      </c>
      <c r="Q39">
        <v>1.2794500589370701</v>
      </c>
      <c r="R39">
        <v>1.4151699542999301</v>
      </c>
      <c r="T39">
        <v>1.04025995731354</v>
      </c>
      <c r="V39">
        <v>0.95055001974105802</v>
      </c>
      <c r="Z39">
        <v>13.241340011358252</v>
      </c>
    </row>
    <row r="40" spans="1:26" x14ac:dyDescent="0.25">
      <c r="A40" t="s">
        <v>35</v>
      </c>
      <c r="B40">
        <v>0.29205000400543202</v>
      </c>
      <c r="C40">
        <v>0.30814999341964699</v>
      </c>
      <c r="D40">
        <v>0.33744999766349798</v>
      </c>
      <c r="E40">
        <v>0.37454000115394598</v>
      </c>
      <c r="F40">
        <v>0.37053000926971402</v>
      </c>
      <c r="G40">
        <v>0.38102999329567</v>
      </c>
      <c r="H40">
        <v>0.35297998785972601</v>
      </c>
      <c r="I40">
        <v>0.38038998842239402</v>
      </c>
      <c r="J40">
        <v>0.42416000366210899</v>
      </c>
      <c r="K40">
        <v>0.45748001337051403</v>
      </c>
      <c r="L40">
        <v>0.47352999448776201</v>
      </c>
      <c r="M40">
        <v>0.45267999172210699</v>
      </c>
      <c r="N40">
        <v>0.40283998847007801</v>
      </c>
      <c r="O40">
        <v>0.40806001424789401</v>
      </c>
      <c r="P40">
        <v>0.41962000727653498</v>
      </c>
      <c r="Q40">
        <v>0.414770007133484</v>
      </c>
      <c r="R40">
        <v>0.37601000070571899</v>
      </c>
      <c r="S40">
        <v>0.31955000758171098</v>
      </c>
      <c r="T40">
        <v>0.29815998673438998</v>
      </c>
      <c r="U40">
        <v>0.27605998516082803</v>
      </c>
      <c r="V40">
        <v>0.29190999269485501</v>
      </c>
      <c r="W40">
        <v>0.27377998828887901</v>
      </c>
      <c r="X40">
        <v>0.25782001018524198</v>
      </c>
      <c r="Y40">
        <v>0.26818999648094199</v>
      </c>
      <c r="Z40">
        <v>8.6117399632930756</v>
      </c>
    </row>
    <row r="41" spans="1:26" x14ac:dyDescent="0.25">
      <c r="A41" t="s">
        <v>34</v>
      </c>
      <c r="B41">
        <v>1.78980004787445</v>
      </c>
      <c r="C41">
        <v>1.7960900068283101</v>
      </c>
      <c r="D41">
        <v>1.7454299926757799</v>
      </c>
      <c r="E41">
        <v>1.7839000225067101</v>
      </c>
      <c r="F41">
        <v>1.7890100479126001</v>
      </c>
      <c r="G41">
        <v>1.7738800048828101</v>
      </c>
      <c r="H41">
        <v>1.7406699657440201</v>
      </c>
      <c r="I41">
        <v>1.67030000686646</v>
      </c>
      <c r="J41">
        <v>1.6226899623870801</v>
      </c>
      <c r="K41">
        <v>1.66569995880127</v>
      </c>
      <c r="L41">
        <v>1.70404005050659</v>
      </c>
      <c r="M41">
        <v>1.8813099861145</v>
      </c>
      <c r="N41">
        <v>1.9162700176239</v>
      </c>
      <c r="O41">
        <v>2.1560599803924601</v>
      </c>
      <c r="P41">
        <v>2.17330002784729</v>
      </c>
      <c r="Q41">
        <v>2.1460599899292001</v>
      </c>
      <c r="R41">
        <v>2.1508100032806401</v>
      </c>
      <c r="S41">
        <v>2.1785700321197501</v>
      </c>
      <c r="T41">
        <v>2.1387999057769802</v>
      </c>
      <c r="U41">
        <v>2.1843500137329102</v>
      </c>
      <c r="V41">
        <v>2.3218200206756601</v>
      </c>
      <c r="W41">
        <v>2.26876997947693</v>
      </c>
      <c r="X41">
        <v>2.2553300857543901</v>
      </c>
      <c r="Z41">
        <v>44.852960109710686</v>
      </c>
    </row>
    <row r="42" spans="1:26" x14ac:dyDescent="0.25">
      <c r="A42" t="s">
        <v>30</v>
      </c>
      <c r="C42">
        <v>1.1002899408340501</v>
      </c>
      <c r="E42">
        <v>1.14891004562378</v>
      </c>
      <c r="G42">
        <v>1.1204299926757799</v>
      </c>
      <c r="I42">
        <v>1.1576399803161599</v>
      </c>
      <c r="K42">
        <v>1.2521400451660201</v>
      </c>
      <c r="M42">
        <v>1.2322200536727901</v>
      </c>
      <c r="O42">
        <v>1.15337002277374</v>
      </c>
      <c r="Q42">
        <v>1.2278900146484399</v>
      </c>
      <c r="S42">
        <v>1.34905004501343</v>
      </c>
      <c r="U42">
        <v>1.40803003311157</v>
      </c>
      <c r="W42">
        <v>1.4656900167465201</v>
      </c>
      <c r="Z42">
        <v>13.615660190582279</v>
      </c>
    </row>
    <row r="43" spans="1:26" x14ac:dyDescent="0.25">
      <c r="A43" t="s">
        <v>28</v>
      </c>
      <c r="C43">
        <v>1.5601999759674099</v>
      </c>
      <c r="D43">
        <v>1.6264499425888099</v>
      </c>
      <c r="E43">
        <v>1.67571997642517</v>
      </c>
      <c r="F43">
        <v>1.53974997997284</v>
      </c>
      <c r="G43">
        <v>1.47714996337891</v>
      </c>
      <c r="H43">
        <v>1.4497200250625599</v>
      </c>
      <c r="I43">
        <v>1.5579400062561</v>
      </c>
      <c r="J43">
        <v>1.54556000232697</v>
      </c>
      <c r="K43">
        <v>1.71677994728088</v>
      </c>
      <c r="L43">
        <v>1.6411999464035001</v>
      </c>
      <c r="M43">
        <v>1.6171400547027599</v>
      </c>
      <c r="N43">
        <v>1.61053001880646</v>
      </c>
      <c r="O43">
        <v>1.6421600580215501</v>
      </c>
      <c r="P43">
        <v>1.70369005203247</v>
      </c>
      <c r="Q43">
        <v>1.92349994182587</v>
      </c>
      <c r="R43">
        <v>2.032870054245</v>
      </c>
      <c r="S43">
        <v>2.0816700458526598</v>
      </c>
      <c r="T43">
        <v>2.0348200798034699</v>
      </c>
      <c r="U43">
        <v>2.1359999179840101</v>
      </c>
      <c r="V43">
        <v>2.2443599700927699</v>
      </c>
      <c r="W43">
        <v>1.88763999938965</v>
      </c>
      <c r="X43">
        <v>1.5575200319290201</v>
      </c>
      <c r="Z43">
        <v>38.262369990348837</v>
      </c>
    </row>
    <row r="44" spans="1:26" x14ac:dyDescent="0.25">
      <c r="A44" t="s">
        <v>26</v>
      </c>
      <c r="B44">
        <v>0.11265999823808701</v>
      </c>
      <c r="C44">
        <v>0.11095999926328701</v>
      </c>
      <c r="D44">
        <v>0.10614000260829901</v>
      </c>
      <c r="E44">
        <v>0.108130000531673</v>
      </c>
      <c r="F44">
        <v>0.15578000247478499</v>
      </c>
      <c r="M44">
        <v>8.2819998264312703E-2</v>
      </c>
      <c r="N44">
        <v>5.5300001055002199E-2</v>
      </c>
      <c r="O44">
        <v>8.1739999353885706E-2</v>
      </c>
      <c r="P44">
        <v>0.108050003647804</v>
      </c>
      <c r="Q44">
        <v>0.117020003497601</v>
      </c>
      <c r="R44">
        <v>0.120080001652241</v>
      </c>
      <c r="S44">
        <v>0.120849996805191</v>
      </c>
      <c r="T44">
        <v>0.12682999670505499</v>
      </c>
      <c r="U44">
        <v>0.15695999562740301</v>
      </c>
      <c r="V44">
        <v>0.17228999733924899</v>
      </c>
      <c r="W44">
        <v>0.13752000033855399</v>
      </c>
      <c r="X44">
        <v>0.161779999732971</v>
      </c>
      <c r="Z44">
        <v>2.0349099971354008</v>
      </c>
    </row>
    <row r="45" spans="1:26" x14ac:dyDescent="0.25">
      <c r="A45" t="s">
        <v>27</v>
      </c>
      <c r="D45">
        <v>0.132630005478859</v>
      </c>
      <c r="E45">
        <v>0.12526999413967099</v>
      </c>
      <c r="G45">
        <v>0.106919996440411</v>
      </c>
      <c r="I45">
        <v>0.10497999936342201</v>
      </c>
      <c r="K45">
        <v>0.10901000350713699</v>
      </c>
      <c r="M45">
        <v>0.112219996750355</v>
      </c>
      <c r="O45">
        <v>0.13207000494003299</v>
      </c>
      <c r="Q45">
        <v>0.15682999789714799</v>
      </c>
      <c r="T45">
        <v>0.32221999764442399</v>
      </c>
      <c r="Z45">
        <v>1.30214999616146</v>
      </c>
    </row>
    <row r="46" spans="1:26" x14ac:dyDescent="0.25">
      <c r="A46" t="s">
        <v>32</v>
      </c>
      <c r="B46">
        <v>0.64077997207641602</v>
      </c>
      <c r="C46">
        <v>0.62159001827240001</v>
      </c>
      <c r="D46">
        <v>0.55674999952316295</v>
      </c>
      <c r="E46">
        <v>0.53806000947952304</v>
      </c>
      <c r="F46">
        <v>0.55250000953674305</v>
      </c>
      <c r="G46">
        <v>0.56278002262115501</v>
      </c>
      <c r="H46">
        <v>0.55102002620696999</v>
      </c>
      <c r="I46">
        <v>0.56193000078201305</v>
      </c>
      <c r="J46">
        <v>0.59943997859954801</v>
      </c>
      <c r="K46">
        <v>0.66105997562408403</v>
      </c>
      <c r="L46">
        <v>0.72618997097015403</v>
      </c>
      <c r="M46">
        <v>0.75221002101898204</v>
      </c>
      <c r="N46">
        <v>0.88997000455856301</v>
      </c>
      <c r="O46">
        <v>0.88482999801635698</v>
      </c>
      <c r="P46">
        <v>0.95076000690460205</v>
      </c>
      <c r="Q46">
        <v>1.0042300224304199</v>
      </c>
      <c r="R46">
        <v>0.96820998191833496</v>
      </c>
      <c r="S46">
        <v>1.0378500223159799</v>
      </c>
      <c r="T46">
        <v>1.20609998703003</v>
      </c>
      <c r="U46">
        <v>1.3233499526977499</v>
      </c>
      <c r="V46">
        <v>1.38608002662659</v>
      </c>
      <c r="W46">
        <v>1.4318300485611</v>
      </c>
      <c r="X46">
        <v>1.4538300037384</v>
      </c>
      <c r="Z46">
        <v>19.861350059509277</v>
      </c>
    </row>
    <row r="47" spans="1:26" x14ac:dyDescent="0.25">
      <c r="A47" t="s">
        <v>29</v>
      </c>
      <c r="B47">
        <v>0.72156000137329102</v>
      </c>
      <c r="C47">
        <v>0.76481997966766402</v>
      </c>
      <c r="D47">
        <v>0.72183001041412398</v>
      </c>
      <c r="E47">
        <v>0.69801998138427701</v>
      </c>
      <c r="F47">
        <v>0.72930002212524403</v>
      </c>
      <c r="G47">
        <v>0.75755000114440896</v>
      </c>
      <c r="H47">
        <v>0.95447999238967896</v>
      </c>
      <c r="I47">
        <v>1.1241699457168599</v>
      </c>
      <c r="J47">
        <v>1.4433499574661299</v>
      </c>
      <c r="K47">
        <v>1.5800100564956701</v>
      </c>
      <c r="L47">
        <v>1.53529000282288</v>
      </c>
      <c r="M47">
        <v>1.4574099779128999</v>
      </c>
      <c r="N47">
        <v>1.3786100149154701</v>
      </c>
      <c r="O47">
        <v>1.32467997074127</v>
      </c>
      <c r="P47">
        <v>1.2899199724197401</v>
      </c>
      <c r="Q47">
        <v>1.2432999610900899</v>
      </c>
      <c r="R47">
        <v>1.28075003623962</v>
      </c>
      <c r="S47">
        <v>1.3192800283432</v>
      </c>
      <c r="T47">
        <v>1.3495500087737999</v>
      </c>
      <c r="U47">
        <v>1.3956199884414699</v>
      </c>
      <c r="V47">
        <v>1.61391997337341</v>
      </c>
      <c r="W47">
        <v>1.67051005363464</v>
      </c>
      <c r="X47">
        <v>1.7017899751663199</v>
      </c>
      <c r="Z47">
        <v>28.055719912052162</v>
      </c>
    </row>
    <row r="48" spans="1:26" x14ac:dyDescent="0.25">
      <c r="A48" t="s">
        <v>31</v>
      </c>
      <c r="B48">
        <v>0.36625999212264998</v>
      </c>
      <c r="C48">
        <v>0.39129000902175898</v>
      </c>
      <c r="D48">
        <v>0.37720999121665999</v>
      </c>
      <c r="E48">
        <v>0.39708000421523998</v>
      </c>
      <c r="F48">
        <v>0.38942000269889798</v>
      </c>
      <c r="G48">
        <v>0.41262000799179099</v>
      </c>
      <c r="H48">
        <v>0.45682001113891602</v>
      </c>
      <c r="I48">
        <v>0.51147997379303001</v>
      </c>
      <c r="J48">
        <v>0.55215001106262196</v>
      </c>
      <c r="K48">
        <v>0.44394999742507901</v>
      </c>
      <c r="L48">
        <v>0.44666001200675998</v>
      </c>
      <c r="M48">
        <v>0.474590003490448</v>
      </c>
      <c r="N48">
        <v>0.46239998936653098</v>
      </c>
      <c r="O48">
        <v>0.39024001359939597</v>
      </c>
      <c r="P48">
        <v>0.382079988718033</v>
      </c>
      <c r="Q48">
        <v>0.48796001076698298</v>
      </c>
      <c r="R48">
        <v>0.48864001035690302</v>
      </c>
      <c r="S48">
        <v>0.50692999362945601</v>
      </c>
      <c r="T48">
        <v>0.49728998541831998</v>
      </c>
      <c r="U48">
        <v>0.47615998983383201</v>
      </c>
      <c r="V48">
        <v>0.46538001298904402</v>
      </c>
      <c r="W48">
        <v>0.472339987754822</v>
      </c>
      <c r="X48">
        <v>0.45881000161170998</v>
      </c>
      <c r="Z48">
        <v>10.307760000228882</v>
      </c>
    </row>
    <row r="49" spans="1:26" x14ac:dyDescent="0.25">
      <c r="A49" t="s">
        <v>33</v>
      </c>
      <c r="B49">
        <v>1.0498299598693801</v>
      </c>
      <c r="C49">
        <v>1.17693996429443</v>
      </c>
      <c r="D49">
        <v>1.24652004241943</v>
      </c>
      <c r="E49">
        <v>1.2860300540924099</v>
      </c>
      <c r="F49">
        <v>1.1513299942016599</v>
      </c>
      <c r="G49">
        <v>1.06797003746033</v>
      </c>
      <c r="H49">
        <v>1.0729399919509901</v>
      </c>
      <c r="I49">
        <v>1.11610996723175</v>
      </c>
      <c r="J49">
        <v>1.04435002803802</v>
      </c>
      <c r="K49">
        <v>1.2519199848175</v>
      </c>
      <c r="L49">
        <v>1.13020002841949</v>
      </c>
      <c r="M49">
        <v>1.0154500007629399</v>
      </c>
      <c r="N49">
        <v>1.02766001224518</v>
      </c>
      <c r="O49">
        <v>1.0273200273513801</v>
      </c>
      <c r="P49">
        <v>1.07240998744965</v>
      </c>
      <c r="Q49">
        <v>1.1008499860763501</v>
      </c>
      <c r="R49">
        <v>1.1023800373077399</v>
      </c>
      <c r="S49">
        <v>1.10967004299164</v>
      </c>
      <c r="T49">
        <v>0.99001997709274303</v>
      </c>
      <c r="U49">
        <v>1.0353100299835201</v>
      </c>
      <c r="V49">
        <v>1.0909899473190301</v>
      </c>
      <c r="W49">
        <v>0.95857000350952104</v>
      </c>
      <c r="X49">
        <v>0.92527002096176103</v>
      </c>
      <c r="Z49">
        <v>25.050040125846849</v>
      </c>
    </row>
    <row r="50" spans="1:26" x14ac:dyDescent="0.25">
      <c r="A50" t="s">
        <v>23</v>
      </c>
      <c r="B50">
        <v>1.81699001789093</v>
      </c>
      <c r="C50">
        <v>2.0092999935150102</v>
      </c>
      <c r="D50">
        <v>2.0328199863433798</v>
      </c>
      <c r="E50">
        <v>1.9967900514602701</v>
      </c>
      <c r="F50">
        <v>2.0785899162292498</v>
      </c>
      <c r="G50">
        <v>2.14806008338928</v>
      </c>
      <c r="H50">
        <v>2.1165599822997998</v>
      </c>
      <c r="I50">
        <v>2.3198599815368701</v>
      </c>
      <c r="J50">
        <v>2.59674000740051</v>
      </c>
      <c r="K50">
        <v>2.1278998851776101</v>
      </c>
      <c r="L50">
        <v>1.9291800260543801</v>
      </c>
      <c r="M50">
        <v>2.0695500373840301</v>
      </c>
      <c r="N50">
        <v>1.91832995414734</v>
      </c>
      <c r="O50">
        <v>1.9210400581359901</v>
      </c>
      <c r="P50">
        <v>2.0822799205779998</v>
      </c>
      <c r="Q50">
        <v>2.1744499206543</v>
      </c>
      <c r="R50">
        <v>2.0727601051330602</v>
      </c>
      <c r="S50">
        <v>1.899129986763</v>
      </c>
      <c r="T50">
        <v>1.80947005748749</v>
      </c>
      <c r="U50">
        <v>1.8847399950027499</v>
      </c>
      <c r="V50">
        <v>2.15626001358032</v>
      </c>
      <c r="Z50">
        <v>43.16079998016356</v>
      </c>
    </row>
    <row r="51" spans="1:26" x14ac:dyDescent="0.25">
      <c r="A51" t="s">
        <v>24</v>
      </c>
      <c r="B51">
        <v>0.63806998729705799</v>
      </c>
      <c r="C51">
        <v>0.62465000152587902</v>
      </c>
      <c r="D51">
        <v>0.56313997507095304</v>
      </c>
      <c r="E51">
        <v>0.56145000457763705</v>
      </c>
      <c r="F51">
        <v>0.50068998336792003</v>
      </c>
      <c r="G51">
        <v>0.49331998825073198</v>
      </c>
      <c r="H51">
        <v>0.47488000988960299</v>
      </c>
      <c r="I51">
        <v>0.44745999574661299</v>
      </c>
      <c r="J51">
        <v>0.46136999130249001</v>
      </c>
      <c r="K51">
        <v>0.472719997167587</v>
      </c>
      <c r="L51">
        <v>0.60549998283386197</v>
      </c>
      <c r="M51">
        <v>0.65254998207092296</v>
      </c>
      <c r="N51">
        <v>0.79461002349853505</v>
      </c>
      <c r="O51">
        <v>0.82005000114440896</v>
      </c>
      <c r="P51">
        <v>0.87699997425079301</v>
      </c>
      <c r="Q51">
        <v>1.1572699546814</v>
      </c>
      <c r="R51">
        <v>0.78856998682022095</v>
      </c>
      <c r="S51">
        <v>0.88455998897552501</v>
      </c>
      <c r="T51">
        <v>0.83555001020431496</v>
      </c>
      <c r="U51">
        <v>0.82239997386932395</v>
      </c>
      <c r="V51">
        <v>0.897729992866516</v>
      </c>
      <c r="W51">
        <v>0.916109979152679</v>
      </c>
      <c r="X51">
        <v>0.97939002513885498</v>
      </c>
      <c r="Z51">
        <v>16.26903980970383</v>
      </c>
    </row>
    <row r="52" spans="1:26" x14ac:dyDescent="0.25">
      <c r="A52" t="s">
        <v>25</v>
      </c>
      <c r="B52">
        <v>1.35982000827789</v>
      </c>
      <c r="C52">
        <v>1.4676699638366699</v>
      </c>
      <c r="D52">
        <v>1.4432499408721899</v>
      </c>
      <c r="E52">
        <v>1.24792003631592</v>
      </c>
      <c r="F52">
        <v>1.3702600002288801</v>
      </c>
      <c r="G52">
        <v>1.41778004169464</v>
      </c>
      <c r="H52">
        <v>1.5370500087737999</v>
      </c>
      <c r="I52">
        <v>1.42702996730804</v>
      </c>
      <c r="J52">
        <v>1.62672996520996</v>
      </c>
      <c r="K52">
        <v>1.81184005737305</v>
      </c>
      <c r="L52">
        <v>2.05133008956909</v>
      </c>
      <c r="M52">
        <v>2.4129700660705602</v>
      </c>
      <c r="N52">
        <v>2.5606100559234601</v>
      </c>
      <c r="O52">
        <v>2.56487011909485</v>
      </c>
      <c r="P52">
        <v>2.3654799461364702</v>
      </c>
      <c r="Q52">
        <v>2.19565010070801</v>
      </c>
      <c r="R52">
        <v>2.00763988494873</v>
      </c>
      <c r="S52">
        <v>1.86530005931854</v>
      </c>
      <c r="T52">
        <v>1.9459300041198699</v>
      </c>
      <c r="U52">
        <v>2.0392200946807901</v>
      </c>
      <c r="V52">
        <v>2.1415600776672399</v>
      </c>
      <c r="W52">
        <v>2.1280000209808301</v>
      </c>
      <c r="X52">
        <v>2.0952498912811302</v>
      </c>
      <c r="Z52">
        <v>43.083160400390618</v>
      </c>
    </row>
    <row r="53" spans="1:26" x14ac:dyDescent="0.25">
      <c r="A53" t="s">
        <v>21</v>
      </c>
      <c r="B53">
        <v>0.88275998830795299</v>
      </c>
      <c r="C53">
        <v>0.88832998275756803</v>
      </c>
      <c r="D53">
        <v>0.95971000194549605</v>
      </c>
      <c r="E53">
        <v>1.0237300395965601</v>
      </c>
      <c r="F53">
        <v>1.0408899784088099</v>
      </c>
      <c r="G53">
        <v>1.09956002235413</v>
      </c>
      <c r="H53">
        <v>1.1770199537277199</v>
      </c>
      <c r="I53">
        <v>1.2405300140380899</v>
      </c>
      <c r="J53">
        <v>1.32500004768372</v>
      </c>
      <c r="K53">
        <v>1.3636399507522601</v>
      </c>
      <c r="L53">
        <v>1.3599599599838299</v>
      </c>
      <c r="M53">
        <v>1.3334100246429399</v>
      </c>
      <c r="N53">
        <v>1.2987600564956701</v>
      </c>
      <c r="O53">
        <v>1.27481997013092</v>
      </c>
      <c r="P53">
        <v>1.2415900230407699</v>
      </c>
      <c r="Q53">
        <v>1.22178995609283</v>
      </c>
      <c r="R53">
        <v>1.1898599863052399</v>
      </c>
      <c r="S53">
        <v>1.2097699642181401</v>
      </c>
      <c r="T53">
        <v>1.24151003360748</v>
      </c>
      <c r="U53">
        <v>1.25024998188019</v>
      </c>
      <c r="V53">
        <v>1.4091000556945801</v>
      </c>
      <c r="W53">
        <v>1.4112199544906601</v>
      </c>
      <c r="X53">
        <v>1.43532001972198</v>
      </c>
      <c r="Z53">
        <v>27.878529965877544</v>
      </c>
    </row>
    <row r="54" spans="1:26" x14ac:dyDescent="0.25">
      <c r="A54" t="s">
        <v>20</v>
      </c>
      <c r="C54">
        <v>3.8738000392913801</v>
      </c>
      <c r="E54">
        <v>3.5794799327850302</v>
      </c>
      <c r="F54">
        <v>3.3612899780273402</v>
      </c>
      <c r="G54">
        <v>3.35958003997803</v>
      </c>
      <c r="H54">
        <v>3.4749999046325701</v>
      </c>
      <c r="I54">
        <v>3.2338299751281698</v>
      </c>
      <c r="J54">
        <v>3.4699900150299099</v>
      </c>
      <c r="K54">
        <v>3.3952798843383798</v>
      </c>
      <c r="L54">
        <v>3.1678900718689</v>
      </c>
      <c r="M54">
        <v>3.1870200634002699</v>
      </c>
      <c r="N54">
        <v>3.2302498817443799</v>
      </c>
      <c r="O54">
        <v>3.2604200839996298</v>
      </c>
      <c r="P54">
        <v>3.1018400192260698</v>
      </c>
      <c r="Q54">
        <v>3.2190299034118701</v>
      </c>
      <c r="R54">
        <v>3.2473599910736102</v>
      </c>
      <c r="S54">
        <v>3.3627901077270499</v>
      </c>
      <c r="T54">
        <v>3.3210599422454798</v>
      </c>
      <c r="U54">
        <v>3.38757991790771</v>
      </c>
      <c r="V54">
        <v>3.4895999431610099</v>
      </c>
      <c r="W54">
        <v>3.40215992927551</v>
      </c>
      <c r="X54">
        <v>3.4082200527191202</v>
      </c>
      <c r="Z54">
        <v>70.533469676971407</v>
      </c>
    </row>
    <row r="55" spans="1:26" x14ac:dyDescent="0.25">
      <c r="A55" t="s">
        <v>22</v>
      </c>
      <c r="B55">
        <v>2.2638599872589098</v>
      </c>
      <c r="F55">
        <v>2.6081800460815399</v>
      </c>
      <c r="J55">
        <v>2.6529600620269802</v>
      </c>
      <c r="N55">
        <v>2.8745698928832999</v>
      </c>
      <c r="Q55">
        <v>3.07832002639771</v>
      </c>
      <c r="S55">
        <v>3.0769801139831499</v>
      </c>
      <c r="U55">
        <v>3.1967999935150102</v>
      </c>
      <c r="W55">
        <v>3.3064498901367201</v>
      </c>
      <c r="Z55">
        <v>23.058120012283318</v>
      </c>
    </row>
    <row r="56" spans="1:26" x14ac:dyDescent="0.25">
      <c r="A56" t="s">
        <v>18</v>
      </c>
      <c r="B56">
        <v>0.244709998369217</v>
      </c>
      <c r="C56">
        <v>0.25231000781059298</v>
      </c>
      <c r="D56">
        <v>0.23055000603199</v>
      </c>
      <c r="E56">
        <v>0.24534000456333199</v>
      </c>
      <c r="F56">
        <v>0.23827999830245999</v>
      </c>
      <c r="G56">
        <v>0.218889996409416</v>
      </c>
      <c r="H56">
        <v>0.23271000385284399</v>
      </c>
      <c r="I56">
        <v>0.200800001621246</v>
      </c>
      <c r="J56">
        <v>0.20330999791622201</v>
      </c>
      <c r="K56">
        <v>0.23454999923706099</v>
      </c>
      <c r="M56">
        <v>0.361460000276566</v>
      </c>
      <c r="O56">
        <v>0.44163998961448703</v>
      </c>
      <c r="P56">
        <v>0.47988000512123102</v>
      </c>
      <c r="Q56">
        <v>0.61608999967575095</v>
      </c>
      <c r="R56">
        <v>0.77828997373580899</v>
      </c>
      <c r="S56">
        <v>1.00165998935699</v>
      </c>
      <c r="T56">
        <v>1.1137399673461901</v>
      </c>
      <c r="U56">
        <v>1.1431699991226201</v>
      </c>
      <c r="V56">
        <v>1.32817995548248</v>
      </c>
      <c r="W56">
        <v>1.2080700397491499</v>
      </c>
      <c r="X56">
        <v>1.159019947052</v>
      </c>
      <c r="Z56">
        <v>11.932649880647654</v>
      </c>
    </row>
    <row r="57" spans="1:26" x14ac:dyDescent="0.25">
      <c r="A57" t="s">
        <v>19</v>
      </c>
      <c r="B57">
        <v>0.46557998657226601</v>
      </c>
      <c r="C57">
        <v>0.52246999740600597</v>
      </c>
      <c r="D57">
        <v>0.50903999805450395</v>
      </c>
      <c r="E57">
        <v>0.46531999111175498</v>
      </c>
      <c r="F57">
        <v>0.497130006551743</v>
      </c>
      <c r="G57">
        <v>0.56380999088287398</v>
      </c>
      <c r="H57">
        <v>0.55291998386383101</v>
      </c>
      <c r="I57">
        <v>0.686160027980804</v>
      </c>
      <c r="J57">
        <v>0.68740999698638905</v>
      </c>
      <c r="K57">
        <v>0.80361998081207298</v>
      </c>
      <c r="L57">
        <v>0.793690025806427</v>
      </c>
      <c r="M57">
        <v>0.79392999410629295</v>
      </c>
      <c r="N57">
        <v>0.825950026512146</v>
      </c>
      <c r="O57">
        <v>0.81205999851226796</v>
      </c>
      <c r="P57">
        <v>0.85640001296997104</v>
      </c>
      <c r="Q57">
        <v>0.96732002496719405</v>
      </c>
      <c r="R57">
        <v>1.11978995800018</v>
      </c>
      <c r="S57">
        <v>1.17631995677948</v>
      </c>
      <c r="T57">
        <v>1.27093005180359</v>
      </c>
      <c r="U57">
        <v>1.3195999860763501</v>
      </c>
      <c r="V57">
        <v>1.3674800395965601</v>
      </c>
      <c r="W57">
        <v>1.4020899534225499</v>
      </c>
      <c r="X57">
        <v>1.32342994213104</v>
      </c>
      <c r="Z57">
        <v>19.782449930906292</v>
      </c>
    </row>
    <row r="58" spans="1:26" x14ac:dyDescent="0.25">
      <c r="A58" t="s">
        <v>14</v>
      </c>
      <c r="B58">
        <v>1.60962998867035</v>
      </c>
      <c r="C58">
        <v>1.5954500436782799</v>
      </c>
      <c r="D58">
        <v>1.6138299703598</v>
      </c>
      <c r="E58">
        <v>1.58131003379822</v>
      </c>
      <c r="F58">
        <v>1.53088998794556</v>
      </c>
      <c r="G58">
        <v>1.5500400066375699</v>
      </c>
      <c r="H58">
        <v>1.57625997066498</v>
      </c>
      <c r="I58">
        <v>1.6182999610900899</v>
      </c>
      <c r="J58">
        <v>1.6090099811553999</v>
      </c>
      <c r="K58">
        <v>1.66990995407104</v>
      </c>
      <c r="L58">
        <v>1.63885998725891</v>
      </c>
      <c r="M58">
        <v>1.6468100547790501</v>
      </c>
      <c r="N58">
        <v>1.5758700370788601</v>
      </c>
      <c r="O58">
        <v>1.62095999717712</v>
      </c>
      <c r="P58">
        <v>2.2648799419403098</v>
      </c>
      <c r="Q58">
        <v>2.2756600379943799</v>
      </c>
      <c r="R58">
        <v>2.3205199241638201</v>
      </c>
      <c r="S58">
        <v>2.3260200023651101</v>
      </c>
      <c r="T58">
        <v>2.7112400531768799</v>
      </c>
      <c r="U58">
        <v>2.6707999706268302</v>
      </c>
      <c r="V58">
        <v>2.9388298988342298</v>
      </c>
      <c r="W58">
        <v>2.8971099853515598</v>
      </c>
      <c r="Z58">
        <v>42.842189788818345</v>
      </c>
    </row>
    <row r="59" spans="1:26" x14ac:dyDescent="0.25">
      <c r="A59" t="s">
        <v>15</v>
      </c>
      <c r="B59">
        <v>2.61982989311218</v>
      </c>
      <c r="C59">
        <v>2.6371500492095898</v>
      </c>
      <c r="D59">
        <v>2.5474500656127899</v>
      </c>
      <c r="E59">
        <v>2.55014991760254</v>
      </c>
      <c r="F59">
        <v>2.48686003684998</v>
      </c>
      <c r="G59">
        <v>2.5019299983978298</v>
      </c>
      <c r="H59">
        <v>2.54544997215271</v>
      </c>
      <c r="I59">
        <v>2.6151599884033199</v>
      </c>
      <c r="J59">
        <v>2.7448101043701199</v>
      </c>
      <c r="K59">
        <v>2.79181003570557</v>
      </c>
      <c r="L59">
        <v>2.7144401073455802</v>
      </c>
      <c r="M59">
        <v>2.7380299568176301</v>
      </c>
      <c r="N59">
        <v>2.67272996902466</v>
      </c>
      <c r="O59">
        <v>2.6959199905395499</v>
      </c>
      <c r="P59">
        <v>2.7088100910186799</v>
      </c>
      <c r="Q59">
        <v>2.7732799053192099</v>
      </c>
      <c r="R59">
        <v>2.8367600440978999</v>
      </c>
      <c r="S59">
        <v>2.8835699558258101</v>
      </c>
      <c r="T59">
        <v>2.99044990539551</v>
      </c>
      <c r="U59">
        <v>3.1470398902893102</v>
      </c>
      <c r="V59">
        <v>3.4246699810028098</v>
      </c>
      <c r="W59">
        <v>3.4831299781799299</v>
      </c>
      <c r="X59">
        <v>3.5862300395965598</v>
      </c>
      <c r="Z59">
        <v>64.695659875869765</v>
      </c>
    </row>
    <row r="60" spans="1:26" x14ac:dyDescent="0.25">
      <c r="A60" t="s">
        <v>9</v>
      </c>
      <c r="B60">
        <v>0.209250003099442</v>
      </c>
      <c r="D60">
        <v>0.238179996609688</v>
      </c>
      <c r="G60">
        <v>0.46031001210212702</v>
      </c>
      <c r="H60">
        <v>0.363849997520447</v>
      </c>
      <c r="I60">
        <v>0.42159000039100603</v>
      </c>
      <c r="J60">
        <v>0.37441000342369102</v>
      </c>
      <c r="K60">
        <v>0.40239000320434598</v>
      </c>
      <c r="L60">
        <v>0.328819990158081</v>
      </c>
      <c r="M60">
        <v>0.32962000370025601</v>
      </c>
      <c r="N60">
        <v>0.30807998776435902</v>
      </c>
      <c r="O60">
        <v>0.29118001461029103</v>
      </c>
      <c r="P60">
        <v>0.31707000732421903</v>
      </c>
      <c r="Q60">
        <v>0.35109001398086498</v>
      </c>
      <c r="R60">
        <v>0.37391000986099199</v>
      </c>
      <c r="S60">
        <v>0.44051998853683499</v>
      </c>
      <c r="T60">
        <v>0.50484001636505105</v>
      </c>
      <c r="U60">
        <v>0.56805002689361594</v>
      </c>
      <c r="V60">
        <v>0.67467999458312999</v>
      </c>
      <c r="W60">
        <v>0.61447000503539995</v>
      </c>
      <c r="X60">
        <v>0.62591999769210804</v>
      </c>
      <c r="Z60">
        <v>8.1982300728559494</v>
      </c>
    </row>
    <row r="61" spans="1:26" x14ac:dyDescent="0.25">
      <c r="A61" t="s">
        <v>16</v>
      </c>
      <c r="G61">
        <v>0.18907000124454501</v>
      </c>
      <c r="H61">
        <v>0.31742000579834001</v>
      </c>
      <c r="I61">
        <v>0.20110000669956199</v>
      </c>
      <c r="J61">
        <v>0.23803000152111101</v>
      </c>
      <c r="K61">
        <v>0.240140005946159</v>
      </c>
      <c r="L61">
        <v>0.18822999298572499</v>
      </c>
      <c r="M61">
        <v>0.15296000242233301</v>
      </c>
      <c r="N61">
        <v>0.250099986791611</v>
      </c>
      <c r="O61">
        <v>0.31852999329567</v>
      </c>
      <c r="P61">
        <v>0.33713001012802102</v>
      </c>
      <c r="Q61">
        <v>0.43999999761581399</v>
      </c>
      <c r="R61">
        <v>0.68999999761581399</v>
      </c>
      <c r="Z61">
        <v>3.5627100020647058</v>
      </c>
    </row>
    <row r="62" spans="1:26" x14ac:dyDescent="0.25">
      <c r="A62" t="s">
        <v>17</v>
      </c>
      <c r="D62">
        <v>0.19272999465465501</v>
      </c>
      <c r="M62">
        <v>0.149550005793571</v>
      </c>
      <c r="O62">
        <v>0.29932001233100902</v>
      </c>
      <c r="Q62">
        <v>0.356290012598038</v>
      </c>
      <c r="S62">
        <v>0.41894999146461498</v>
      </c>
      <c r="U62">
        <v>0.41651999950408902</v>
      </c>
      <c r="W62">
        <v>0.42493999004364003</v>
      </c>
      <c r="Z62">
        <v>2.258300006389617</v>
      </c>
    </row>
    <row r="63" spans="1:26" x14ac:dyDescent="0.25">
      <c r="A63" t="s">
        <v>72</v>
      </c>
      <c r="B63">
        <v>58.952319882810102</v>
      </c>
      <c r="C63">
        <v>62.071320295333855</v>
      </c>
      <c r="D63">
        <v>59.664139788597829</v>
      </c>
      <c r="E63">
        <v>64.0817801207304</v>
      </c>
      <c r="F63">
        <v>65.182640299200997</v>
      </c>
      <c r="G63">
        <v>64.497160173952608</v>
      </c>
      <c r="H63">
        <v>68.142670139670344</v>
      </c>
      <c r="I63">
        <v>67.582569889724255</v>
      </c>
      <c r="J63">
        <v>75.191959410905866</v>
      </c>
      <c r="K63">
        <v>74.482739791274085</v>
      </c>
      <c r="L63">
        <v>72.039650037884741</v>
      </c>
      <c r="M63">
        <v>77.960290499031544</v>
      </c>
      <c r="N63">
        <v>75.612410400062785</v>
      </c>
      <c r="O63">
        <v>78.36597990244627</v>
      </c>
      <c r="P63">
        <v>77.279639676213293</v>
      </c>
      <c r="Q63">
        <v>84.777519591152668</v>
      </c>
      <c r="R63">
        <v>77.538340218365192</v>
      </c>
      <c r="S63">
        <v>83.517540350556359</v>
      </c>
      <c r="T63">
        <v>80.324808999896035</v>
      </c>
      <c r="U63">
        <v>88.329299733042717</v>
      </c>
      <c r="V63">
        <v>87.418470293283434</v>
      </c>
      <c r="W63">
        <v>88.056830272078528</v>
      </c>
      <c r="X63">
        <v>77.912060320377364</v>
      </c>
      <c r="Y63">
        <v>3.0729099214076916</v>
      </c>
      <c r="Z63">
        <v>1712.0550500079989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2652B-75F0-4ECD-A143-67D8DEB300DB}">
  <sheetPr>
    <tabColor rgb="FFFFC000"/>
  </sheetPr>
  <dimension ref="A1:Z63"/>
  <sheetViews>
    <sheetView topLeftCell="Z1" workbookViewId="0">
      <selection activeCell="AB5" sqref="AB5"/>
    </sheetView>
  </sheetViews>
  <sheetFormatPr baseColWidth="10" defaultRowHeight="15" x14ac:dyDescent="0.25"/>
  <sheetData>
    <row r="1" spans="1:26" x14ac:dyDescent="0.25">
      <c r="A1" t="s">
        <v>8</v>
      </c>
      <c r="B1" t="s">
        <v>2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-0.78899893905690999</v>
      </c>
      <c r="C5">
        <v>-4.4088396825855698</v>
      </c>
      <c r="D5">
        <v>-10.894484828590301</v>
      </c>
      <c r="E5">
        <v>8.8370407957692407</v>
      </c>
      <c r="F5">
        <v>9.0295733006815198</v>
      </c>
      <c r="G5">
        <v>8.8516599201343702</v>
      </c>
      <c r="H5">
        <v>8.0471515004302692</v>
      </c>
      <c r="I5">
        <v>9.0076508750475703</v>
      </c>
      <c r="J5">
        <v>4.0572331034640596</v>
      </c>
      <c r="K5">
        <v>-5.9185250763494697</v>
      </c>
      <c r="L5">
        <v>10.1253981561002</v>
      </c>
      <c r="M5">
        <v>6.0039516928057903</v>
      </c>
      <c r="N5">
        <v>-1.0264204544321001</v>
      </c>
      <c r="O5">
        <v>2.4053237807943599</v>
      </c>
      <c r="P5">
        <v>-2.5126153208139401</v>
      </c>
      <c r="Q5">
        <v>2.73115982828944</v>
      </c>
      <c r="R5">
        <v>-2.0803278437781101</v>
      </c>
      <c r="S5">
        <v>2.8185029777591799</v>
      </c>
      <c r="T5">
        <v>-2.6173964628203801</v>
      </c>
      <c r="U5">
        <v>-2.00086100285785</v>
      </c>
      <c r="V5">
        <v>-9.9004848136464005</v>
      </c>
      <c r="W5">
        <v>10.441811988250601</v>
      </c>
      <c r="X5">
        <v>5.2698796738407196</v>
      </c>
      <c r="Y5">
        <v>-1.61100162090189</v>
      </c>
      <c r="Z5">
        <v>43.866381547534409</v>
      </c>
    </row>
    <row r="6" spans="1:26" x14ac:dyDescent="0.25">
      <c r="A6" t="s">
        <v>69</v>
      </c>
      <c r="B6">
        <v>3.9215029305806</v>
      </c>
      <c r="C6">
        <v>2.0251055345459301</v>
      </c>
      <c r="D6">
        <v>3.9795856806736198</v>
      </c>
      <c r="E6">
        <v>3.0907619048934798</v>
      </c>
      <c r="F6">
        <v>4.2242848135996196</v>
      </c>
      <c r="G6">
        <v>3.15416753184221</v>
      </c>
      <c r="H6">
        <v>2.7553461055722699</v>
      </c>
      <c r="I6">
        <v>3.77332171303566</v>
      </c>
      <c r="J6">
        <v>3.58626695226046</v>
      </c>
      <c r="K6">
        <v>1.8925558192254901</v>
      </c>
      <c r="L6">
        <v>2.2199802653654901</v>
      </c>
      <c r="M6">
        <v>2.4070801829198798</v>
      </c>
      <c r="N6">
        <v>3.9167094245407301</v>
      </c>
      <c r="O6">
        <v>2.6021933943655902</v>
      </c>
      <c r="P6">
        <v>2.5952841159404199</v>
      </c>
      <c r="Q6">
        <v>2.19016928695221</v>
      </c>
      <c r="R6">
        <v>2.7593859723839</v>
      </c>
      <c r="S6">
        <v>2.2795917982034299</v>
      </c>
      <c r="T6">
        <v>2.8784697146788298</v>
      </c>
      <c r="U6">
        <v>2.1715450573717598</v>
      </c>
      <c r="V6">
        <v>-0.119590735829973</v>
      </c>
      <c r="W6">
        <v>2.1111681476878599</v>
      </c>
      <c r="X6">
        <v>4.2423855533613901</v>
      </c>
      <c r="Y6">
        <v>3.4419922000902501</v>
      </c>
      <c r="Z6">
        <v>68.09926336426112</v>
      </c>
    </row>
    <row r="7" spans="1:26" x14ac:dyDescent="0.25">
      <c r="A7" t="s">
        <v>70</v>
      </c>
      <c r="B7">
        <v>3.1895226785978301</v>
      </c>
      <c r="C7">
        <v>1.3169876089574599</v>
      </c>
      <c r="D7">
        <v>1.4843689777327</v>
      </c>
      <c r="E7">
        <v>1.14156501477392</v>
      </c>
      <c r="F7">
        <v>2.5652550925735702</v>
      </c>
      <c r="G7">
        <v>2.3203652667973098</v>
      </c>
      <c r="H7">
        <v>3.2693361060239301</v>
      </c>
      <c r="I7">
        <v>3.77522461621224</v>
      </c>
      <c r="J7">
        <v>1.4533055975268101</v>
      </c>
      <c r="K7">
        <v>-3.5862647793131299</v>
      </c>
      <c r="L7">
        <v>1.8089826696085001</v>
      </c>
      <c r="M7">
        <v>2.9274679078969301</v>
      </c>
      <c r="N7">
        <v>0.628246179413949</v>
      </c>
      <c r="O7">
        <v>-0.25072654592673899</v>
      </c>
      <c r="P7">
        <v>0.75579907689279902</v>
      </c>
      <c r="Q7">
        <v>1.3035230979888901</v>
      </c>
      <c r="R7">
        <v>2.11721967096108</v>
      </c>
      <c r="S7">
        <v>2.27225012037459</v>
      </c>
      <c r="T7">
        <v>2.48422086689928</v>
      </c>
      <c r="U7">
        <v>1.7549764558533001</v>
      </c>
      <c r="V7">
        <v>-6.3182552867020796</v>
      </c>
      <c r="W7">
        <v>4.7953291055145799</v>
      </c>
      <c r="X7">
        <v>5.2778942120371504</v>
      </c>
      <c r="Y7">
        <v>-0.95496236684925895</v>
      </c>
      <c r="Z7">
        <v>35.531631343845618</v>
      </c>
    </row>
    <row r="8" spans="1:26" x14ac:dyDescent="0.25">
      <c r="A8" t="s">
        <v>67</v>
      </c>
      <c r="B8">
        <v>3.71670515995253</v>
      </c>
      <c r="C8">
        <v>1.0996035881653701</v>
      </c>
      <c r="D8">
        <v>1.7068941065786001</v>
      </c>
      <c r="E8">
        <v>1.03795528497115</v>
      </c>
      <c r="F8">
        <v>3.5712068078027199</v>
      </c>
      <c r="G8">
        <v>2.3217379643264202</v>
      </c>
      <c r="H8">
        <v>2.5523406784896401</v>
      </c>
      <c r="I8">
        <v>3.6769248389252298</v>
      </c>
      <c r="J8">
        <v>0.44690494771752798</v>
      </c>
      <c r="K8">
        <v>-1.90644089375826</v>
      </c>
      <c r="L8">
        <v>2.7103114134645798</v>
      </c>
      <c r="M8">
        <v>1.93115497859051</v>
      </c>
      <c r="N8">
        <v>0.21580367322044899</v>
      </c>
      <c r="O8">
        <v>0.30549447856237999</v>
      </c>
      <c r="P8">
        <v>1.7655403820308799</v>
      </c>
      <c r="Q8">
        <v>1.4741643858801301</v>
      </c>
      <c r="R8">
        <v>1.1935026399511099</v>
      </c>
      <c r="S8">
        <v>1.47446765653092</v>
      </c>
      <c r="T8">
        <v>1.87796857219402</v>
      </c>
      <c r="U8">
        <v>2.4428900664860902</v>
      </c>
      <c r="V8">
        <v>-4.7929838972626397</v>
      </c>
      <c r="W8">
        <v>6.2025540158608097</v>
      </c>
      <c r="X8">
        <v>4.2334318336917001</v>
      </c>
      <c r="Y8">
        <v>1.2517006320359501</v>
      </c>
      <c r="Z8">
        <v>40.509833314407814</v>
      </c>
    </row>
    <row r="9" spans="1:26" x14ac:dyDescent="0.25">
      <c r="A9" t="s">
        <v>62</v>
      </c>
      <c r="B9">
        <v>4.3879494474561804</v>
      </c>
      <c r="C9">
        <v>1.3898964009563699</v>
      </c>
      <c r="D9">
        <v>3.0534618590931202</v>
      </c>
      <c r="E9">
        <v>1.14082899824888</v>
      </c>
      <c r="F9">
        <v>5.7599646367095403</v>
      </c>
      <c r="G9">
        <v>3.2021320613043098</v>
      </c>
      <c r="H9">
        <v>3.9619887112261698</v>
      </c>
      <c r="I9">
        <v>6.0698706067833799</v>
      </c>
      <c r="J9">
        <v>5.09419544658736</v>
      </c>
      <c r="K9">
        <v>-0.125812002161169</v>
      </c>
      <c r="L9">
        <v>7.5282258181536399</v>
      </c>
      <c r="M9">
        <v>3.9744230794470199</v>
      </c>
      <c r="N9">
        <v>1.9211759857653701</v>
      </c>
      <c r="O9">
        <v>3.0048226694443199</v>
      </c>
      <c r="P9">
        <v>0.50395574024224699</v>
      </c>
      <c r="Q9">
        <v>-3.54576339269425</v>
      </c>
      <c r="R9">
        <v>-3.2759169078219199</v>
      </c>
      <c r="S9">
        <v>1.32286905404399</v>
      </c>
      <c r="T9">
        <v>1.7836667616340001</v>
      </c>
      <c r="U9">
        <v>1.2207778236084199</v>
      </c>
      <c r="V9">
        <v>-3.2767587964736</v>
      </c>
      <c r="W9">
        <v>4.7626043790860804</v>
      </c>
      <c r="X9">
        <v>3.0166943539301498</v>
      </c>
      <c r="Y9">
        <v>2.90848048667777</v>
      </c>
      <c r="Z9">
        <v>55.783733221247381</v>
      </c>
    </row>
    <row r="10" spans="1:26" x14ac:dyDescent="0.25">
      <c r="A10" t="s">
        <v>66</v>
      </c>
      <c r="B10">
        <v>4.5872255103897697</v>
      </c>
      <c r="C10">
        <v>3.8237043739808501</v>
      </c>
      <c r="D10">
        <v>5.8719311896893602</v>
      </c>
      <c r="E10">
        <v>5.23715363472283</v>
      </c>
      <c r="F10">
        <v>6.5104251743117096</v>
      </c>
      <c r="G10">
        <v>7.0563492118169604</v>
      </c>
      <c r="H10">
        <v>6.80258898745842</v>
      </c>
      <c r="I10">
        <v>6.6543876490021896</v>
      </c>
      <c r="J10">
        <v>6.1295587990118197</v>
      </c>
      <c r="K10">
        <v>-3.34714136704206</v>
      </c>
      <c r="L10">
        <v>1.55535963462032</v>
      </c>
      <c r="M10">
        <v>2.0901752701553802</v>
      </c>
      <c r="N10">
        <v>0.74881489679657398</v>
      </c>
      <c r="O10">
        <v>-0.54275160303015502</v>
      </c>
      <c r="P10">
        <v>0.94944898509048403</v>
      </c>
      <c r="Q10">
        <v>3.3975532586942201</v>
      </c>
      <c r="R10">
        <v>3.0266289313891801</v>
      </c>
      <c r="S10">
        <v>2.7459264470779301</v>
      </c>
      <c r="T10">
        <v>2.5494643471818002</v>
      </c>
      <c r="U10">
        <v>3.7888503647800298</v>
      </c>
      <c r="V10">
        <v>-3.2157374344501601</v>
      </c>
      <c r="W10">
        <v>7.7806148140697804</v>
      </c>
      <c r="X10">
        <v>4.0387775830168096</v>
      </c>
      <c r="Y10">
        <v>1.8868148390717701</v>
      </c>
      <c r="Z10">
        <v>80.126123497805821</v>
      </c>
    </row>
    <row r="11" spans="1:26" x14ac:dyDescent="0.25">
      <c r="A11" t="s">
        <v>64</v>
      </c>
      <c r="B11">
        <v>5.1385391859302603</v>
      </c>
      <c r="C11">
        <v>1.87509813216803</v>
      </c>
      <c r="D11">
        <v>2.9992553495693999</v>
      </c>
      <c r="E11">
        <v>1.80638513484521</v>
      </c>
      <c r="F11">
        <v>3.0923638345656199</v>
      </c>
      <c r="G11">
        <v>3.21045435651203</v>
      </c>
      <c r="H11">
        <v>2.6379438004106999</v>
      </c>
      <c r="I11">
        <v>2.0499046110900401</v>
      </c>
      <c r="J11">
        <v>0.99540630999359803</v>
      </c>
      <c r="K11">
        <v>-2.91508623949733</v>
      </c>
      <c r="L11">
        <v>3.0908063740360201</v>
      </c>
      <c r="M11">
        <v>3.1371943897366101</v>
      </c>
      <c r="N11">
        <v>1.7556613254060101</v>
      </c>
      <c r="O11">
        <v>2.3258135739347798</v>
      </c>
      <c r="P11">
        <v>2.8734667718499498</v>
      </c>
      <c r="Q11">
        <v>0.64997099370913203</v>
      </c>
      <c r="R11">
        <v>1.03855093491798</v>
      </c>
      <c r="S11">
        <v>3.0338349026078899</v>
      </c>
      <c r="T11">
        <v>2.74296343112555</v>
      </c>
      <c r="U11">
        <v>1.9084319253883</v>
      </c>
      <c r="V11">
        <v>-5.0382334412835101</v>
      </c>
      <c r="W11">
        <v>5.2869568910588898</v>
      </c>
      <c r="X11">
        <v>3.81986633913397</v>
      </c>
      <c r="Y11">
        <v>1.2489273040339099</v>
      </c>
      <c r="Z11">
        <v>48.764476191243048</v>
      </c>
    </row>
    <row r="12" spans="1:26" x14ac:dyDescent="0.25">
      <c r="A12" t="s">
        <v>63</v>
      </c>
      <c r="B12">
        <v>4.9716214885002996</v>
      </c>
      <c r="C12">
        <v>3.1540349243739998</v>
      </c>
      <c r="D12">
        <v>3.2027991398553302</v>
      </c>
      <c r="E12">
        <v>4.7232452668111602</v>
      </c>
      <c r="F12">
        <v>6.6742541674597202</v>
      </c>
      <c r="G12">
        <v>5.8370457152574504</v>
      </c>
      <c r="H12">
        <v>6.0499908290438196</v>
      </c>
      <c r="I12">
        <v>5.1682309872242902</v>
      </c>
      <c r="J12">
        <v>3.7893928023371002</v>
      </c>
      <c r="K12">
        <v>-1.1180372326976999</v>
      </c>
      <c r="L12">
        <v>5.8516510173094902</v>
      </c>
      <c r="M12">
        <v>6.2238967869385098</v>
      </c>
      <c r="N12">
        <v>6.1553400209645899</v>
      </c>
      <c r="O12">
        <v>3.3085082446911298</v>
      </c>
      <c r="P12">
        <v>1.79264947361806</v>
      </c>
      <c r="Q12">
        <v>2.1519424985363398</v>
      </c>
      <c r="R12">
        <v>1.7530387455330501</v>
      </c>
      <c r="S12">
        <v>1.3576953779721099</v>
      </c>
      <c r="T12">
        <v>3.99002947521676</v>
      </c>
      <c r="U12">
        <v>0.63436753382843802</v>
      </c>
      <c r="V12">
        <v>-6.1434747922409203</v>
      </c>
      <c r="W12">
        <v>11.333957069191101</v>
      </c>
      <c r="X12">
        <v>2.0587400809533301</v>
      </c>
      <c r="Y12">
        <v>0.21878066690155201</v>
      </c>
      <c r="Z12">
        <v>83.139700287579004</v>
      </c>
    </row>
    <row r="13" spans="1:26" x14ac:dyDescent="0.25">
      <c r="A13" t="s">
        <v>65</v>
      </c>
      <c r="B13">
        <v>8.4900934059764701</v>
      </c>
      <c r="C13">
        <v>8.3357334781719601</v>
      </c>
      <c r="D13">
        <v>9.1336307896661406</v>
      </c>
      <c r="E13">
        <v>10.0380304810393</v>
      </c>
      <c r="F13">
        <v>10.1136213776263</v>
      </c>
      <c r="G13">
        <v>11.394591809892701</v>
      </c>
      <c r="H13">
        <v>12.720955665403199</v>
      </c>
      <c r="I13">
        <v>14.230860933195499</v>
      </c>
      <c r="J13">
        <v>9.6506789193936093</v>
      </c>
      <c r="K13">
        <v>9.3987256325967401</v>
      </c>
      <c r="L13">
        <v>10.635871064491299</v>
      </c>
      <c r="M13">
        <v>9.5508321787756802</v>
      </c>
      <c r="N13">
        <v>7.8637364486211103</v>
      </c>
      <c r="O13">
        <v>7.7661500977300904</v>
      </c>
      <c r="P13">
        <v>7.4257636563241203</v>
      </c>
      <c r="Q13">
        <v>7.04132887873656</v>
      </c>
      <c r="R13">
        <v>6.8487622049576098</v>
      </c>
      <c r="S13">
        <v>6.94720079331685</v>
      </c>
      <c r="T13">
        <v>6.7497738324959</v>
      </c>
      <c r="U13">
        <v>5.9505007536741301</v>
      </c>
      <c r="V13">
        <v>2.2386383563463901</v>
      </c>
      <c r="W13">
        <v>8.4484694168727703</v>
      </c>
      <c r="X13">
        <v>2.9506699295926802</v>
      </c>
      <c r="Y13">
        <v>5.2495578638779099</v>
      </c>
      <c r="Z13">
        <v>199.17417796877501</v>
      </c>
    </row>
    <row r="14" spans="1:26" x14ac:dyDescent="0.25">
      <c r="A14" t="s">
        <v>60</v>
      </c>
      <c r="B14">
        <v>2.9248614817677798</v>
      </c>
      <c r="C14">
        <v>1.6778983078757901</v>
      </c>
      <c r="D14">
        <v>2.5039804665965901</v>
      </c>
      <c r="E14">
        <v>3.9182719032251301</v>
      </c>
      <c r="F14">
        <v>5.3330220675990496</v>
      </c>
      <c r="G14">
        <v>4.8287611077374102</v>
      </c>
      <c r="H14">
        <v>6.7168686984440198</v>
      </c>
      <c r="I14">
        <v>6.7381946909097499</v>
      </c>
      <c r="J14">
        <v>3.2834461861654098</v>
      </c>
      <c r="K14">
        <v>1.1396486454806201</v>
      </c>
      <c r="L14">
        <v>4.4946589707092199</v>
      </c>
      <c r="M14">
        <v>6.94789198173555</v>
      </c>
      <c r="N14">
        <v>3.91263576716115</v>
      </c>
      <c r="O14">
        <v>5.1339935199567197</v>
      </c>
      <c r="P14">
        <v>4.4990300011097197</v>
      </c>
      <c r="Q14">
        <v>2.9559013752752299</v>
      </c>
      <c r="R14">
        <v>2.0873825016279399</v>
      </c>
      <c r="S14">
        <v>1.35936086788746</v>
      </c>
      <c r="T14">
        <v>2.5643242827770401</v>
      </c>
      <c r="U14">
        <v>3.18685539245533</v>
      </c>
      <c r="V14">
        <v>-7.1859141376085898</v>
      </c>
      <c r="W14">
        <v>10.801198190487799</v>
      </c>
      <c r="X14">
        <v>7.2888838865513996</v>
      </c>
      <c r="Y14">
        <v>0.61040956579154204</v>
      </c>
      <c r="Z14">
        <v>87.72156572171906</v>
      </c>
    </row>
    <row r="15" spans="1:26" x14ac:dyDescent="0.25">
      <c r="A15" t="s">
        <v>61</v>
      </c>
      <c r="B15">
        <v>3.8687180895364399</v>
      </c>
      <c r="C15">
        <v>3.4911698943400502</v>
      </c>
      <c r="D15">
        <v>3.4168763904106401</v>
      </c>
      <c r="E15">
        <v>4.31717986636224</v>
      </c>
      <c r="F15">
        <v>4.4245995965450398</v>
      </c>
      <c r="G15">
        <v>3.9766663681802599</v>
      </c>
      <c r="H15">
        <v>7.3266954325066997</v>
      </c>
      <c r="I15">
        <v>8.2151319834871508</v>
      </c>
      <c r="J15">
        <v>4.7381748775402199</v>
      </c>
      <c r="K15">
        <v>-0.87345594278778504</v>
      </c>
      <c r="L15">
        <v>5.3603435263411097</v>
      </c>
      <c r="M15">
        <v>4.4031592397043102</v>
      </c>
      <c r="N15">
        <v>4.8825924102573897</v>
      </c>
      <c r="O15">
        <v>2.4947661120995401</v>
      </c>
      <c r="P15">
        <v>3.5421098776597701</v>
      </c>
      <c r="Q15">
        <v>3.6520809680288302</v>
      </c>
      <c r="R15">
        <v>4.2043232517589901</v>
      </c>
      <c r="S15">
        <v>4.1576989627609002</v>
      </c>
      <c r="T15">
        <v>2.6159044043379001</v>
      </c>
      <c r="U15">
        <v>2.41751181762513</v>
      </c>
      <c r="V15">
        <v>-4.2733543216146197</v>
      </c>
      <c r="W15">
        <v>7.9357622474314704</v>
      </c>
      <c r="X15">
        <v>4.55149177958398</v>
      </c>
      <c r="Y15">
        <v>5.1119218322459803</v>
      </c>
      <c r="Z15">
        <v>93.958068664341639</v>
      </c>
    </row>
    <row r="16" spans="1:26" x14ac:dyDescent="0.25">
      <c r="A16" t="s">
        <v>58</v>
      </c>
      <c r="B16">
        <v>2.9452529953968098</v>
      </c>
      <c r="C16">
        <v>3.11123487893718</v>
      </c>
      <c r="D16">
        <v>5.8033285168250801</v>
      </c>
      <c r="E16">
        <v>5.5683726710826598</v>
      </c>
      <c r="F16">
        <v>4.17048487309191</v>
      </c>
      <c r="G16">
        <v>4.3270765220591301</v>
      </c>
      <c r="H16">
        <v>5.0814659040726999</v>
      </c>
      <c r="I16">
        <v>5.0488862087603401</v>
      </c>
      <c r="J16">
        <v>1.96859009281911</v>
      </c>
      <c r="K16">
        <v>-6.8139561778942603</v>
      </c>
      <c r="L16">
        <v>-1.33408152400571</v>
      </c>
      <c r="M16">
        <v>-9.77514527446601E-2</v>
      </c>
      <c r="N16">
        <v>-2.25374558078583</v>
      </c>
      <c r="O16">
        <v>-0.125449826211494</v>
      </c>
      <c r="P16">
        <v>-0.55715019730610005</v>
      </c>
      <c r="Q16">
        <v>2.3231751580385498</v>
      </c>
      <c r="R16">
        <v>3.4611294735676701</v>
      </c>
      <c r="S16">
        <v>3.2809581214065799</v>
      </c>
      <c r="T16">
        <v>2.90468149344008</v>
      </c>
      <c r="U16">
        <v>3.10043911443758</v>
      </c>
      <c r="V16">
        <v>-8.31164257884687</v>
      </c>
      <c r="W16">
        <v>12.631700327771201</v>
      </c>
      <c r="X16">
        <v>7.2879364320656501</v>
      </c>
      <c r="Y16">
        <v>3.30254488086325</v>
      </c>
      <c r="Z16">
        <v>56.823480326840546</v>
      </c>
    </row>
    <row r="17" spans="1:26" x14ac:dyDescent="0.25">
      <c r="A17" t="s">
        <v>56</v>
      </c>
      <c r="B17">
        <v>5.9147601740485998</v>
      </c>
      <c r="C17">
        <v>3.18502990449461</v>
      </c>
      <c r="D17">
        <v>1.42482126141282</v>
      </c>
      <c r="E17">
        <v>3.79274022304334</v>
      </c>
      <c r="F17">
        <v>5.77053807021559</v>
      </c>
      <c r="G17">
        <v>11.2016564219094</v>
      </c>
      <c r="H17">
        <v>12.0658631129953</v>
      </c>
      <c r="I17">
        <v>7.2621369664794297</v>
      </c>
      <c r="J17">
        <v>4.1168280416468104</v>
      </c>
      <c r="K17">
        <v>1.4513054307407001</v>
      </c>
      <c r="L17">
        <v>2.3903522965072299</v>
      </c>
      <c r="M17">
        <v>2.80230083647626</v>
      </c>
      <c r="N17">
        <v>3.0149002889877199</v>
      </c>
      <c r="O17">
        <v>2.7476025625721099</v>
      </c>
      <c r="P17">
        <v>1.04757663187654</v>
      </c>
      <c r="Q17">
        <v>4.4383335888394999</v>
      </c>
      <c r="R17">
        <v>0.51284309570074504</v>
      </c>
      <c r="S17">
        <v>1.80979177212284</v>
      </c>
      <c r="T17">
        <v>2.2479485408623199</v>
      </c>
      <c r="U17">
        <v>-0.163087223606624</v>
      </c>
      <c r="V17">
        <v>-10.949084604886201</v>
      </c>
      <c r="W17">
        <v>1.25369342501311</v>
      </c>
      <c r="X17">
        <v>1.77485399483382</v>
      </c>
      <c r="Y17">
        <v>-1.9289921121487501</v>
      </c>
      <c r="Z17">
        <v>67.18471270013724</v>
      </c>
    </row>
    <row r="18" spans="1:26" x14ac:dyDescent="0.25">
      <c r="A18" t="s">
        <v>55</v>
      </c>
      <c r="B18">
        <v>4.0106696186744699</v>
      </c>
      <c r="C18">
        <v>2.9172195457741301</v>
      </c>
      <c r="D18">
        <v>1.5134594827680701</v>
      </c>
      <c r="E18">
        <v>3.3008368306920199</v>
      </c>
      <c r="F18">
        <v>4.7363397044334796</v>
      </c>
      <c r="G18">
        <v>6.3750288583165498</v>
      </c>
      <c r="H18">
        <v>6.6231729845394902</v>
      </c>
      <c r="I18">
        <v>5.4888259611399501</v>
      </c>
      <c r="J18">
        <v>2.6122680524294402</v>
      </c>
      <c r="K18">
        <v>-4.7983241683279401</v>
      </c>
      <c r="L18">
        <v>2.7146651150185099</v>
      </c>
      <c r="M18">
        <v>1.7723808369102301</v>
      </c>
      <c r="N18">
        <v>-0.770668176495519</v>
      </c>
      <c r="O18">
        <v>-4.18124078092319E-2</v>
      </c>
      <c r="P18">
        <v>2.2452121860648799</v>
      </c>
      <c r="Q18">
        <v>4.9587584903178197</v>
      </c>
      <c r="R18">
        <v>2.5808701467578299</v>
      </c>
      <c r="S18">
        <v>5.1735652880501704</v>
      </c>
      <c r="T18">
        <v>2.8303058941211199</v>
      </c>
      <c r="U18">
        <v>3.56577657204843</v>
      </c>
      <c r="V18">
        <v>-5.3048795455127902</v>
      </c>
      <c r="W18">
        <v>4.0290183063385401</v>
      </c>
      <c r="X18">
        <v>2.8471706571714899</v>
      </c>
      <c r="Y18">
        <v>-8.5330275927376006E-2</v>
      </c>
      <c r="Z18">
        <v>59.294529957493772</v>
      </c>
    </row>
    <row r="19" spans="1:26" x14ac:dyDescent="0.25">
      <c r="A19" t="s">
        <v>51</v>
      </c>
      <c r="B19">
        <v>3.7240089756295198</v>
      </c>
      <c r="C19">
        <v>0.950032280359281</v>
      </c>
      <c r="D19">
        <v>0.45652999079793199</v>
      </c>
      <c r="E19">
        <v>0.44109099465686102</v>
      </c>
      <c r="F19">
        <v>2.77635184668432</v>
      </c>
      <c r="G19">
        <v>2.3596088327372202</v>
      </c>
      <c r="H19">
        <v>3.8164876972350301</v>
      </c>
      <c r="I19">
        <v>0.98717378843716097</v>
      </c>
      <c r="J19">
        <v>-0.41717842951331402</v>
      </c>
      <c r="K19">
        <v>-4.9744790747399996</v>
      </c>
      <c r="L19">
        <v>1.5828970207819599</v>
      </c>
      <c r="M19">
        <v>1.31080377939614</v>
      </c>
      <c r="N19">
        <v>-5.4323186932663196E-3</v>
      </c>
      <c r="O19">
        <v>1.39267347017295</v>
      </c>
      <c r="P19">
        <v>1.27799979380644</v>
      </c>
      <c r="Q19">
        <v>2.1044145871258699</v>
      </c>
      <c r="R19">
        <v>3.0730454747985498</v>
      </c>
      <c r="S19">
        <v>3.0564772439351602</v>
      </c>
      <c r="T19">
        <v>1.86000748885226</v>
      </c>
      <c r="U19">
        <v>1.7114009439058999</v>
      </c>
      <c r="V19">
        <v>-1.7801059882175001</v>
      </c>
      <c r="W19">
        <v>7.3820662897755502</v>
      </c>
      <c r="X19">
        <v>1.5401731070956699</v>
      </c>
      <c r="Y19">
        <v>2.4951843314889399</v>
      </c>
      <c r="Z19">
        <v>37.121232126508637</v>
      </c>
    </row>
    <row r="20" spans="1:26" x14ac:dyDescent="0.25">
      <c r="A20" t="s">
        <v>49</v>
      </c>
      <c r="B20">
        <v>1.0918016472027701</v>
      </c>
      <c r="C20">
        <v>4.2062718574878897</v>
      </c>
      <c r="D20">
        <v>4.9280954961137597</v>
      </c>
      <c r="E20">
        <v>2.88450036512064</v>
      </c>
      <c r="F20">
        <v>6.8323973664651403</v>
      </c>
      <c r="G20">
        <v>5.3986224399434199</v>
      </c>
      <c r="H20">
        <v>4.3411319857763901</v>
      </c>
      <c r="I20">
        <v>1.90242859700484</v>
      </c>
      <c r="J20">
        <v>6.5649206822471902</v>
      </c>
      <c r="K20">
        <v>1.0910129698311</v>
      </c>
      <c r="L20">
        <v>4.0291378798662096</v>
      </c>
      <c r="M20">
        <v>8.4814765633282292</v>
      </c>
      <c r="N20">
        <v>5.7832123361720003</v>
      </c>
      <c r="O20">
        <v>7.2112365367915903</v>
      </c>
      <c r="P20">
        <v>4.2260652038845601</v>
      </c>
      <c r="Q20">
        <v>0.11969210928761199</v>
      </c>
      <c r="R20">
        <v>-0.68795424587794696</v>
      </c>
      <c r="S20">
        <v>5.97039880954841</v>
      </c>
      <c r="T20">
        <v>1.0442955469270001</v>
      </c>
      <c r="U20">
        <v>0.165403532646692</v>
      </c>
      <c r="V20">
        <v>-9.2450963774342902</v>
      </c>
      <c r="W20">
        <v>9.8184177484169997</v>
      </c>
      <c r="X20">
        <v>6.1861390725874097</v>
      </c>
      <c r="Y20">
        <v>2.3552179074219701</v>
      </c>
      <c r="Z20">
        <v>84.698826030759591</v>
      </c>
    </row>
    <row r="21" spans="1:26" x14ac:dyDescent="0.25">
      <c r="A21" t="s">
        <v>57</v>
      </c>
      <c r="B21">
        <v>10.0876349894085</v>
      </c>
      <c r="C21">
        <v>5.8807497028254803</v>
      </c>
      <c r="D21">
        <v>6.9330001310301297</v>
      </c>
      <c r="E21">
        <v>7.59630144033751</v>
      </c>
      <c r="F21">
        <v>6.80069516042603</v>
      </c>
      <c r="G21">
        <v>9.5230580329963992</v>
      </c>
      <c r="H21">
        <v>9.7625703683805103</v>
      </c>
      <c r="I21">
        <v>7.5709181134186299</v>
      </c>
      <c r="J21">
        <v>-5.1253127086218102</v>
      </c>
      <c r="K21">
        <v>-14.6302203081112</v>
      </c>
      <c r="L21">
        <v>2.4497459157554098</v>
      </c>
      <c r="M21">
        <v>7.6069766353787998</v>
      </c>
      <c r="N21">
        <v>3.6720211593116798</v>
      </c>
      <c r="O21">
        <v>1.7564946118826601</v>
      </c>
      <c r="P21">
        <v>3.3227875359873198</v>
      </c>
      <c r="Q21">
        <v>1.8381570483746701</v>
      </c>
      <c r="R21">
        <v>3.0930158344115499</v>
      </c>
      <c r="S21">
        <v>5.6346743222939502</v>
      </c>
      <c r="T21">
        <v>3.69969444001093</v>
      </c>
      <c r="U21">
        <v>3.7266531817839699</v>
      </c>
      <c r="V21">
        <v>-2.8838100414032799</v>
      </c>
      <c r="W21">
        <v>7.1544474833439704</v>
      </c>
      <c r="X21">
        <v>6.0427832332578597E-2</v>
      </c>
      <c r="Y21">
        <v>-3.0230358406619202</v>
      </c>
      <c r="Z21">
        <v>82.507645040892456</v>
      </c>
    </row>
    <row r="22" spans="1:26" x14ac:dyDescent="0.25">
      <c r="A22" t="s">
        <v>53</v>
      </c>
      <c r="B22">
        <v>5.7537378646587696</v>
      </c>
      <c r="C22">
        <v>2.6402621585062702</v>
      </c>
      <c r="D22">
        <v>1.6873263046451299</v>
      </c>
      <c r="E22">
        <v>2.0117996659653401</v>
      </c>
      <c r="F22">
        <v>4.0053794877792104</v>
      </c>
      <c r="G22">
        <v>2.7773092708157598</v>
      </c>
      <c r="H22">
        <v>4.0195732280410299</v>
      </c>
      <c r="I22">
        <v>5.31280178224827</v>
      </c>
      <c r="J22">
        <v>0.78443121927303106</v>
      </c>
      <c r="K22">
        <v>-8.0760308988131406</v>
      </c>
      <c r="L22">
        <v>3.1682877232525799</v>
      </c>
      <c r="M22">
        <v>2.3903947262183598</v>
      </c>
      <c r="N22">
        <v>-1.52284028499332</v>
      </c>
      <c r="O22">
        <v>-0.97974102806863095</v>
      </c>
      <c r="P22">
        <v>-0.47806831857901999</v>
      </c>
      <c r="Q22">
        <v>0.46650351789539002</v>
      </c>
      <c r="R22">
        <v>2.57193423155972</v>
      </c>
      <c r="S22">
        <v>3.3033701611332198</v>
      </c>
      <c r="T22">
        <v>1.1929777298850399</v>
      </c>
      <c r="U22">
        <v>1.3497384382612301</v>
      </c>
      <c r="V22">
        <v>-2.4910362097723899</v>
      </c>
      <c r="W22">
        <v>2.7347134858954298</v>
      </c>
      <c r="X22">
        <v>1.4500480727209</v>
      </c>
      <c r="Y22">
        <v>-1.1639628152219801</v>
      </c>
      <c r="Z22">
        <v>32.908909513306192</v>
      </c>
    </row>
    <row r="23" spans="1:26" x14ac:dyDescent="0.25">
      <c r="A23" t="s">
        <v>50</v>
      </c>
      <c r="B23">
        <v>4.1409999964689304</v>
      </c>
      <c r="C23">
        <v>1.8994670033224601</v>
      </c>
      <c r="D23">
        <v>1.06775025028361</v>
      </c>
      <c r="E23">
        <v>0.96782717770970805</v>
      </c>
      <c r="F23">
        <v>2.86825057188587</v>
      </c>
      <c r="G23">
        <v>1.88856580217112</v>
      </c>
      <c r="H23">
        <v>2.7140645179325</v>
      </c>
      <c r="I23">
        <v>2.53048186196499</v>
      </c>
      <c r="J23">
        <v>0.38017142552236299</v>
      </c>
      <c r="K23">
        <v>-2.8245515028896202</v>
      </c>
      <c r="L23">
        <v>2.0003247269998101</v>
      </c>
      <c r="M23">
        <v>2.43757656877079</v>
      </c>
      <c r="N23">
        <v>0.183835271019575</v>
      </c>
      <c r="O23">
        <v>0.78175644591340199</v>
      </c>
      <c r="P23">
        <v>0.99783293799866601</v>
      </c>
      <c r="Q23">
        <v>1.06675473488909</v>
      </c>
      <c r="R23">
        <v>0.86003108201610701</v>
      </c>
      <c r="S23">
        <v>2.0836148506207599</v>
      </c>
      <c r="T23">
        <v>1.64590872932709</v>
      </c>
      <c r="U23">
        <v>2.0274464763963498</v>
      </c>
      <c r="V23">
        <v>-7.4406459304414199</v>
      </c>
      <c r="W23">
        <v>6.8823378659035503</v>
      </c>
      <c r="X23">
        <v>2.5708404744396902</v>
      </c>
      <c r="Y23">
        <v>0.93648750267148295</v>
      </c>
      <c r="Z23">
        <v>32.667128840896879</v>
      </c>
    </row>
    <row r="24" spans="1:26" x14ac:dyDescent="0.25">
      <c r="A24" t="s">
        <v>54</v>
      </c>
      <c r="B24">
        <v>2.8772459484126398</v>
      </c>
      <c r="C24">
        <v>1.6365410128923701</v>
      </c>
      <c r="D24">
        <v>-0.22831024929536201</v>
      </c>
      <c r="E24">
        <v>-0.52992899363135804</v>
      </c>
      <c r="F24">
        <v>1.1623682674253799</v>
      </c>
      <c r="G24">
        <v>0.88569723626461905</v>
      </c>
      <c r="H24">
        <v>3.8557361522142899</v>
      </c>
      <c r="I24">
        <v>2.8901071896247901</v>
      </c>
      <c r="J24">
        <v>0.91040319614535303</v>
      </c>
      <c r="K24">
        <v>-5.54516453771706</v>
      </c>
      <c r="L24">
        <v>4.1467675453243702</v>
      </c>
      <c r="M24">
        <v>3.75796886586348</v>
      </c>
      <c r="N24">
        <v>0.47429130585554402</v>
      </c>
      <c r="O24">
        <v>0.38622457610995298</v>
      </c>
      <c r="P24">
        <v>2.16949892879079</v>
      </c>
      <c r="Q24">
        <v>1.65271977174628</v>
      </c>
      <c r="R24">
        <v>2.29471067684281</v>
      </c>
      <c r="S24">
        <v>2.71602451931592</v>
      </c>
      <c r="T24">
        <v>1.11644310926225</v>
      </c>
      <c r="U24">
        <v>0.98789334916757798</v>
      </c>
      <c r="V24">
        <v>-4.0951374906468896</v>
      </c>
      <c r="W24">
        <v>3.6699998615673501</v>
      </c>
      <c r="X24">
        <v>1.3697310553658499</v>
      </c>
      <c r="Y24">
        <v>-0.26643841009091301</v>
      </c>
      <c r="Z24">
        <v>28.295392886810035</v>
      </c>
    </row>
    <row r="25" spans="1:26" x14ac:dyDescent="0.25">
      <c r="A25" t="s">
        <v>52</v>
      </c>
      <c r="B25">
        <v>4.1378270994578497</v>
      </c>
      <c r="C25">
        <v>4.65041412229992</v>
      </c>
      <c r="D25">
        <v>4.6831373590278398</v>
      </c>
      <c r="E25">
        <v>5.7968230346318297</v>
      </c>
      <c r="F25">
        <v>5.3778662972875502</v>
      </c>
      <c r="G25">
        <v>1.1835061020669899</v>
      </c>
      <c r="H25">
        <v>6.4433977504933502</v>
      </c>
      <c r="I25">
        <v>3.50687018582884</v>
      </c>
      <c r="J25">
        <v>5.7473579311050599E-2</v>
      </c>
      <c r="K25">
        <v>-4.1192759807662904</v>
      </c>
      <c r="L25">
        <v>-5.6937412027366499</v>
      </c>
      <c r="M25">
        <v>-9.8767790387301506</v>
      </c>
      <c r="N25">
        <v>-8.3311339586698203</v>
      </c>
      <c r="O25">
        <v>-2.2721169221548601</v>
      </c>
      <c r="P25">
        <v>0.79222503835359204</v>
      </c>
      <c r="Q25">
        <v>-0.22830195902689401</v>
      </c>
      <c r="R25">
        <v>-3.1795212667532297E-2</v>
      </c>
      <c r="S25">
        <v>1.4731249850369701</v>
      </c>
      <c r="T25">
        <v>2.0646725333835398</v>
      </c>
      <c r="U25">
        <v>2.2771806364456899</v>
      </c>
      <c r="V25">
        <v>-9.1962314708258805</v>
      </c>
      <c r="W25">
        <v>8.6544978531143801</v>
      </c>
      <c r="X25">
        <v>5.7436491895895898</v>
      </c>
      <c r="Y25">
        <v>2.3321238825698001</v>
      </c>
      <c r="Z25">
        <v>19.425413903320699</v>
      </c>
    </row>
    <row r="26" spans="1:26" x14ac:dyDescent="0.25">
      <c r="A26" t="s">
        <v>59</v>
      </c>
      <c r="B26">
        <v>7.1015968818161896</v>
      </c>
      <c r="C26">
        <v>1.2690350790278699</v>
      </c>
      <c r="D26">
        <v>-0.97117731066555302</v>
      </c>
      <c r="E26">
        <v>4.4300457211821103</v>
      </c>
      <c r="F26">
        <v>6.9065828367662903</v>
      </c>
      <c r="G26">
        <v>4.9874917709019302</v>
      </c>
      <c r="H26">
        <v>5.5556949008001197</v>
      </c>
      <c r="I26">
        <v>2.3524379811805001</v>
      </c>
      <c r="J26">
        <v>6.1661327018619003</v>
      </c>
      <c r="K26">
        <v>0.86595232888694795</v>
      </c>
      <c r="L26">
        <v>1.73582505889665</v>
      </c>
      <c r="M26">
        <v>-0.49651939195908301</v>
      </c>
      <c r="N26">
        <v>1.3941933595562499</v>
      </c>
      <c r="O26">
        <v>-1.2982806933551101</v>
      </c>
      <c r="P26">
        <v>4.7421356730152002</v>
      </c>
      <c r="Q26">
        <v>-2.5293180239447501</v>
      </c>
      <c r="R26">
        <v>4.6819541097230202</v>
      </c>
      <c r="S26">
        <v>5.2728182880031199E-2</v>
      </c>
      <c r="T26">
        <v>0.62306542854094005</v>
      </c>
      <c r="U26">
        <v>2.8321775679868302</v>
      </c>
      <c r="V26">
        <v>0.187608793759281</v>
      </c>
      <c r="W26">
        <v>1.2902104877059899</v>
      </c>
      <c r="Z26">
        <v>51.879573444563562</v>
      </c>
    </row>
    <row r="27" spans="1:26" x14ac:dyDescent="0.25">
      <c r="A27" t="s">
        <v>48</v>
      </c>
      <c r="B27">
        <v>7.6633822533058096</v>
      </c>
      <c r="C27">
        <v>0.56087990360053697</v>
      </c>
      <c r="D27">
        <v>1.6567009197414699</v>
      </c>
      <c r="E27">
        <v>3.0562842605277298</v>
      </c>
      <c r="F27">
        <v>8.7000214272974308</v>
      </c>
      <c r="G27">
        <v>7.38815597842218</v>
      </c>
      <c r="H27">
        <v>7.0326067617254999</v>
      </c>
      <c r="I27">
        <v>6.4648486340803002</v>
      </c>
      <c r="J27">
        <v>2.1279161486477101</v>
      </c>
      <c r="K27">
        <v>-2.4591355685773402</v>
      </c>
      <c r="L27">
        <v>6.7676957023512898</v>
      </c>
      <c r="M27">
        <v>4.8147110860281801</v>
      </c>
      <c r="N27">
        <v>1.7002889986760901</v>
      </c>
      <c r="O27">
        <v>3.1015083474060798</v>
      </c>
      <c r="P27">
        <v>2.7624228575651801</v>
      </c>
      <c r="Q27">
        <v>2.38777713430783</v>
      </c>
      <c r="R27">
        <v>2.17543135634364</v>
      </c>
      <c r="S27">
        <v>3.7961040663029002</v>
      </c>
      <c r="T27">
        <v>2.8469277011591698</v>
      </c>
      <c r="U27">
        <v>-1.67239123872136</v>
      </c>
      <c r="V27">
        <v>-6.5447675733538704</v>
      </c>
      <c r="W27">
        <v>6.4544082406641898</v>
      </c>
      <c r="X27">
        <v>-3.6835711314839599</v>
      </c>
      <c r="Y27">
        <v>3.2765262563185802</v>
      </c>
      <c r="Z27">
        <v>70.374732522335293</v>
      </c>
    </row>
    <row r="28" spans="1:26" x14ac:dyDescent="0.25">
      <c r="A28" t="s">
        <v>44</v>
      </c>
      <c r="B28">
        <v>4.4791947319757099</v>
      </c>
      <c r="C28">
        <v>4.0740880327385396</v>
      </c>
      <c r="D28">
        <v>4.7412865464826996</v>
      </c>
      <c r="E28">
        <v>4.0742497458520903</v>
      </c>
      <c r="F28">
        <v>5.0046206916491496</v>
      </c>
      <c r="G28">
        <v>4.2942776100917799</v>
      </c>
      <c r="H28">
        <v>3.9460668802932002</v>
      </c>
      <c r="I28">
        <v>0.27737277232580498</v>
      </c>
      <c r="J28">
        <v>1.0039430290089699</v>
      </c>
      <c r="K28">
        <v>-6.5978672185016896</v>
      </c>
      <c r="L28">
        <v>1.0762540427767</v>
      </c>
      <c r="M28">
        <v>1.86683747544298</v>
      </c>
      <c r="N28">
        <v>-1.2502260234706299</v>
      </c>
      <c r="O28">
        <v>1.80252210082266</v>
      </c>
      <c r="P28">
        <v>4.2322098061426896</v>
      </c>
      <c r="Q28">
        <v>3.7073159793625998</v>
      </c>
      <c r="R28">
        <v>2.2010018929385602</v>
      </c>
      <c r="S28">
        <v>4.27197601620695</v>
      </c>
      <c r="T28">
        <v>5.3623483617622298</v>
      </c>
      <c r="U28">
        <v>4.86422573511891</v>
      </c>
      <c r="V28">
        <v>-4.48704604765308</v>
      </c>
      <c r="W28">
        <v>7.0612206097291201</v>
      </c>
      <c r="X28">
        <v>4.5834076729506803</v>
      </c>
      <c r="Y28">
        <v>-0.90768595614024195</v>
      </c>
      <c r="Z28">
        <v>59.681594487906374</v>
      </c>
    </row>
    <row r="29" spans="1:26" x14ac:dyDescent="0.25">
      <c r="A29" t="s">
        <v>47</v>
      </c>
      <c r="B29">
        <v>4.98504277020335</v>
      </c>
      <c r="C29">
        <v>4.0134975547356797</v>
      </c>
      <c r="D29">
        <v>0.55951908200762501</v>
      </c>
      <c r="E29">
        <v>2.14268837866911</v>
      </c>
      <c r="F29">
        <v>7.80239950753543</v>
      </c>
      <c r="G29">
        <v>6.1244389653361297</v>
      </c>
      <c r="H29">
        <v>6.31699308637074</v>
      </c>
      <c r="I29">
        <v>8.4548600961295097</v>
      </c>
      <c r="J29">
        <v>2.2094964188209798</v>
      </c>
      <c r="K29">
        <v>-7.6638095602594696</v>
      </c>
      <c r="L29">
        <v>-2.83277491540855</v>
      </c>
      <c r="M29">
        <v>1.8457791562421699</v>
      </c>
      <c r="N29">
        <v>1.06363660743763</v>
      </c>
      <c r="O29">
        <v>4.5524603201510701</v>
      </c>
      <c r="P29">
        <v>1.68721501750642</v>
      </c>
      <c r="Q29">
        <v>4.4366637193717198</v>
      </c>
      <c r="R29">
        <v>6.3036871065017603</v>
      </c>
      <c r="S29">
        <v>4.19494882908376</v>
      </c>
      <c r="T29">
        <v>4.8891729948654499</v>
      </c>
      <c r="U29">
        <v>1.8611779429387401</v>
      </c>
      <c r="V29">
        <v>-6.9404530948903398</v>
      </c>
      <c r="W29">
        <v>5.2542097531785403</v>
      </c>
      <c r="X29">
        <v>8.9925076126914991</v>
      </c>
      <c r="Y29">
        <v>5.03717943960838</v>
      </c>
      <c r="Z29">
        <v>75.290536788827353</v>
      </c>
    </row>
    <row r="30" spans="1:26" x14ac:dyDescent="0.25">
      <c r="A30" t="s">
        <v>39</v>
      </c>
      <c r="B30">
        <v>3.84099115659129</v>
      </c>
      <c r="C30">
        <v>4.8239662655577096</v>
      </c>
      <c r="D30">
        <v>3.80397532112175</v>
      </c>
      <c r="E30">
        <v>7.8603814759072996</v>
      </c>
      <c r="F30">
        <v>7.9229366119993196</v>
      </c>
      <c r="G30">
        <v>7.9234306214831802</v>
      </c>
      <c r="H30">
        <v>8.0607325716665095</v>
      </c>
      <c r="I30">
        <v>7.6608150670106996</v>
      </c>
      <c r="J30">
        <v>3.0866980592198101</v>
      </c>
      <c r="K30">
        <v>7.8618888328607399</v>
      </c>
      <c r="L30">
        <v>8.4975847022123503</v>
      </c>
      <c r="M30">
        <v>5.2413161993769499</v>
      </c>
      <c r="N30">
        <v>5.4563875516658698</v>
      </c>
      <c r="O30">
        <v>6.3861064009482504</v>
      </c>
      <c r="P30">
        <v>7.4102276050885401</v>
      </c>
      <c r="Q30">
        <v>7.9962537857147096</v>
      </c>
      <c r="R30">
        <v>8.2563055017908606</v>
      </c>
      <c r="S30">
        <v>6.7953834189791102</v>
      </c>
      <c r="T30">
        <v>6.4538513449776902</v>
      </c>
      <c r="U30">
        <v>3.87143694070356</v>
      </c>
      <c r="V30">
        <v>-5.7777247068680104</v>
      </c>
      <c r="W30">
        <v>9.6895924919287495</v>
      </c>
      <c r="X30">
        <v>6.9870393257555001</v>
      </c>
      <c r="Y30">
        <v>8.1529363109040993</v>
      </c>
      <c r="Z30">
        <v>148.26251285659654</v>
      </c>
    </row>
    <row r="31" spans="1:26" x14ac:dyDescent="0.25">
      <c r="A31" t="s">
        <v>40</v>
      </c>
      <c r="B31">
        <v>4.9200677470169003</v>
      </c>
      <c r="C31">
        <v>3.6434664472149199</v>
      </c>
      <c r="D31">
        <v>4.4994753908576399</v>
      </c>
      <c r="E31">
        <v>4.7803691216765403</v>
      </c>
      <c r="F31">
        <v>5.0308739450168503</v>
      </c>
      <c r="G31">
        <v>5.6925713038338399</v>
      </c>
      <c r="H31">
        <v>5.5009517852034797</v>
      </c>
      <c r="I31">
        <v>6.3450222266721399</v>
      </c>
      <c r="J31">
        <v>6.0137036000912296</v>
      </c>
      <c r="K31">
        <v>4.6288711825615296</v>
      </c>
      <c r="L31">
        <v>6.2238541806236602</v>
      </c>
      <c r="M31">
        <v>6.1697842077100802</v>
      </c>
      <c r="N31">
        <v>6.0300506530561497</v>
      </c>
      <c r="O31">
        <v>5.5572636889101004</v>
      </c>
      <c r="P31">
        <v>5.0066684257549996</v>
      </c>
      <c r="Q31">
        <v>4.8763223002212301</v>
      </c>
      <c r="R31">
        <v>5.0330691828017704</v>
      </c>
      <c r="S31">
        <v>5.0697859013491602</v>
      </c>
      <c r="T31">
        <v>5.1742915395502402</v>
      </c>
      <c r="U31">
        <v>5.0192876804628197</v>
      </c>
      <c r="V31">
        <v>-2.0655118293416499</v>
      </c>
      <c r="W31">
        <v>3.7028856282775102</v>
      </c>
      <c r="X31">
        <v>5.3074193477576399</v>
      </c>
      <c r="Y31">
        <v>5.0481057706728798</v>
      </c>
      <c r="Z31">
        <v>117.20864942795167</v>
      </c>
    </row>
    <row r="32" spans="1:26" x14ac:dyDescent="0.25">
      <c r="A32" t="s">
        <v>45</v>
      </c>
      <c r="B32">
        <v>9.4035245982000202</v>
      </c>
      <c r="C32">
        <v>5.3058215248570404</v>
      </c>
      <c r="D32">
        <v>5.8993665103817401</v>
      </c>
      <c r="E32">
        <v>3.01383874633395</v>
      </c>
      <c r="F32">
        <v>6.7881386402869301</v>
      </c>
      <c r="G32">
        <v>5.7397823525139797</v>
      </c>
      <c r="H32">
        <v>4.9878546845650797</v>
      </c>
      <c r="I32">
        <v>5.3101168440821302</v>
      </c>
      <c r="J32">
        <v>-4.4840697832627798</v>
      </c>
      <c r="K32">
        <v>-5.0957816938676803</v>
      </c>
      <c r="L32">
        <v>1.68297235056258</v>
      </c>
      <c r="M32">
        <v>1.64877389978149</v>
      </c>
      <c r="N32">
        <v>-0.39895996450545101</v>
      </c>
      <c r="O32">
        <v>2.1921757436481801</v>
      </c>
      <c r="P32">
        <v>9.33603372868623</v>
      </c>
      <c r="Q32">
        <v>24.615569976625601</v>
      </c>
      <c r="R32">
        <v>1.2226386099642901</v>
      </c>
      <c r="S32">
        <v>10.0496285394614</v>
      </c>
      <c r="T32">
        <v>7.5443419076003098</v>
      </c>
      <c r="U32">
        <v>5.0405502880180002</v>
      </c>
      <c r="V32">
        <v>7.1578988305720896</v>
      </c>
      <c r="W32">
        <v>16.255613244600202</v>
      </c>
      <c r="X32">
        <v>8.6195035519149208</v>
      </c>
      <c r="Y32">
        <v>-5.5300073609553699</v>
      </c>
      <c r="Z32">
        <v>126.30532577006487</v>
      </c>
    </row>
    <row r="33" spans="1:26" x14ac:dyDescent="0.25">
      <c r="A33" t="s">
        <v>43</v>
      </c>
      <c r="B33">
        <v>8.6259963756729707</v>
      </c>
      <c r="C33">
        <v>0.16962554973415001</v>
      </c>
      <c r="D33">
        <v>-0.121470227282359</v>
      </c>
      <c r="E33">
        <v>1.4650576892917699</v>
      </c>
      <c r="F33">
        <v>4.6793168869774</v>
      </c>
      <c r="G33">
        <v>4.2155318861200497</v>
      </c>
      <c r="H33">
        <v>5.5810311778330801</v>
      </c>
      <c r="I33">
        <v>6.0228604825454797</v>
      </c>
      <c r="J33">
        <v>3.28597722131417</v>
      </c>
      <c r="K33">
        <v>1.1082277604975601</v>
      </c>
      <c r="L33">
        <v>5.6331195643270204</v>
      </c>
      <c r="M33">
        <v>5.5628227805085997</v>
      </c>
      <c r="N33">
        <v>2.5408045932655301</v>
      </c>
      <c r="O33">
        <v>4.2305996738915601</v>
      </c>
      <c r="P33">
        <v>3.8853242385340998</v>
      </c>
      <c r="Q33">
        <v>2.3135107353872102</v>
      </c>
      <c r="R33">
        <v>4.3672836416034801</v>
      </c>
      <c r="S33">
        <v>4.2734217878218503</v>
      </c>
      <c r="T33">
        <v>4.0744760057126301</v>
      </c>
      <c r="U33">
        <v>3.7851414522465499</v>
      </c>
      <c r="V33">
        <v>-1.46460564253812</v>
      </c>
      <c r="W33">
        <v>9.3439077459684707</v>
      </c>
      <c r="X33">
        <v>6.4703715023248503</v>
      </c>
      <c r="Y33">
        <v>2.4230069104901202</v>
      </c>
      <c r="Z33">
        <v>92.471339792248102</v>
      </c>
    </row>
    <row r="34" spans="1:26" x14ac:dyDescent="0.25">
      <c r="A34" t="s">
        <v>42</v>
      </c>
      <c r="B34">
        <v>3.8820988424840701</v>
      </c>
      <c r="C34">
        <v>2.0064332981945698</v>
      </c>
      <c r="D34">
        <v>0.269929620338758</v>
      </c>
      <c r="E34">
        <v>6.6553853450088199E-2</v>
      </c>
      <c r="F34">
        <v>1.4740216725119</v>
      </c>
      <c r="G34">
        <v>0.76241071961180795</v>
      </c>
      <c r="H34">
        <v>1.79947990520787</v>
      </c>
      <c r="I34">
        <v>1.4622920249067699</v>
      </c>
      <c r="J34">
        <v>-1.0231384768794101</v>
      </c>
      <c r="K34">
        <v>-5.305154032511</v>
      </c>
      <c r="L34">
        <v>1.5291057572893301</v>
      </c>
      <c r="M34">
        <v>0.69546312920785203</v>
      </c>
      <c r="N34">
        <v>-3.1252387954381602</v>
      </c>
      <c r="O34">
        <v>-1.8180250610428299</v>
      </c>
      <c r="P34">
        <v>-1.3876397649283899E-3</v>
      </c>
      <c r="Q34">
        <v>0.88566763804678295</v>
      </c>
      <c r="R34">
        <v>1.2362211072750999</v>
      </c>
      <c r="S34">
        <v>1.6036999464836199</v>
      </c>
      <c r="T34">
        <v>0.826646697363699</v>
      </c>
      <c r="U34">
        <v>0.42916253437191199</v>
      </c>
      <c r="V34">
        <v>-8.8682212104638705</v>
      </c>
      <c r="W34">
        <v>8.9310620660078008</v>
      </c>
      <c r="X34">
        <v>4.6617626511369501</v>
      </c>
      <c r="Y34">
        <v>0.69763299419678004</v>
      </c>
      <c r="Z34">
        <v>13.078479241985461</v>
      </c>
    </row>
    <row r="35" spans="1:26" x14ac:dyDescent="0.25">
      <c r="A35" t="s">
        <v>46</v>
      </c>
      <c r="B35">
        <v>2.7646475514364801</v>
      </c>
      <c r="C35">
        <v>0.38610342614575199</v>
      </c>
      <c r="D35">
        <v>4.1962499312560901E-2</v>
      </c>
      <c r="E35">
        <v>1.53512549928013</v>
      </c>
      <c r="F35">
        <v>2.1861156944215998</v>
      </c>
      <c r="G35">
        <v>1.80390087227372</v>
      </c>
      <c r="H35">
        <v>1.37235012762038</v>
      </c>
      <c r="I35">
        <v>1.48396941163492</v>
      </c>
      <c r="J35">
        <v>-1.2242890007282801</v>
      </c>
      <c r="K35">
        <v>-5.6932363588226602</v>
      </c>
      <c r="L35">
        <v>4.0979179193013699</v>
      </c>
      <c r="M35">
        <v>2.38095237748297E-2</v>
      </c>
      <c r="N35">
        <v>1.3747509992087401</v>
      </c>
      <c r="O35">
        <v>2.0051001767726002</v>
      </c>
      <c r="P35">
        <v>0.29620551414262802</v>
      </c>
      <c r="Q35">
        <v>1.5606266967490401</v>
      </c>
      <c r="R35">
        <v>0.75382674590353804</v>
      </c>
      <c r="S35">
        <v>1.6753317516650299</v>
      </c>
      <c r="T35">
        <v>0.64339102346033905</v>
      </c>
      <c r="U35">
        <v>-0.402169200910933</v>
      </c>
      <c r="V35">
        <v>-4.1471188994769204</v>
      </c>
      <c r="W35">
        <v>2.55932023865617</v>
      </c>
      <c r="X35">
        <v>0.95473693778139102</v>
      </c>
      <c r="Y35">
        <v>1.67901952310368</v>
      </c>
      <c r="Z35">
        <v>17.731398672706106</v>
      </c>
    </row>
    <row r="36" spans="1:26" x14ac:dyDescent="0.25">
      <c r="A36" t="s">
        <v>41</v>
      </c>
      <c r="B36">
        <v>9.0608333250853406</v>
      </c>
      <c r="C36">
        <v>4.8523995715128097</v>
      </c>
      <c r="D36">
        <v>7.7251426754717301</v>
      </c>
      <c r="E36">
        <v>3.1472911937340902</v>
      </c>
      <c r="F36">
        <v>5.1973913632438196</v>
      </c>
      <c r="G36">
        <v>4.3085427141123596</v>
      </c>
      <c r="H36">
        <v>5.2643265946672404</v>
      </c>
      <c r="I36">
        <v>5.7995484150321603</v>
      </c>
      <c r="J36">
        <v>3.0129848728116699</v>
      </c>
      <c r="K36">
        <v>0.79269898951818596</v>
      </c>
      <c r="L36">
        <v>6.8048249178367097</v>
      </c>
      <c r="M36">
        <v>3.6856677821252601</v>
      </c>
      <c r="N36">
        <v>2.4025309924618599</v>
      </c>
      <c r="O36">
        <v>3.1647086364718402</v>
      </c>
      <c r="P36">
        <v>3.2024537945736</v>
      </c>
      <c r="Q36">
        <v>2.8091032682413299</v>
      </c>
      <c r="R36">
        <v>2.9468817150862598</v>
      </c>
      <c r="S36">
        <v>3.1596357401277699</v>
      </c>
      <c r="T36">
        <v>2.9074037737713501</v>
      </c>
      <c r="U36">
        <v>2.2439778601101201</v>
      </c>
      <c r="V36">
        <v>-0.70941535939768097</v>
      </c>
      <c r="W36">
        <v>4.3047348190696901</v>
      </c>
      <c r="X36">
        <v>2.6126721918722602</v>
      </c>
      <c r="Y36">
        <v>1.35673324311098</v>
      </c>
      <c r="Z36">
        <v>90.05307309065077</v>
      </c>
    </row>
    <row r="37" spans="1:26" x14ac:dyDescent="0.25">
      <c r="A37" t="s">
        <v>38</v>
      </c>
      <c r="B37">
        <v>5.8410298648855701</v>
      </c>
      <c r="C37">
        <v>6.4605736476832902</v>
      </c>
      <c r="D37">
        <v>7.6654892505930299</v>
      </c>
      <c r="E37">
        <v>8.4291348680549198</v>
      </c>
      <c r="F37">
        <v>8.7251415801201908</v>
      </c>
      <c r="G37">
        <v>11.6153165694442</v>
      </c>
      <c r="H37">
        <v>12.8250180923171</v>
      </c>
      <c r="I37">
        <v>10.414537243644</v>
      </c>
      <c r="J37">
        <v>-3.3887154506018402</v>
      </c>
      <c r="K37">
        <v>-16.040018915146401</v>
      </c>
      <c r="L37">
        <v>-3.6612590805493999</v>
      </c>
      <c r="M37">
        <v>3.03634590339776</v>
      </c>
      <c r="N37">
        <v>7.3052404552775396</v>
      </c>
      <c r="O37">
        <v>2.0960911408788099</v>
      </c>
      <c r="P37">
        <v>2.0949595958626799</v>
      </c>
      <c r="Q37">
        <v>3.7833652895781298</v>
      </c>
      <c r="R37">
        <v>2.5516858535470099</v>
      </c>
      <c r="S37">
        <v>3.3989493777900899</v>
      </c>
      <c r="T37">
        <v>4.3097108876628596</v>
      </c>
      <c r="U37">
        <v>0.675375256812075</v>
      </c>
      <c r="V37">
        <v>-3.4692291533961801</v>
      </c>
      <c r="W37">
        <v>6.9472331621451104</v>
      </c>
      <c r="X37">
        <v>1.8126824022840999</v>
      </c>
      <c r="Y37">
        <v>1.70679524969924</v>
      </c>
      <c r="Z37">
        <v>85.135453091983891</v>
      </c>
    </row>
    <row r="38" spans="1:26" x14ac:dyDescent="0.25">
      <c r="A38" t="s">
        <v>37</v>
      </c>
      <c r="B38">
        <v>6.9381302493933399</v>
      </c>
      <c r="C38">
        <v>3.0743549992987602</v>
      </c>
      <c r="D38">
        <v>3.2254168997208001</v>
      </c>
      <c r="E38">
        <v>2.61937857939165</v>
      </c>
      <c r="F38">
        <v>4.23189130735582</v>
      </c>
      <c r="G38">
        <v>2.4828747481147202</v>
      </c>
      <c r="H38">
        <v>6.0167150440274098</v>
      </c>
      <c r="I38">
        <v>8.0986676066053995</v>
      </c>
      <c r="J38">
        <v>-0.30017619444267002</v>
      </c>
      <c r="K38">
        <v>-3.2389540268318799</v>
      </c>
      <c r="L38">
        <v>3.7604135925509499</v>
      </c>
      <c r="M38">
        <v>1.0442986945573101</v>
      </c>
      <c r="N38">
        <v>1.6499020297865199</v>
      </c>
      <c r="O38">
        <v>3.1717904991600498</v>
      </c>
      <c r="P38">
        <v>2.62308601577192</v>
      </c>
      <c r="Q38">
        <v>2.2697844841956498</v>
      </c>
      <c r="R38">
        <v>4.9781904368162904</v>
      </c>
      <c r="S38">
        <v>1.31718766293677</v>
      </c>
      <c r="T38">
        <v>1.21932191856359</v>
      </c>
      <c r="U38">
        <v>2.9158479150005001</v>
      </c>
      <c r="V38">
        <v>-0.909829798886719</v>
      </c>
      <c r="W38">
        <v>7.1684019869774902</v>
      </c>
      <c r="X38">
        <v>1.3801858908320701</v>
      </c>
      <c r="Y38">
        <v>-1.0957236157699399</v>
      </c>
      <c r="Z38">
        <v>64.641156925125784</v>
      </c>
    </row>
    <row r="39" spans="1:26" x14ac:dyDescent="0.25">
      <c r="A39" t="s">
        <v>36</v>
      </c>
      <c r="B39">
        <v>8.85886816969386</v>
      </c>
      <c r="C39">
        <v>0.51767531919286103</v>
      </c>
      <c r="D39">
        <v>5.3909883069279703</v>
      </c>
      <c r="E39">
        <v>5.7884992858875002</v>
      </c>
      <c r="F39">
        <v>6.7834377237030496</v>
      </c>
      <c r="G39">
        <v>5.3321391614148599</v>
      </c>
      <c r="H39">
        <v>5.5848470671515003</v>
      </c>
      <c r="I39">
        <v>6.2987859274094697</v>
      </c>
      <c r="J39">
        <v>4.8317698891309702</v>
      </c>
      <c r="K39">
        <v>-1.51352871598714</v>
      </c>
      <c r="L39">
        <v>7.4248473832609703</v>
      </c>
      <c r="M39">
        <v>5.2939128341400297</v>
      </c>
      <c r="N39">
        <v>5.4734541925385303</v>
      </c>
      <c r="O39">
        <v>4.6937225255789299</v>
      </c>
      <c r="P39">
        <v>6.0067219455820302</v>
      </c>
      <c r="Q39">
        <v>5.0915324215501103</v>
      </c>
      <c r="R39">
        <v>4.4497813976154097</v>
      </c>
      <c r="S39">
        <v>5.8127224098332801</v>
      </c>
      <c r="T39">
        <v>4.8430869763488102</v>
      </c>
      <c r="U39">
        <v>4.4131874212958602</v>
      </c>
      <c r="V39">
        <v>-5.4568465842670104</v>
      </c>
      <c r="W39">
        <v>3.31534954399166</v>
      </c>
      <c r="X39">
        <v>8.8618218757804605</v>
      </c>
      <c r="Y39">
        <v>3.5554871541050899</v>
      </c>
      <c r="Z39">
        <v>111.65226363187907</v>
      </c>
    </row>
    <row r="40" spans="1:26" x14ac:dyDescent="0.25">
      <c r="A40" t="s">
        <v>35</v>
      </c>
      <c r="B40">
        <v>5.0292839937826104</v>
      </c>
      <c r="C40">
        <v>-0.45084525321594499</v>
      </c>
      <c r="D40">
        <v>-0.23658800192264101</v>
      </c>
      <c r="E40">
        <v>1.1855448670955899</v>
      </c>
      <c r="F40">
        <v>3.5654410094684601</v>
      </c>
      <c r="G40">
        <v>2.1132471258639201</v>
      </c>
      <c r="H40">
        <v>4.8050135274685202</v>
      </c>
      <c r="I40">
        <v>2.07786393438754</v>
      </c>
      <c r="J40">
        <v>0.94333186303690297</v>
      </c>
      <c r="K40">
        <v>-6.2952505578050202</v>
      </c>
      <c r="L40">
        <v>4.9713345832194999</v>
      </c>
      <c r="M40">
        <v>3.4440450579441801</v>
      </c>
      <c r="N40">
        <v>3.5532107599352698</v>
      </c>
      <c r="O40">
        <v>0.85210155941062704</v>
      </c>
      <c r="P40">
        <v>2.5037635028866401</v>
      </c>
      <c r="Q40">
        <v>2.7023234255064601</v>
      </c>
      <c r="R40">
        <v>1.77249323845399</v>
      </c>
      <c r="S40">
        <v>1.87172853327193</v>
      </c>
      <c r="T40">
        <v>1.9720821024919399</v>
      </c>
      <c r="U40">
        <v>-0.39269052157921203</v>
      </c>
      <c r="V40">
        <v>-8.3540345574586006</v>
      </c>
      <c r="W40">
        <v>6.0484834429050496</v>
      </c>
      <c r="X40">
        <v>3.6891110934802498</v>
      </c>
      <c r="Y40">
        <v>3.1999811659849202</v>
      </c>
      <c r="Z40">
        <v>40.570975894612886</v>
      </c>
    </row>
    <row r="41" spans="1:26" x14ac:dyDescent="0.25">
      <c r="A41" t="s">
        <v>34</v>
      </c>
      <c r="B41">
        <v>4.2197537372702403</v>
      </c>
      <c r="C41">
        <v>2.3235756385698201</v>
      </c>
      <c r="D41">
        <v>0.24578585947114101</v>
      </c>
      <c r="E41">
        <v>9.7832247894032803E-2</v>
      </c>
      <c r="F41">
        <v>2.0163100164133998</v>
      </c>
      <c r="G41">
        <v>2.0339632485814398</v>
      </c>
      <c r="H41">
        <v>3.5373752185526799</v>
      </c>
      <c r="I41">
        <v>3.8853065083888798</v>
      </c>
      <c r="J41">
        <v>2.1168158619186501</v>
      </c>
      <c r="K41">
        <v>-3.66529044506595</v>
      </c>
      <c r="L41">
        <v>1.3193202329624401</v>
      </c>
      <c r="M41">
        <v>1.77334520657246</v>
      </c>
      <c r="N41">
        <v>-0.97787700851382897</v>
      </c>
      <c r="O41">
        <v>-3.0232451655294298E-2</v>
      </c>
      <c r="P41">
        <v>1.61261007449123</v>
      </c>
      <c r="Q41">
        <v>2.12060522421717</v>
      </c>
      <c r="R41">
        <v>2.4242857653663301</v>
      </c>
      <c r="S41">
        <v>2.7815460987956002</v>
      </c>
      <c r="T41">
        <v>2.2587403962495198</v>
      </c>
      <c r="U41">
        <v>2.30009159476197</v>
      </c>
      <c r="V41">
        <v>-3.86795339323423</v>
      </c>
      <c r="W41">
        <v>6.2768307323052603</v>
      </c>
      <c r="X41">
        <v>5.0072345904503699</v>
      </c>
      <c r="Y41">
        <v>7.4560721649490305E-2</v>
      </c>
      <c r="Z41">
        <v>39.884535676412824</v>
      </c>
    </row>
    <row r="42" spans="1:26" x14ac:dyDescent="0.25">
      <c r="A42" t="s">
        <v>30</v>
      </c>
      <c r="B42">
        <v>2.8705902219230701</v>
      </c>
      <c r="C42">
        <v>3.41147076988781</v>
      </c>
      <c r="D42">
        <v>4.7138431654456099</v>
      </c>
      <c r="E42">
        <v>4.7289677439786404</v>
      </c>
      <c r="F42">
        <v>4.0882596488034597</v>
      </c>
      <c r="G42">
        <v>3.3532414436779399</v>
      </c>
      <c r="H42">
        <v>2.77957134994847</v>
      </c>
      <c r="I42">
        <v>3.0499105117098799</v>
      </c>
      <c r="J42">
        <v>-1.2395351114323001</v>
      </c>
      <c r="K42">
        <v>-5.1952422293283E-2</v>
      </c>
      <c r="L42">
        <v>1.44462128410649</v>
      </c>
      <c r="M42">
        <v>2.2413422154251599</v>
      </c>
      <c r="N42">
        <v>2.2894629674209002</v>
      </c>
      <c r="O42">
        <v>2.7601795895371599</v>
      </c>
      <c r="P42">
        <v>3.7543194150939501</v>
      </c>
      <c r="Q42">
        <v>3.7340357729115401</v>
      </c>
      <c r="R42">
        <v>3.7483114523663099</v>
      </c>
      <c r="S42">
        <v>3.3972825044488699</v>
      </c>
      <c r="T42">
        <v>3.4994970304559301</v>
      </c>
      <c r="U42">
        <v>2.3619621778560398</v>
      </c>
      <c r="V42">
        <v>-0.42490645757311502</v>
      </c>
      <c r="W42">
        <v>4.5462476385287802</v>
      </c>
      <c r="X42">
        <v>2.7748426484211999</v>
      </c>
      <c r="Y42">
        <v>0.73330217167497802</v>
      </c>
      <c r="Z42">
        <v>64.564867732323492</v>
      </c>
    </row>
    <row r="43" spans="1:26" x14ac:dyDescent="0.25">
      <c r="A43" t="s">
        <v>28</v>
      </c>
      <c r="B43">
        <v>3.3189456709815599</v>
      </c>
      <c r="C43">
        <v>2.06713046054618</v>
      </c>
      <c r="D43">
        <v>1.3775570014649601</v>
      </c>
      <c r="E43">
        <v>0.94490939111871297</v>
      </c>
      <c r="F43">
        <v>4.0145880170972799</v>
      </c>
      <c r="G43">
        <v>2.68512289082248</v>
      </c>
      <c r="H43">
        <v>2.4614731337032798</v>
      </c>
      <c r="I43">
        <v>2.9140399860717401</v>
      </c>
      <c r="J43">
        <v>0.481919541231974</v>
      </c>
      <c r="K43">
        <v>-1.94036469505112</v>
      </c>
      <c r="L43">
        <v>0.78705184549544105</v>
      </c>
      <c r="M43">
        <v>1.10565602733728</v>
      </c>
      <c r="N43">
        <v>2.71795926678982</v>
      </c>
      <c r="O43">
        <v>1.01619082409272</v>
      </c>
      <c r="P43">
        <v>2.0481319985508399</v>
      </c>
      <c r="Q43">
        <v>1.85733972643303</v>
      </c>
      <c r="R43">
        <v>1.1647242349728499</v>
      </c>
      <c r="S43">
        <v>2.4637462851014602</v>
      </c>
      <c r="T43">
        <v>0.828900664137592</v>
      </c>
      <c r="U43">
        <v>1.1237778743679701</v>
      </c>
      <c r="V43">
        <v>-1.2781717845225999</v>
      </c>
      <c r="W43">
        <v>3.9086867768941702</v>
      </c>
      <c r="X43">
        <v>3.0056351607629801</v>
      </c>
      <c r="Y43">
        <v>0.47964724601182201</v>
      </c>
      <c r="Z43">
        <v>39.554597544412424</v>
      </c>
    </row>
    <row r="44" spans="1:26" x14ac:dyDescent="0.25">
      <c r="A44" t="s">
        <v>26</v>
      </c>
      <c r="B44">
        <v>2.6943713980691202</v>
      </c>
      <c r="C44">
        <v>0.61789232562429697</v>
      </c>
      <c r="D44">
        <v>5.4535289381876701</v>
      </c>
      <c r="E44">
        <v>4.1650231366611203</v>
      </c>
      <c r="F44">
        <v>4.9582032061174504</v>
      </c>
      <c r="G44">
        <v>6.2850603250960102</v>
      </c>
      <c r="H44">
        <v>7.5288990440593997</v>
      </c>
      <c r="I44">
        <v>8.5183877690955008</v>
      </c>
      <c r="J44">
        <v>9.1265683014642001</v>
      </c>
      <c r="K44">
        <v>1.0958236592427</v>
      </c>
      <c r="L44">
        <v>8.3324591074957706</v>
      </c>
      <c r="M44">
        <v>6.3271924016111702</v>
      </c>
      <c r="N44">
        <v>6.1397247056043502</v>
      </c>
      <c r="O44">
        <v>5.8525182108492801</v>
      </c>
      <c r="P44">
        <v>2.3821573718054099</v>
      </c>
      <c r="Q44">
        <v>3.2522447721845098</v>
      </c>
      <c r="R44">
        <v>3.9533187152076699</v>
      </c>
      <c r="S44">
        <v>2.5188354423313499</v>
      </c>
      <c r="T44">
        <v>3.9693513413649999</v>
      </c>
      <c r="U44">
        <v>2.24063176875049</v>
      </c>
      <c r="V44">
        <v>-10.933306501038199</v>
      </c>
      <c r="W44">
        <v>13.3552295093079</v>
      </c>
      <c r="X44">
        <v>2.7255002156336299</v>
      </c>
      <c r="Y44">
        <v>-0.55018230632048004</v>
      </c>
      <c r="Z44">
        <v>100.00943285840532</v>
      </c>
    </row>
    <row r="45" spans="1:26" x14ac:dyDescent="0.25">
      <c r="A45" t="s">
        <v>27</v>
      </c>
      <c r="B45">
        <v>4.3825048334725398</v>
      </c>
      <c r="C45">
        <v>3.04923150985866</v>
      </c>
      <c r="D45">
        <v>3.7162550015838298</v>
      </c>
      <c r="E45">
        <v>5.0869111351307303</v>
      </c>
      <c r="F45">
        <v>6.5692285118062603</v>
      </c>
      <c r="G45">
        <v>4.9425051187767801</v>
      </c>
      <c r="H45">
        <v>5.3164168213693896</v>
      </c>
      <c r="I45">
        <v>6.5192915501893802</v>
      </c>
      <c r="J45">
        <v>4.34448730509183</v>
      </c>
      <c r="K45">
        <v>1.4483230627566901</v>
      </c>
      <c r="L45">
        <v>7.3344999651440199</v>
      </c>
      <c r="M45">
        <v>3.8582328242075499</v>
      </c>
      <c r="N45">
        <v>6.8969517078676903</v>
      </c>
      <c r="O45">
        <v>6.7505313039474499</v>
      </c>
      <c r="P45">
        <v>6.3479874802974097</v>
      </c>
      <c r="Q45">
        <v>6.3483097153988597</v>
      </c>
      <c r="R45">
        <v>7.14945675286656</v>
      </c>
      <c r="S45">
        <v>6.9309883252176503</v>
      </c>
      <c r="T45">
        <v>6.3414855709894598</v>
      </c>
      <c r="U45">
        <v>6.1185256611850498</v>
      </c>
      <c r="V45">
        <v>-9.5182947406494005</v>
      </c>
      <c r="W45">
        <v>5.71473313426225</v>
      </c>
      <c r="X45">
        <v>7.5809821278556297</v>
      </c>
      <c r="Y45">
        <v>5.5458511708776701</v>
      </c>
      <c r="Z45">
        <v>118.77539584950394</v>
      </c>
    </row>
    <row r="46" spans="1:26" x14ac:dyDescent="0.25">
      <c r="A46" t="s">
        <v>32</v>
      </c>
      <c r="B46">
        <v>4.6563325298823601</v>
      </c>
      <c r="C46">
        <v>1.23374464400356</v>
      </c>
      <c r="D46">
        <v>1.9011943796858599</v>
      </c>
      <c r="E46">
        <v>3.5233711723483299</v>
      </c>
      <c r="F46">
        <v>5.0907954640954403</v>
      </c>
      <c r="G46">
        <v>3.2608227467921602</v>
      </c>
      <c r="H46">
        <v>6.2021071093437303</v>
      </c>
      <c r="I46">
        <v>6.7604478527626002</v>
      </c>
      <c r="J46">
        <v>4.38377069274605</v>
      </c>
      <c r="K46">
        <v>2.6151285929168302</v>
      </c>
      <c r="L46">
        <v>3.1689274825803602</v>
      </c>
      <c r="M46">
        <v>5.2554625661279601</v>
      </c>
      <c r="N46">
        <v>1.5117816764457499</v>
      </c>
      <c r="O46">
        <v>0.68424060705180501</v>
      </c>
      <c r="P46">
        <v>3.9205086239003202</v>
      </c>
      <c r="Q46">
        <v>4.4317670026447802</v>
      </c>
      <c r="R46">
        <v>3.0311776759484701</v>
      </c>
      <c r="S46">
        <v>5.1524577332590704</v>
      </c>
      <c r="T46">
        <v>6.2458584723942003</v>
      </c>
      <c r="U46">
        <v>4.5804581725619897</v>
      </c>
      <c r="V46">
        <v>-2.0355688239997698</v>
      </c>
      <c r="W46">
        <v>6.92718266052501</v>
      </c>
      <c r="X46">
        <v>5.25545697386036</v>
      </c>
      <c r="Y46">
        <v>0.13883275478718801</v>
      </c>
      <c r="Z46">
        <v>87.896258762664431</v>
      </c>
    </row>
    <row r="47" spans="1:26" x14ac:dyDescent="0.25">
      <c r="A47" t="s">
        <v>29</v>
      </c>
      <c r="B47">
        <v>3.8161775642318201</v>
      </c>
      <c r="C47">
        <v>1.94367215368429</v>
      </c>
      <c r="D47">
        <v>0.77092487928949505</v>
      </c>
      <c r="E47">
        <v>-0.930521086276485</v>
      </c>
      <c r="F47">
        <v>1.7887356595620101</v>
      </c>
      <c r="G47">
        <v>0.78184775759899605</v>
      </c>
      <c r="H47">
        <v>1.62503463813644</v>
      </c>
      <c r="I47">
        <v>2.50657971505967</v>
      </c>
      <c r="J47">
        <v>0.31924716243531698</v>
      </c>
      <c r="K47">
        <v>-3.1220781229054602</v>
      </c>
      <c r="L47">
        <v>1.7376245104543699</v>
      </c>
      <c r="M47">
        <v>-1.71352750320345</v>
      </c>
      <c r="N47">
        <v>-4.0509026186835504</v>
      </c>
      <c r="O47">
        <v>-0.98410675810353598</v>
      </c>
      <c r="P47">
        <v>0.74139147058367905</v>
      </c>
      <c r="Q47">
        <v>1.58979828893855</v>
      </c>
      <c r="R47">
        <v>2.0041410936048698</v>
      </c>
      <c r="S47">
        <v>3.31472078233416</v>
      </c>
      <c r="T47">
        <v>2.9462824162085299</v>
      </c>
      <c r="U47">
        <v>2.74568471619554</v>
      </c>
      <c r="V47">
        <v>-8.2046320625547793</v>
      </c>
      <c r="W47">
        <v>5.55875752305435</v>
      </c>
      <c r="X47">
        <v>6.9858419382788099</v>
      </c>
      <c r="Y47">
        <v>2.5262811080676402</v>
      </c>
      <c r="Z47">
        <v>24.696975225991277</v>
      </c>
    </row>
    <row r="48" spans="1:26" x14ac:dyDescent="0.25">
      <c r="A48" t="s">
        <v>31</v>
      </c>
      <c r="B48">
        <v>2.46121646882141</v>
      </c>
      <c r="C48">
        <v>5.2181845115115104</v>
      </c>
      <c r="D48">
        <v>5.7029916504377098</v>
      </c>
      <c r="E48">
        <v>2.3411473291952101</v>
      </c>
      <c r="F48">
        <v>10.4281130180976</v>
      </c>
      <c r="G48">
        <v>4.6681480508486999</v>
      </c>
      <c r="H48">
        <v>8.02881107599163</v>
      </c>
      <c r="I48">
        <v>7.2338077436280503</v>
      </c>
      <c r="J48">
        <v>9.3074671707733803</v>
      </c>
      <c r="K48">
        <v>-5.51670615843011</v>
      </c>
      <c r="L48">
        <v>-3.90581157302972</v>
      </c>
      <c r="M48">
        <v>4.49558909946313</v>
      </c>
      <c r="N48">
        <v>1.90361696799603</v>
      </c>
      <c r="O48">
        <v>0.27877187747023402</v>
      </c>
      <c r="P48">
        <v>4.1160010926783199</v>
      </c>
      <c r="Q48">
        <v>3.1570360543853999</v>
      </c>
      <c r="R48">
        <v>2.8599325230208898</v>
      </c>
      <c r="S48">
        <v>8.1954782664126107</v>
      </c>
      <c r="T48">
        <v>6.1209300071459998</v>
      </c>
      <c r="U48">
        <v>3.9232638496349401</v>
      </c>
      <c r="V48">
        <v>-3.67438440910189</v>
      </c>
      <c r="W48">
        <v>5.5457096259050997</v>
      </c>
      <c r="X48">
        <v>3.9653076631171702</v>
      </c>
      <c r="Y48">
        <v>2.4042717791280901</v>
      </c>
      <c r="Z48">
        <v>89.258893685101384</v>
      </c>
    </row>
    <row r="49" spans="1:26" x14ac:dyDescent="0.25">
      <c r="A49" t="s">
        <v>33</v>
      </c>
      <c r="B49">
        <v>10.0000668136515</v>
      </c>
      <c r="C49">
        <v>5.1000512257256796</v>
      </c>
      <c r="D49">
        <v>4.6999919091425797</v>
      </c>
      <c r="E49">
        <v>7.2999523452818904</v>
      </c>
      <c r="F49">
        <v>7.1999478695485699</v>
      </c>
      <c r="G49">
        <v>6.3999654479946901</v>
      </c>
      <c r="H49">
        <v>8.2000682545632095</v>
      </c>
      <c r="I49">
        <v>8.4999777691651097</v>
      </c>
      <c r="J49">
        <v>5.1999692640495701</v>
      </c>
      <c r="K49">
        <v>-7.7999939127127504</v>
      </c>
      <c r="L49">
        <v>4.4999999992067199</v>
      </c>
      <c r="M49">
        <v>4.3000291856774897</v>
      </c>
      <c r="N49">
        <v>4.0240861574692097</v>
      </c>
      <c r="O49">
        <v>1.75542214874298</v>
      </c>
      <c r="P49">
        <v>0.73626722176567205</v>
      </c>
      <c r="Q49">
        <v>-1.97271922580408</v>
      </c>
      <c r="R49">
        <v>0.193690071260534</v>
      </c>
      <c r="S49">
        <v>1.82579006401834</v>
      </c>
      <c r="T49">
        <v>2.8072454105960101</v>
      </c>
      <c r="U49">
        <v>2.1980757133500899</v>
      </c>
      <c r="V49">
        <v>-2.6536545010277299</v>
      </c>
      <c r="W49">
        <v>5.6142903757834501</v>
      </c>
      <c r="X49">
        <v>-2.0697115252773099</v>
      </c>
      <c r="Y49">
        <v>3.6000000000000099</v>
      </c>
      <c r="Z49">
        <v>79.658808082171433</v>
      </c>
    </row>
    <row r="50" spans="1:26" x14ac:dyDescent="0.25">
      <c r="A50" t="s">
        <v>23</v>
      </c>
      <c r="B50">
        <v>9.0383163255516301</v>
      </c>
      <c r="C50">
        <v>-1.0708627510044799</v>
      </c>
      <c r="D50">
        <v>3.9233607670201298</v>
      </c>
      <c r="E50">
        <v>4.5482554264322896</v>
      </c>
      <c r="F50">
        <v>9.9399826843495696</v>
      </c>
      <c r="G50">
        <v>7.3663223925075796</v>
      </c>
      <c r="H50">
        <v>9.0067660787175807</v>
      </c>
      <c r="I50">
        <v>9.0215195126889292</v>
      </c>
      <c r="J50">
        <v>1.86348345462035</v>
      </c>
      <c r="K50">
        <v>0.12795338277808799</v>
      </c>
      <c r="L50">
        <v>14.519749710899401</v>
      </c>
      <c r="M50">
        <v>6.21493416858989</v>
      </c>
      <c r="N50">
        <v>4.43549759378537</v>
      </c>
      <c r="O50">
        <v>4.8176309912067596</v>
      </c>
      <c r="P50">
        <v>3.93554027709007</v>
      </c>
      <c r="Q50">
        <v>2.9767993163480599</v>
      </c>
      <c r="R50">
        <v>3.5886436958266801</v>
      </c>
      <c r="S50">
        <v>4.5129263177092698</v>
      </c>
      <c r="T50">
        <v>3.51711418509255</v>
      </c>
      <c r="U50">
        <v>1.3450587408272801</v>
      </c>
      <c r="V50">
        <v>-3.8697989343004302</v>
      </c>
      <c r="W50">
        <v>9.6907668708206405</v>
      </c>
      <c r="X50">
        <v>3.8380767851980702</v>
      </c>
      <c r="Y50">
        <v>1.0750317509510099</v>
      </c>
      <c r="Z50">
        <v>114.36306874370629</v>
      </c>
    </row>
    <row r="51" spans="1:26" x14ac:dyDescent="0.25">
      <c r="A51" t="s">
        <v>24</v>
      </c>
      <c r="B51">
        <v>0.78922559618391097</v>
      </c>
      <c r="C51">
        <v>2.9251590337179501</v>
      </c>
      <c r="D51">
        <v>4.4172539161322097</v>
      </c>
      <c r="E51">
        <v>4.8566982023304499</v>
      </c>
      <c r="F51">
        <v>5.3894989864807297</v>
      </c>
      <c r="G51">
        <v>6.4849320162281598</v>
      </c>
      <c r="H51">
        <v>8.9256869574189608</v>
      </c>
      <c r="I51">
        <v>10.818631131365001</v>
      </c>
      <c r="J51">
        <v>5.3633769560481399</v>
      </c>
      <c r="K51">
        <v>-5.5053384235000804</v>
      </c>
      <c r="L51">
        <v>6.79058214015053</v>
      </c>
      <c r="M51">
        <v>2.56242455855089</v>
      </c>
      <c r="N51">
        <v>1.5691711562839901</v>
      </c>
      <c r="O51">
        <v>0.70332363473832504</v>
      </c>
      <c r="P51">
        <v>2.7079506235519402</v>
      </c>
      <c r="Q51">
        <v>5.1768795103708998</v>
      </c>
      <c r="R51">
        <v>1.9478190258231201</v>
      </c>
      <c r="S51">
        <v>2.87473225538896</v>
      </c>
      <c r="T51">
        <v>4.06212036983018</v>
      </c>
      <c r="U51">
        <v>2.2758991816033598</v>
      </c>
      <c r="V51">
        <v>-2.5855125291319001</v>
      </c>
      <c r="W51">
        <v>5.7269885401189198</v>
      </c>
      <c r="X51">
        <v>0.44967387508157203</v>
      </c>
      <c r="Y51">
        <v>1.37833727209444</v>
      </c>
      <c r="Z51">
        <v>80.105513986860672</v>
      </c>
    </row>
    <row r="52" spans="1:26" x14ac:dyDescent="0.25">
      <c r="A52" t="s">
        <v>25</v>
      </c>
      <c r="B52">
        <v>3.4979164509991998</v>
      </c>
      <c r="C52">
        <v>2.8286866423332202</v>
      </c>
      <c r="D52">
        <v>3.28258346542935</v>
      </c>
      <c r="E52">
        <v>3.1950311097291602</v>
      </c>
      <c r="F52">
        <v>4.5460195470253399</v>
      </c>
      <c r="G52">
        <v>3.85412678549184</v>
      </c>
      <c r="H52">
        <v>5.9087842388210401</v>
      </c>
      <c r="I52">
        <v>7.1392317544702202</v>
      </c>
      <c r="J52">
        <v>3.3722380379298298</v>
      </c>
      <c r="K52">
        <v>-7.59058742979862</v>
      </c>
      <c r="L52">
        <v>1.11213741551349</v>
      </c>
      <c r="M52">
        <v>0.65543991178253702</v>
      </c>
      <c r="N52">
        <v>-2.9155386026986001</v>
      </c>
      <c r="O52">
        <v>-0.82377723832048799</v>
      </c>
      <c r="P52">
        <v>2.7628316431637101</v>
      </c>
      <c r="Q52">
        <v>2.39330872436074</v>
      </c>
      <c r="R52">
        <v>3.03441395415184</v>
      </c>
      <c r="S52">
        <v>5.1744045395644296</v>
      </c>
      <c r="T52">
        <v>4.3790817161292201</v>
      </c>
      <c r="U52">
        <v>3.5052516684016299</v>
      </c>
      <c r="V52">
        <v>-4.0849981529781401</v>
      </c>
      <c r="W52">
        <v>8.3896503209446092</v>
      </c>
      <c r="X52">
        <v>2.6992375568737499</v>
      </c>
      <c r="Y52">
        <v>2.1125918431899899</v>
      </c>
      <c r="Z52">
        <v>58.428065902509303</v>
      </c>
    </row>
    <row r="53" spans="1:26" x14ac:dyDescent="0.25">
      <c r="A53" t="s">
        <v>21</v>
      </c>
      <c r="B53">
        <v>5.2006411858572799</v>
      </c>
      <c r="C53">
        <v>3.91908879065753</v>
      </c>
      <c r="D53">
        <v>2.7554561533264601</v>
      </c>
      <c r="E53">
        <v>2.93928966368206</v>
      </c>
      <c r="F53">
        <v>3.1145314520237801</v>
      </c>
      <c r="G53">
        <v>3.5512255153724102</v>
      </c>
      <c r="H53">
        <v>4.04343520720857</v>
      </c>
      <c r="I53">
        <v>3.5335001219114899</v>
      </c>
      <c r="J53">
        <v>0.76716577493146998</v>
      </c>
      <c r="K53">
        <v>-3.76813307179789</v>
      </c>
      <c r="L53">
        <v>9.4122316668261902E-2</v>
      </c>
      <c r="M53">
        <v>-0.63992069128737195</v>
      </c>
      <c r="N53">
        <v>-2.8651136729107001</v>
      </c>
      <c r="O53">
        <v>-1.4273221918187999</v>
      </c>
      <c r="P53">
        <v>1.5204859227981899</v>
      </c>
      <c r="Q53">
        <v>4.0608666971856904</v>
      </c>
      <c r="R53">
        <v>2.9151560280817401</v>
      </c>
      <c r="S53">
        <v>2.8960420808162999</v>
      </c>
      <c r="T53">
        <v>2.3954112036424702</v>
      </c>
      <c r="U53">
        <v>1.9611785315135</v>
      </c>
      <c r="V53">
        <v>-10.940070659186601</v>
      </c>
      <c r="W53">
        <v>6.6831441850028002</v>
      </c>
      <c r="X53">
        <v>6.17931222572963</v>
      </c>
      <c r="Y53">
        <v>2.6756634925822902</v>
      </c>
      <c r="Z53">
        <v>41.565156261990559</v>
      </c>
    </row>
    <row r="54" spans="1:26" x14ac:dyDescent="0.25">
      <c r="A54" t="s">
        <v>20</v>
      </c>
      <c r="B54">
        <v>4.6311159906155801</v>
      </c>
      <c r="C54">
        <v>1.3607669264816999</v>
      </c>
      <c r="D54">
        <v>2.2776711493939201</v>
      </c>
      <c r="E54">
        <v>1.88094411885302</v>
      </c>
      <c r="F54">
        <v>4.1795303955190004</v>
      </c>
      <c r="G54">
        <v>2.79317685497699</v>
      </c>
      <c r="H54">
        <v>4.6759987087749098</v>
      </c>
      <c r="I54">
        <v>3.2249113171166601</v>
      </c>
      <c r="J54">
        <v>-0.92312308295031198</v>
      </c>
      <c r="K54">
        <v>-4.2555737427114497</v>
      </c>
      <c r="L54">
        <v>5.7507358432272504</v>
      </c>
      <c r="M54">
        <v>3.16391048145204</v>
      </c>
      <c r="N54">
        <v>-0.41446572107088298</v>
      </c>
      <c r="O54">
        <v>1.1377164979708601</v>
      </c>
      <c r="P54">
        <v>2.2957638087283998</v>
      </c>
      <c r="Q54">
        <v>4.4101406757934098</v>
      </c>
      <c r="R54">
        <v>2.34974080432539</v>
      </c>
      <c r="S54">
        <v>1.8251560149471699</v>
      </c>
      <c r="T54">
        <v>1.90296458840773</v>
      </c>
      <c r="U54">
        <v>2.5496478525304802</v>
      </c>
      <c r="V54">
        <v>-2.0053375035376302</v>
      </c>
      <c r="W54">
        <v>5.9375085730743997</v>
      </c>
      <c r="X54">
        <v>1.45928850757269</v>
      </c>
      <c r="Y54">
        <v>-0.31067018472589297</v>
      </c>
      <c r="Z54">
        <v>49.897518874765417</v>
      </c>
    </row>
    <row r="55" spans="1:26" x14ac:dyDescent="0.25">
      <c r="A55" t="s">
        <v>22</v>
      </c>
      <c r="B55">
        <v>3.9587197193351602</v>
      </c>
      <c r="C55">
        <v>1.57566196744156</v>
      </c>
      <c r="D55">
        <v>-7.3217084042653396E-2</v>
      </c>
      <c r="E55">
        <v>-3.2398476537778699E-2</v>
      </c>
      <c r="F55">
        <v>2.7017092096702799</v>
      </c>
      <c r="G55">
        <v>2.7496989849848501</v>
      </c>
      <c r="H55">
        <v>4.07362844994275</v>
      </c>
      <c r="I55">
        <v>3.9163758177818</v>
      </c>
      <c r="J55">
        <v>2.8079836316869198</v>
      </c>
      <c r="K55">
        <v>-2.2973746307154501</v>
      </c>
      <c r="L55">
        <v>3.2433973355017298</v>
      </c>
      <c r="M55">
        <v>1.8131081920369501</v>
      </c>
      <c r="N55">
        <v>1.17925383325108</v>
      </c>
      <c r="O55">
        <v>1.7921440570748399</v>
      </c>
      <c r="P55">
        <v>2.3498812750862599</v>
      </c>
      <c r="Q55">
        <v>1.64462768699285</v>
      </c>
      <c r="R55">
        <v>2.0686896670996</v>
      </c>
      <c r="S55">
        <v>1.36279955711416</v>
      </c>
      <c r="T55">
        <v>2.86044579461633</v>
      </c>
      <c r="U55">
        <v>1.1419823250527701</v>
      </c>
      <c r="V55">
        <v>-2.1417372065005398</v>
      </c>
      <c r="W55">
        <v>5.3918880414147301</v>
      </c>
      <c r="X55">
        <v>2.5683281783406899</v>
      </c>
      <c r="Y55">
        <v>0.71606686869583303</v>
      </c>
      <c r="Z55">
        <v>45.371663195324729</v>
      </c>
    </row>
    <row r="56" spans="1:26" x14ac:dyDescent="0.25">
      <c r="A56" t="s">
        <v>18</v>
      </c>
      <c r="B56">
        <v>4.4552470433501403</v>
      </c>
      <c r="C56">
        <v>3.4442490096837202</v>
      </c>
      <c r="D56">
        <v>6.1490360521003602</v>
      </c>
      <c r="E56">
        <v>7.1892433034097101</v>
      </c>
      <c r="F56">
        <v>6.2893421428579499</v>
      </c>
      <c r="G56">
        <v>4.1876384288433703</v>
      </c>
      <c r="H56">
        <v>4.9678108924610704</v>
      </c>
      <c r="I56">
        <v>5.4351516905080901</v>
      </c>
      <c r="J56">
        <v>1.72569884866334</v>
      </c>
      <c r="K56">
        <v>-0.69061823230057895</v>
      </c>
      <c r="L56">
        <v>7.5133905326162402</v>
      </c>
      <c r="M56">
        <v>0.84013208305333398</v>
      </c>
      <c r="N56">
        <v>7.2427962024964199</v>
      </c>
      <c r="O56">
        <v>2.6874955632055602</v>
      </c>
      <c r="P56">
        <v>0.98446886361942598</v>
      </c>
      <c r="Q56">
        <v>3.13404724911635</v>
      </c>
      <c r="R56">
        <v>3.4351577169218199</v>
      </c>
      <c r="S56">
        <v>4.1776810321001001</v>
      </c>
      <c r="T56">
        <v>4.2228702874607098</v>
      </c>
      <c r="U56">
        <v>2.1145577962827802</v>
      </c>
      <c r="V56">
        <v>-6.0500384685162203</v>
      </c>
      <c r="W56">
        <v>1.5681817650118599</v>
      </c>
      <c r="X56">
        <v>2.4627693405035598</v>
      </c>
      <c r="Y56">
        <v>1.8872572505093399</v>
      </c>
      <c r="Z56">
        <v>79.373566393958455</v>
      </c>
    </row>
    <row r="57" spans="1:26" x14ac:dyDescent="0.25">
      <c r="A57" t="s">
        <v>19</v>
      </c>
      <c r="B57">
        <v>6.9332397045590399</v>
      </c>
      <c r="C57">
        <v>-5.75000655464257</v>
      </c>
      <c r="D57">
        <v>6.4477220468159402</v>
      </c>
      <c r="E57">
        <v>5.7632060665471396</v>
      </c>
      <c r="F57">
        <v>9.7959363892028204</v>
      </c>
      <c r="G57">
        <v>8.9923049362651692</v>
      </c>
      <c r="H57">
        <v>6.9479880857199303</v>
      </c>
      <c r="I57">
        <v>5.0435079315710398</v>
      </c>
      <c r="J57">
        <v>0.81502457300770503</v>
      </c>
      <c r="K57">
        <v>-4.8231539530176901</v>
      </c>
      <c r="L57">
        <v>8.4271043227619096</v>
      </c>
      <c r="M57">
        <v>11.2001105833504</v>
      </c>
      <c r="N57">
        <v>4.7884927110800799</v>
      </c>
      <c r="O57">
        <v>8.4858169965302608</v>
      </c>
      <c r="P57">
        <v>4.9397151613658004</v>
      </c>
      <c r="Q57">
        <v>6.0844869044366297</v>
      </c>
      <c r="R57">
        <v>3.3230842084574599</v>
      </c>
      <c r="S57">
        <v>7.5019974891749097</v>
      </c>
      <c r="T57">
        <v>3.0131703931214999</v>
      </c>
      <c r="U57">
        <v>0.81851452672667302</v>
      </c>
      <c r="V57">
        <v>1.8598730397646199</v>
      </c>
      <c r="W57">
        <v>11.4393956926566</v>
      </c>
      <c r="X57">
        <v>5.5334278749278099</v>
      </c>
      <c r="Y57">
        <v>5.1111681848870196</v>
      </c>
      <c r="Z57">
        <v>122.6921273152702</v>
      </c>
    </row>
    <row r="58" spans="1:26" x14ac:dyDescent="0.25">
      <c r="A58" t="s">
        <v>14</v>
      </c>
      <c r="B58">
        <v>4.3416341791447497</v>
      </c>
      <c r="C58">
        <v>2.5727803861407801</v>
      </c>
      <c r="D58">
        <v>1.79566077025204</v>
      </c>
      <c r="E58">
        <v>3.1523465382741902</v>
      </c>
      <c r="F58">
        <v>2.45790441131264</v>
      </c>
      <c r="G58">
        <v>2.73266076130363</v>
      </c>
      <c r="H58">
        <v>2.3806940248706598</v>
      </c>
      <c r="I58">
        <v>2.6248800197125099</v>
      </c>
      <c r="J58">
        <v>-0.24879729813224599</v>
      </c>
      <c r="K58">
        <v>-4.6205537195686004</v>
      </c>
      <c r="L58">
        <v>2.2333151263108002</v>
      </c>
      <c r="M58">
        <v>1.1383623474489299</v>
      </c>
      <c r="N58">
        <v>1.5089983744101401</v>
      </c>
      <c r="O58">
        <v>1.7999214936266299</v>
      </c>
      <c r="P58">
        <v>3.1946373128020999</v>
      </c>
      <c r="Q58">
        <v>2.2228884490843699</v>
      </c>
      <c r="R58">
        <v>1.92171007763831</v>
      </c>
      <c r="S58">
        <v>2.6565048930997199</v>
      </c>
      <c r="T58">
        <v>1.40519026609273</v>
      </c>
      <c r="U58">
        <v>1.62447515947532</v>
      </c>
      <c r="V58">
        <v>-10.296918873756701</v>
      </c>
      <c r="W58">
        <v>8.5759509048564997</v>
      </c>
      <c r="X58">
        <v>4.8390851471440302</v>
      </c>
      <c r="Y58">
        <v>0.33996615800346303</v>
      </c>
      <c r="Z58">
        <v>40.353296909546692</v>
      </c>
    </row>
    <row r="59" spans="1:26" x14ac:dyDescent="0.25">
      <c r="A59" t="s">
        <v>15</v>
      </c>
      <c r="B59">
        <v>4.0775857580429298</v>
      </c>
      <c r="C59">
        <v>0.95553834643031599</v>
      </c>
      <c r="D59">
        <v>1.70044732363073</v>
      </c>
      <c r="E59">
        <v>2.7956059658829999</v>
      </c>
      <c r="F59">
        <v>3.8477716920522602</v>
      </c>
      <c r="G59">
        <v>3.4835499379430002</v>
      </c>
      <c r="H59">
        <v>2.7845396393814799</v>
      </c>
      <c r="I59">
        <v>2.0038582982583799</v>
      </c>
      <c r="J59">
        <v>0.113587248258867</v>
      </c>
      <c r="K59">
        <v>-2.5765002342699601</v>
      </c>
      <c r="L59">
        <v>2.6951925838264001</v>
      </c>
      <c r="M59">
        <v>1.5644068543830101</v>
      </c>
      <c r="N59">
        <v>2.2891133876789702</v>
      </c>
      <c r="O59">
        <v>2.11783009919849</v>
      </c>
      <c r="P59">
        <v>2.5238198144198201</v>
      </c>
      <c r="Q59">
        <v>2.9455504545523299</v>
      </c>
      <c r="R59">
        <v>1.81945147474293</v>
      </c>
      <c r="S59">
        <v>2.4576223032221098</v>
      </c>
      <c r="T59">
        <v>2.9665050691663302</v>
      </c>
      <c r="U59">
        <v>2.5838253301885499</v>
      </c>
      <c r="V59">
        <v>-2.1630291386651401</v>
      </c>
      <c r="W59">
        <v>6.0550529330457596</v>
      </c>
      <c r="X59">
        <v>2.51237531983308</v>
      </c>
      <c r="Y59">
        <v>2.8875560090601602</v>
      </c>
      <c r="Z59">
        <v>52.441256470263802</v>
      </c>
    </row>
    <row r="60" spans="1:26" x14ac:dyDescent="0.25">
      <c r="A60" t="s">
        <v>9</v>
      </c>
      <c r="B60">
        <v>-1.92993063549235</v>
      </c>
      <c r="C60">
        <v>-3.8441299594037401</v>
      </c>
      <c r="D60">
        <v>-7.73200721540044</v>
      </c>
      <c r="E60">
        <v>0.80528391589382398</v>
      </c>
      <c r="F60">
        <v>5.0041603556445704</v>
      </c>
      <c r="G60">
        <v>7.4601321302472998</v>
      </c>
      <c r="H60">
        <v>4.0985773544540098</v>
      </c>
      <c r="I60">
        <v>6.5415108450481698</v>
      </c>
      <c r="J60">
        <v>7.17614466455107</v>
      </c>
      <c r="K60">
        <v>4.2434941946242599</v>
      </c>
      <c r="L60">
        <v>7.8034096507169002</v>
      </c>
      <c r="M60">
        <v>5.1621330246360602</v>
      </c>
      <c r="N60">
        <v>3.5381787205686899</v>
      </c>
      <c r="O60">
        <v>4.63753862902416</v>
      </c>
      <c r="P60">
        <v>3.2387912295236401</v>
      </c>
      <c r="Q60">
        <v>0.37074125768134503</v>
      </c>
      <c r="R60">
        <v>1.6897981652001</v>
      </c>
      <c r="S60">
        <v>1.7403764867563201</v>
      </c>
      <c r="T60">
        <v>0.16477765998081401</v>
      </c>
      <c r="U60">
        <v>0.92835103336375402</v>
      </c>
      <c r="V60">
        <v>-7.3801418447932301</v>
      </c>
      <c r="W60">
        <v>5.56189279343275</v>
      </c>
      <c r="X60">
        <v>4.7072576146523204</v>
      </c>
      <c r="Y60">
        <v>0.36747517561749998</v>
      </c>
      <c r="Z60">
        <v>54.353815246527802</v>
      </c>
    </row>
    <row r="61" spans="1:26" x14ac:dyDescent="0.25">
      <c r="A61" t="s">
        <v>16</v>
      </c>
      <c r="B61">
        <v>3.6869441668768301</v>
      </c>
      <c r="C61">
        <v>3.3942361077907002</v>
      </c>
      <c r="D61">
        <v>-8.8556473528677895</v>
      </c>
      <c r="E61">
        <v>-7.75530004959883</v>
      </c>
      <c r="F61">
        <v>18.2866066891245</v>
      </c>
      <c r="G61">
        <v>10.3179138043148</v>
      </c>
      <c r="H61">
        <v>9.8721491085103708</v>
      </c>
      <c r="I61">
        <v>8.7535788078584993</v>
      </c>
      <c r="J61">
        <v>5.2778541239878196</v>
      </c>
      <c r="K61">
        <v>-3.2023026574900202</v>
      </c>
      <c r="L61">
        <v>-1.48879125078348</v>
      </c>
      <c r="M61">
        <v>4.1764253592392704</v>
      </c>
      <c r="N61">
        <v>5.6259569750864102</v>
      </c>
      <c r="O61">
        <v>1.3430940360747601</v>
      </c>
      <c r="P61">
        <v>-3.8943864745066201</v>
      </c>
      <c r="Z61">
        <v>45.53833139361722</v>
      </c>
    </row>
    <row r="62" spans="1:26" x14ac:dyDescent="0.25">
      <c r="A62" t="s">
        <v>17</v>
      </c>
      <c r="B62">
        <v>6.7873164046315102</v>
      </c>
      <c r="C62">
        <v>6.1928933123337702</v>
      </c>
      <c r="D62">
        <v>6.32082099160833</v>
      </c>
      <c r="E62">
        <v>6.8990634905525798</v>
      </c>
      <c r="F62">
        <v>7.5364106089038598</v>
      </c>
      <c r="G62">
        <v>7.5472477289591797</v>
      </c>
      <c r="H62">
        <v>6.9779548105671099</v>
      </c>
      <c r="I62">
        <v>7.1295044860543904</v>
      </c>
      <c r="J62">
        <v>5.6617712089136196</v>
      </c>
      <c r="K62">
        <v>5.3978975401418099</v>
      </c>
      <c r="L62">
        <v>6.4232448223948202</v>
      </c>
      <c r="M62">
        <v>6.4131688968168303</v>
      </c>
      <c r="N62">
        <v>5.5045447041189002</v>
      </c>
      <c r="O62">
        <v>5.55351081026072</v>
      </c>
      <c r="P62">
        <v>6.4222431211856703</v>
      </c>
      <c r="Q62">
        <v>6.9871543059861096</v>
      </c>
      <c r="R62">
        <v>6.6900089266042402</v>
      </c>
      <c r="S62">
        <v>6.9401903735920598</v>
      </c>
      <c r="T62">
        <v>7.46500685572751</v>
      </c>
      <c r="U62">
        <v>7.35926270105006</v>
      </c>
      <c r="V62">
        <v>2.8654132091227198</v>
      </c>
      <c r="W62">
        <v>2.5537285264813101</v>
      </c>
      <c r="X62">
        <v>8.1235144676734308</v>
      </c>
      <c r="Y62">
        <v>5.0464307361882002</v>
      </c>
      <c r="Z62">
        <v>150.79830303986873</v>
      </c>
    </row>
    <row r="63" spans="1:26" x14ac:dyDescent="0.25">
      <c r="A63" t="s">
        <v>72</v>
      </c>
      <c r="B63">
        <v>276.37429938849289</v>
      </c>
      <c r="C63">
        <v>139.03370489150063</v>
      </c>
      <c r="D63">
        <v>149.86866891607892</v>
      </c>
      <c r="E63">
        <v>194.20808767238867</v>
      </c>
      <c r="F63">
        <v>320.04115938923132</v>
      </c>
      <c r="G63">
        <v>282.78978054024816</v>
      </c>
      <c r="H63">
        <v>326.55812262612409</v>
      </c>
      <c r="I63">
        <v>315.45824396788305</v>
      </c>
      <c r="J63">
        <v>145.1518423210818</v>
      </c>
      <c r="K63">
        <v>-147.74251665814566</v>
      </c>
      <c r="L63">
        <v>214.38394357043484</v>
      </c>
      <c r="M63">
        <v>185.96758214112381</v>
      </c>
      <c r="N63">
        <v>118.33045161335198</v>
      </c>
      <c r="O63">
        <v>131.00873953217814</v>
      </c>
      <c r="P63">
        <v>153.66356991016525</v>
      </c>
      <c r="Q63">
        <v>176.5746456210168</v>
      </c>
      <c r="R63">
        <v>151.64354458484303</v>
      </c>
      <c r="S63">
        <v>202.31591004159745</v>
      </c>
      <c r="T63">
        <v>175.2893930944339</v>
      </c>
      <c r="U63">
        <v>133.50946521923447</v>
      </c>
      <c r="V63">
        <v>-250.95628610859518</v>
      </c>
      <c r="W63">
        <v>377.45976949788474</v>
      </c>
      <c r="X63">
        <v>219.43277272560803</v>
      </c>
      <c r="Y63">
        <v>91.15584674219896</v>
      </c>
      <c r="Z63">
        <v>4081.5207412403602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A56CD-8A05-4707-B99C-9C885F8987F4}">
  <sheetPr>
    <tabColor rgb="FFFFC000"/>
  </sheetPr>
  <dimension ref="A1:Z63"/>
  <sheetViews>
    <sheetView tabSelected="1" workbookViewId="0">
      <selection activeCell="B5" sqref="B5"/>
    </sheetView>
  </sheetViews>
  <sheetFormatPr baseColWidth="10" defaultRowHeight="15" x14ac:dyDescent="0.25"/>
  <sheetData>
    <row r="1" spans="1:26" x14ac:dyDescent="0.25">
      <c r="A1" t="s">
        <v>8</v>
      </c>
      <c r="B1" t="s">
        <v>3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-1.90684139222867</v>
      </c>
      <c r="C5">
        <v>-5.45263903304014</v>
      </c>
      <c r="D5">
        <v>-11.8423138177008</v>
      </c>
      <c r="E5">
        <v>7.71839038006088</v>
      </c>
      <c r="F5">
        <v>7.92951713016532</v>
      </c>
      <c r="G5">
        <v>7.7389810756944399</v>
      </c>
      <c r="H5">
        <v>6.9418516008902502</v>
      </c>
      <c r="I5">
        <v>7.9326101126916297</v>
      </c>
      <c r="J5">
        <v>3.0085689261051698</v>
      </c>
      <c r="K5">
        <v>-6.9103121153056</v>
      </c>
      <c r="L5">
        <v>8.9681967289928206</v>
      </c>
      <c r="M5">
        <v>4.8812725280414897</v>
      </c>
      <c r="N5">
        <v>-2.0383253093713001</v>
      </c>
      <c r="O5">
        <v>1.39351266056681</v>
      </c>
      <c r="P5">
        <v>-3.5132642104200298</v>
      </c>
      <c r="Q5">
        <v>1.66091253843923</v>
      </c>
      <c r="R5">
        <v>-3.0245009557876199</v>
      </c>
      <c r="S5">
        <v>1.9163960814885299</v>
      </c>
      <c r="T5">
        <v>-3.4155368386781602</v>
      </c>
      <c r="U5">
        <v>-2.6950672353357401</v>
      </c>
      <c r="V5">
        <v>-10.336109687851801</v>
      </c>
      <c r="W5">
        <v>10.148559987734901</v>
      </c>
      <c r="X5">
        <v>5.0481953233793604</v>
      </c>
      <c r="Y5">
        <v>-1.89294979737558</v>
      </c>
      <c r="Z5">
        <v>22.259104681155389</v>
      </c>
    </row>
    <row r="6" spans="1:26" x14ac:dyDescent="0.25">
      <c r="A6" t="s">
        <v>69</v>
      </c>
      <c r="B6">
        <v>2.7389295661837298</v>
      </c>
      <c r="C6">
        <v>0.72350965371543896</v>
      </c>
      <c r="D6">
        <v>2.80347962904044</v>
      </c>
      <c r="E6">
        <v>1.91181254513451</v>
      </c>
      <c r="F6">
        <v>3.1158569222052002</v>
      </c>
      <c r="G6">
        <v>1.9060931706483299</v>
      </c>
      <c r="H6">
        <v>1.37802725495408</v>
      </c>
      <c r="I6">
        <v>1.8966387070186801</v>
      </c>
      <c r="J6">
        <v>1.5311500670106599</v>
      </c>
      <c r="K6">
        <v>-0.185790579384147</v>
      </c>
      <c r="L6">
        <v>0.64204348647550102</v>
      </c>
      <c r="M6">
        <v>0.99394650695295195</v>
      </c>
      <c r="N6">
        <v>2.1182552921548101</v>
      </c>
      <c r="O6">
        <v>0.85136469335851905</v>
      </c>
      <c r="P6">
        <v>1.0763632562269301</v>
      </c>
      <c r="Q6">
        <v>0.72996431462695499</v>
      </c>
      <c r="R6">
        <v>1.16681538734224</v>
      </c>
      <c r="S6">
        <v>0.60901655361776397</v>
      </c>
      <c r="T6">
        <v>1.35086613147908</v>
      </c>
      <c r="U6">
        <v>0.67306716556080903</v>
      </c>
      <c r="V6">
        <v>-1.3439774329237499</v>
      </c>
      <c r="W6">
        <v>1.9673998372985699</v>
      </c>
      <c r="X6">
        <v>2.9241006413769099</v>
      </c>
      <c r="Y6">
        <v>0.94101456846817699</v>
      </c>
      <c r="Z6">
        <v>32.519947338542387</v>
      </c>
    </row>
    <row r="7" spans="1:26" x14ac:dyDescent="0.25">
      <c r="A7" t="s">
        <v>70</v>
      </c>
      <c r="B7">
        <v>2.9416843913788702</v>
      </c>
      <c r="C7">
        <v>0.92988817372668098</v>
      </c>
      <c r="D7">
        <v>0.98631188448996499</v>
      </c>
      <c r="E7">
        <v>0.65006826538984797</v>
      </c>
      <c r="F7">
        <v>1.9308966422148599</v>
      </c>
      <c r="G7">
        <v>1.6256592191996999</v>
      </c>
      <c r="H7">
        <v>2.7596237911273098</v>
      </c>
      <c r="I7">
        <v>3.43938542075009</v>
      </c>
      <c r="J7">
        <v>1.1362112883682001</v>
      </c>
      <c r="K7">
        <v>-3.83849312989503</v>
      </c>
      <c r="L7">
        <v>1.56453361740579</v>
      </c>
      <c r="M7">
        <v>2.5811032250510202</v>
      </c>
      <c r="N7">
        <v>0.170488634419172</v>
      </c>
      <c r="O7">
        <v>-0.83690691723443</v>
      </c>
      <c r="P7">
        <v>-2.85803217634992E-2</v>
      </c>
      <c r="Q7">
        <v>0.17425950500367501</v>
      </c>
      <c r="R7">
        <v>1.0188772576679801</v>
      </c>
      <c r="S7">
        <v>1.5643070952434901</v>
      </c>
      <c r="T7">
        <v>1.9862626914322701</v>
      </c>
      <c r="U7">
        <v>1.3035034338684</v>
      </c>
      <c r="V7">
        <v>-6.7063938045361597</v>
      </c>
      <c r="W7">
        <v>4.3397586467307301</v>
      </c>
      <c r="X7">
        <v>4.2759330086815099</v>
      </c>
      <c r="Y7">
        <v>-1.93014550333265</v>
      </c>
      <c r="Z7">
        <v>22.038236515387791</v>
      </c>
    </row>
    <row r="8" spans="1:26" x14ac:dyDescent="0.25">
      <c r="A8" t="s">
        <v>67</v>
      </c>
      <c r="B8">
        <v>3.4654782846127699</v>
      </c>
      <c r="C8">
        <v>0.75246766251338204</v>
      </c>
      <c r="D8">
        <v>1.2519940858062999</v>
      </c>
      <c r="E8">
        <v>0.61585263018706404</v>
      </c>
      <c r="F8">
        <v>3.1239313721973301</v>
      </c>
      <c r="G8">
        <v>1.7604564995883201</v>
      </c>
      <c r="H8">
        <v>1.87817399570736</v>
      </c>
      <c r="I8">
        <v>2.9183817320402201</v>
      </c>
      <c r="J8">
        <v>-0.34347631847788301</v>
      </c>
      <c r="K8">
        <v>-2.6925345571239601</v>
      </c>
      <c r="L8">
        <v>1.77618332811934</v>
      </c>
      <c r="M8">
        <v>0.613616882922983</v>
      </c>
      <c r="N8">
        <v>-0.40377505532789798</v>
      </c>
      <c r="O8">
        <v>-0.16617313090489499</v>
      </c>
      <c r="P8">
        <v>1.3147746235939299</v>
      </c>
      <c r="Q8">
        <v>0.88787640632648401</v>
      </c>
      <c r="R8">
        <v>0.68245474304338005</v>
      </c>
      <c r="S8">
        <v>1.08431155343098</v>
      </c>
      <c r="T8">
        <v>1.4152894724870699</v>
      </c>
      <c r="U8">
        <v>1.8907193419955599</v>
      </c>
      <c r="V8">
        <v>-5.2024400989905404</v>
      </c>
      <c r="W8">
        <v>5.7663205718208301</v>
      </c>
      <c r="X8">
        <v>3.3944481087548701</v>
      </c>
      <c r="Y8">
        <v>0.33076154468302799</v>
      </c>
      <c r="Z8">
        <v>26.115093679006026</v>
      </c>
    </row>
    <row r="9" spans="1:26" x14ac:dyDescent="0.25">
      <c r="A9" t="s">
        <v>62</v>
      </c>
      <c r="B9">
        <v>2.96222045087984</v>
      </c>
      <c r="C9">
        <v>7.7000517417971495E-2</v>
      </c>
      <c r="D9">
        <v>1.7820430836673899</v>
      </c>
      <c r="E9">
        <v>-4.58328311687239E-2</v>
      </c>
      <c r="F9">
        <v>4.57169367299971</v>
      </c>
      <c r="G9">
        <v>2.0773083383625699</v>
      </c>
      <c r="H9">
        <v>2.8675208397539498</v>
      </c>
      <c r="I9">
        <v>5.00147015838483</v>
      </c>
      <c r="J9">
        <v>4.09221626720056</v>
      </c>
      <c r="K9">
        <v>-1.0163236214624001</v>
      </c>
      <c r="L9">
        <v>6.62782994932327</v>
      </c>
      <c r="M9">
        <v>3.1316985440910501</v>
      </c>
      <c r="N9">
        <v>1.0973329382119601</v>
      </c>
      <c r="O9">
        <v>2.1733308053231601</v>
      </c>
      <c r="P9">
        <v>-0.30316357249998299</v>
      </c>
      <c r="Q9">
        <v>-4.3063975591207697</v>
      </c>
      <c r="R9">
        <v>-4.01012719354725</v>
      </c>
      <c r="S9">
        <v>0.58766892873633503</v>
      </c>
      <c r="T9">
        <v>1.0904086044715799</v>
      </c>
      <c r="U9">
        <v>0.56297083757854705</v>
      </c>
      <c r="V9">
        <v>-3.83550546659214</v>
      </c>
      <c r="W9">
        <v>4.3179316171849003</v>
      </c>
      <c r="X9">
        <v>2.6463153241150499</v>
      </c>
      <c r="Y9">
        <v>2.5018418130528599</v>
      </c>
      <c r="Z9">
        <v>34.651452446364281</v>
      </c>
    </row>
    <row r="10" spans="1:26" x14ac:dyDescent="0.25">
      <c r="A10" t="s">
        <v>66</v>
      </c>
      <c r="B10">
        <v>5.1050557894030399</v>
      </c>
      <c r="C10">
        <v>5.9111603231127701</v>
      </c>
      <c r="D10">
        <v>8.1952164454004492</v>
      </c>
      <c r="E10">
        <v>6.0740617361891198</v>
      </c>
      <c r="F10">
        <v>7.3174043120265804</v>
      </c>
      <c r="G10">
        <v>7.8655019209760901</v>
      </c>
      <c r="H10">
        <v>7.6168492319128402</v>
      </c>
      <c r="I10">
        <v>7.4414886273608696</v>
      </c>
      <c r="J10">
        <v>6.8771269168737197</v>
      </c>
      <c r="K10">
        <v>-2.72241467470245</v>
      </c>
      <c r="L10">
        <v>2.22607879962553</v>
      </c>
      <c r="M10">
        <v>2.7469103363085901</v>
      </c>
      <c r="N10">
        <v>1.3340660947645799</v>
      </c>
      <c r="O10">
        <v>1.5418555169645701E-2</v>
      </c>
      <c r="P10">
        <v>1.5248685776809801</v>
      </c>
      <c r="Q10">
        <v>4.05941078673753</v>
      </c>
      <c r="R10">
        <v>3.7517793275212599</v>
      </c>
      <c r="S10">
        <v>3.49917473093906</v>
      </c>
      <c r="T10">
        <v>3.2926338464904701</v>
      </c>
      <c r="U10">
        <v>4.5220032624459296</v>
      </c>
      <c r="V10">
        <v>-2.6330510939877501</v>
      </c>
      <c r="W10">
        <v>8.6624492700558999</v>
      </c>
      <c r="X10">
        <v>7.7099316923502101</v>
      </c>
      <c r="Y10">
        <v>4.9960509862820102</v>
      </c>
      <c r="Z10">
        <v>105.389175800937</v>
      </c>
    </row>
    <row r="11" spans="1:26" x14ac:dyDescent="0.25">
      <c r="A11" t="s">
        <v>64</v>
      </c>
      <c r="B11">
        <v>4.1639485002857102</v>
      </c>
      <c r="C11">
        <v>0.77451943240160404</v>
      </c>
      <c r="D11">
        <v>1.88796484588035</v>
      </c>
      <c r="E11">
        <v>0.89501859271479101</v>
      </c>
      <c r="F11">
        <v>2.1358155936460901</v>
      </c>
      <c r="G11">
        <v>2.2375765823735798</v>
      </c>
      <c r="H11">
        <v>1.602901526748</v>
      </c>
      <c r="I11">
        <v>1.0641448518324099</v>
      </c>
      <c r="J11">
        <v>-9.3342783733561405E-2</v>
      </c>
      <c r="K11">
        <v>-4.0200881211473796</v>
      </c>
      <c r="L11">
        <v>1.95144747592553</v>
      </c>
      <c r="M11">
        <v>2.1360771396745801</v>
      </c>
      <c r="N11">
        <v>0.65884199036912605</v>
      </c>
      <c r="O11">
        <v>1.2535901290465099</v>
      </c>
      <c r="P11">
        <v>1.8484095174269</v>
      </c>
      <c r="Q11">
        <v>-0.11236917294915801</v>
      </c>
      <c r="R11">
        <v>-9.8296352515987506E-2</v>
      </c>
      <c r="S11">
        <v>1.80946446279282</v>
      </c>
      <c r="T11">
        <v>1.28092657904244</v>
      </c>
      <c r="U11">
        <v>0.42965758108581997</v>
      </c>
      <c r="V11">
        <v>-6.0624064295901503</v>
      </c>
      <c r="W11">
        <v>4.7053820518735101</v>
      </c>
      <c r="X11">
        <v>1.9556706589564099</v>
      </c>
      <c r="Y11">
        <v>-1.67686294923784</v>
      </c>
      <c r="Z11">
        <v>20.727991702902106</v>
      </c>
    </row>
    <row r="12" spans="1:26" x14ac:dyDescent="0.25">
      <c r="A12" t="s">
        <v>63</v>
      </c>
      <c r="B12">
        <v>3.7236187319852401</v>
      </c>
      <c r="C12">
        <v>1.96875181881356</v>
      </c>
      <c r="D12">
        <v>2.0699188630808201</v>
      </c>
      <c r="E12">
        <v>3.6330153001866301</v>
      </c>
      <c r="F12">
        <v>5.6029198540999197</v>
      </c>
      <c r="G12">
        <v>4.7918283875157499</v>
      </c>
      <c r="H12">
        <v>5.0195213616456398</v>
      </c>
      <c r="I12">
        <v>4.1438621311997101</v>
      </c>
      <c r="J12">
        <v>2.7575569888748501</v>
      </c>
      <c r="K12">
        <v>-2.1106104232306699</v>
      </c>
      <c r="L12">
        <v>4.7936374752646902</v>
      </c>
      <c r="M12">
        <v>5.1810403351729502</v>
      </c>
      <c r="N12">
        <v>5.141584314897</v>
      </c>
      <c r="O12">
        <v>2.3278925585949999</v>
      </c>
      <c r="P12">
        <v>0.78300208857882603</v>
      </c>
      <c r="Q12">
        <v>1.11370445821213</v>
      </c>
      <c r="R12">
        <v>0.52983351380326804</v>
      </c>
      <c r="S12">
        <v>-0.235110162963863</v>
      </c>
      <c r="T12">
        <v>2.1498819520036099</v>
      </c>
      <c r="U12">
        <v>-0.96209601603085604</v>
      </c>
      <c r="V12">
        <v>-6.9811306198445102</v>
      </c>
      <c r="W12">
        <v>10.8435032426686</v>
      </c>
      <c r="X12">
        <v>1.5539957392916099</v>
      </c>
      <c r="Y12">
        <v>-0.32057208598422399</v>
      </c>
      <c r="Z12">
        <v>57.519549807835688</v>
      </c>
    </row>
    <row r="13" spans="1:26" x14ac:dyDescent="0.25">
      <c r="A13" t="s">
        <v>65</v>
      </c>
      <c r="B13">
        <v>7.6385976762557304</v>
      </c>
      <c r="C13">
        <v>7.5516548315811196</v>
      </c>
      <c r="D13">
        <v>8.4048799748804193</v>
      </c>
      <c r="E13">
        <v>9.3547766438394095</v>
      </c>
      <c r="F13">
        <v>9.4615587700817905</v>
      </c>
      <c r="G13">
        <v>10.741375126566</v>
      </c>
      <c r="H13">
        <v>12.0933046941309</v>
      </c>
      <c r="I13">
        <v>13.635820500755401</v>
      </c>
      <c r="J13">
        <v>9.0902801013736099</v>
      </c>
      <c r="K13">
        <v>8.8559476757714002</v>
      </c>
      <c r="L13">
        <v>10.1028326225249</v>
      </c>
      <c r="M13">
        <v>8.9538160417454797</v>
      </c>
      <c r="N13">
        <v>7.1345237774397097</v>
      </c>
      <c r="O13">
        <v>7.0507341340080201</v>
      </c>
      <c r="P13">
        <v>6.7507603158101404</v>
      </c>
      <c r="Q13">
        <v>6.4207364773118503</v>
      </c>
      <c r="R13">
        <v>6.2382154476778497</v>
      </c>
      <c r="S13">
        <v>6.3018631005663099</v>
      </c>
      <c r="T13">
        <v>6.2517005557174903</v>
      </c>
      <c r="U13">
        <v>5.5753168629431702</v>
      </c>
      <c r="V13">
        <v>1.9955580419210599</v>
      </c>
      <c r="W13">
        <v>8.3517199539417195</v>
      </c>
      <c r="X13">
        <v>2.9641568373321299</v>
      </c>
      <c r="Y13">
        <v>5.3588578633608499</v>
      </c>
      <c r="Z13">
        <v>186.27898802753646</v>
      </c>
    </row>
    <row r="14" spans="1:26" x14ac:dyDescent="0.25">
      <c r="A14" t="s">
        <v>60</v>
      </c>
      <c r="B14">
        <v>1.25270223212341</v>
      </c>
      <c r="C14">
        <v>9.2072577767282796E-2</v>
      </c>
      <c r="D14">
        <v>0.93960860671347701</v>
      </c>
      <c r="E14">
        <v>2.3628293963097899</v>
      </c>
      <c r="F14">
        <v>3.7971586773616499</v>
      </c>
      <c r="G14">
        <v>3.3711107776693598</v>
      </c>
      <c r="H14">
        <v>5.3117439442101597</v>
      </c>
      <c r="I14">
        <v>5.3944678623106599</v>
      </c>
      <c r="J14">
        <v>2.0479905181086102</v>
      </c>
      <c r="K14">
        <v>-3.1705102267707702E-2</v>
      </c>
      <c r="L14">
        <v>3.31434936742798</v>
      </c>
      <c r="M14">
        <v>5.8082350336376196</v>
      </c>
      <c r="N14">
        <v>2.87569627540904</v>
      </c>
      <c r="O14">
        <v>4.1412938784413598</v>
      </c>
      <c r="P14">
        <v>3.5703066542077</v>
      </c>
      <c r="Q14">
        <v>2.0692322711372699</v>
      </c>
      <c r="R14">
        <v>1.0811492571219801</v>
      </c>
      <c r="S14">
        <v>-0.10122155413303301</v>
      </c>
      <c r="T14">
        <v>0.69526494723881205</v>
      </c>
      <c r="U14">
        <v>1.3601406798428901</v>
      </c>
      <c r="V14">
        <v>-8.5094947762105893</v>
      </c>
      <c r="W14">
        <v>9.5929782838861009</v>
      </c>
      <c r="X14">
        <v>6.1488247264271898</v>
      </c>
      <c r="Y14">
        <v>-0.51106413077471302</v>
      </c>
      <c r="Z14">
        <v>56.073670403966304</v>
      </c>
    </row>
    <row r="15" spans="1:26" x14ac:dyDescent="0.25">
      <c r="A15" t="s">
        <v>61</v>
      </c>
      <c r="B15">
        <v>1.8735573897398199</v>
      </c>
      <c r="C15">
        <v>1.6529317670122901</v>
      </c>
      <c r="D15">
        <v>1.7229599185190201</v>
      </c>
      <c r="E15">
        <v>2.72728694399899</v>
      </c>
      <c r="F15">
        <v>2.90067518188641</v>
      </c>
      <c r="G15">
        <v>2.4842789719269098</v>
      </c>
      <c r="H15">
        <v>5.83402547469416</v>
      </c>
      <c r="I15">
        <v>6.7597949809057196</v>
      </c>
      <c r="J15">
        <v>3.3273411486242099</v>
      </c>
      <c r="K15">
        <v>-2.18936686159658</v>
      </c>
      <c r="L15">
        <v>4.0613432589512399</v>
      </c>
      <c r="M15">
        <v>3.18309278796906</v>
      </c>
      <c r="N15">
        <v>3.6659686046916602</v>
      </c>
      <c r="O15">
        <v>1.36003489549176</v>
      </c>
      <c r="P15">
        <v>2.4349949882089099</v>
      </c>
      <c r="Q15">
        <v>2.5566433000795401</v>
      </c>
      <c r="R15">
        <v>3.1560705780561999</v>
      </c>
      <c r="S15">
        <v>3.1787197034341301</v>
      </c>
      <c r="T15">
        <v>1.6919341035898701</v>
      </c>
      <c r="U15">
        <v>1.5625564134702801</v>
      </c>
      <c r="V15">
        <v>-4.9344422719833601</v>
      </c>
      <c r="W15">
        <v>7.3882322640862297</v>
      </c>
      <c r="X15">
        <v>4.10345495842361</v>
      </c>
      <c r="Y15">
        <v>4.6227538695517998</v>
      </c>
      <c r="Z15">
        <v>65.124842369731894</v>
      </c>
    </row>
    <row r="16" spans="1:26" x14ac:dyDescent="0.25">
      <c r="A16" t="s">
        <v>58</v>
      </c>
      <c r="B16">
        <v>3.9657659288178602</v>
      </c>
      <c r="C16">
        <v>7.1559299662680598</v>
      </c>
      <c r="D16">
        <v>5.7410590624040099</v>
      </c>
      <c r="E16">
        <v>5.53832171449646</v>
      </c>
      <c r="F16">
        <v>4.1414209060955303</v>
      </c>
      <c r="G16">
        <v>4.1928597754497199</v>
      </c>
      <c r="H16">
        <v>5.0567503678499204</v>
      </c>
      <c r="I16">
        <v>5.0718446934047599</v>
      </c>
      <c r="J16">
        <v>1.9807041280320901</v>
      </c>
      <c r="K16">
        <v>-6.7160337764316598</v>
      </c>
      <c r="L16">
        <v>-1.11003223418777</v>
      </c>
      <c r="M16">
        <v>0.24777141513345699</v>
      </c>
      <c r="N16">
        <v>-1.78905505710179</v>
      </c>
      <c r="O16">
        <v>0.49838839137872498</v>
      </c>
      <c r="P16">
        <v>0.20788983675291201</v>
      </c>
      <c r="Q16">
        <v>3.5523422427218798</v>
      </c>
      <c r="R16">
        <v>4.5912024333019996</v>
      </c>
      <c r="S16">
        <v>4.9538338101524504</v>
      </c>
      <c r="T16">
        <v>4.2625117035579203</v>
      </c>
      <c r="U16">
        <v>4.1286006266007602</v>
      </c>
      <c r="V16">
        <v>-7.4874746205161697</v>
      </c>
      <c r="W16">
        <v>13.6545080301151</v>
      </c>
      <c r="X16">
        <v>7.9374005383775303</v>
      </c>
      <c r="Y16">
        <v>3.1942825004408202</v>
      </c>
      <c r="Z16">
        <v>72.970792383114571</v>
      </c>
    </row>
    <row r="17" spans="1:26" x14ac:dyDescent="0.25">
      <c r="A17" t="s">
        <v>56</v>
      </c>
      <c r="B17">
        <v>5.5631540785049696</v>
      </c>
      <c r="C17">
        <v>2.8607471965775302</v>
      </c>
      <c r="D17">
        <v>1.1227813269210301</v>
      </c>
      <c r="E17">
        <v>3.49676185017218</v>
      </c>
      <c r="F17">
        <v>5.4941019580038404</v>
      </c>
      <c r="G17">
        <v>10.966685116153201</v>
      </c>
      <c r="H17">
        <v>11.906923750545801</v>
      </c>
      <c r="I17">
        <v>7.1792524255007502</v>
      </c>
      <c r="J17">
        <v>4.0754275447264101</v>
      </c>
      <c r="K17">
        <v>1.42474509664487</v>
      </c>
      <c r="L17">
        <v>2.36597236588088</v>
      </c>
      <c r="M17">
        <v>2.7644421019621599</v>
      </c>
      <c r="N17">
        <v>3.0002817503856498</v>
      </c>
      <c r="O17">
        <v>2.7931462329421399</v>
      </c>
      <c r="P17">
        <v>1.15852883229009</v>
      </c>
      <c r="Q17">
        <v>4.53753785531039</v>
      </c>
      <c r="R17">
        <v>0.59718364513415201</v>
      </c>
      <c r="S17">
        <v>1.97075470346573</v>
      </c>
      <c r="T17">
        <v>2.436568386332</v>
      </c>
      <c r="U17">
        <v>5.3218663924866398E-2</v>
      </c>
      <c r="V17">
        <v>-10.7380017373744</v>
      </c>
      <c r="W17">
        <v>1.7469904721290701</v>
      </c>
      <c r="X17">
        <v>2.3485937660841598</v>
      </c>
      <c r="Y17">
        <v>-1.57400309872948</v>
      </c>
      <c r="Z17">
        <v>67.551794283487979</v>
      </c>
    </row>
    <row r="18" spans="1:26" x14ac:dyDescent="0.25">
      <c r="A18" t="s">
        <v>55</v>
      </c>
      <c r="B18">
        <v>4.3027395214150896</v>
      </c>
      <c r="C18">
        <v>3.3046271463705401</v>
      </c>
      <c r="D18">
        <v>1.7094695806992599</v>
      </c>
      <c r="E18">
        <v>3.33040637169763</v>
      </c>
      <c r="F18">
        <v>4.7044682085933403</v>
      </c>
      <c r="G18">
        <v>6.2279862796133596</v>
      </c>
      <c r="H18">
        <v>6.3348326750270196</v>
      </c>
      <c r="I18">
        <v>4.8750467118827299</v>
      </c>
      <c r="J18">
        <v>1.7647087097952401</v>
      </c>
      <c r="K18">
        <v>-5.33917400043343</v>
      </c>
      <c r="L18">
        <v>2.41582950473446</v>
      </c>
      <c r="M18">
        <v>1.5621861746910799</v>
      </c>
      <c r="N18">
        <v>-0.909418373536937</v>
      </c>
      <c r="O18">
        <v>-7.4962986387959105E-2</v>
      </c>
      <c r="P18">
        <v>2.1376275406407901</v>
      </c>
      <c r="Q18">
        <v>4.75262406551973</v>
      </c>
      <c r="R18">
        <v>2.3840542620700198</v>
      </c>
      <c r="S18">
        <v>4.8945501835221101</v>
      </c>
      <c r="T18">
        <v>2.4869877120805199</v>
      </c>
      <c r="U18">
        <v>3.1587480193220001</v>
      </c>
      <c r="V18">
        <v>-5.5349196890977197</v>
      </c>
      <c r="W18">
        <v>5.9310696748996898</v>
      </c>
      <c r="X18">
        <v>1.24409473071174</v>
      </c>
      <c r="Y18">
        <v>-1.85042130485776</v>
      </c>
      <c r="Z18">
        <v>53.813160718972533</v>
      </c>
    </row>
    <row r="19" spans="1:26" x14ac:dyDescent="0.25">
      <c r="A19" t="s">
        <v>51</v>
      </c>
      <c r="B19">
        <v>3.3779071833061098</v>
      </c>
      <c r="C19">
        <v>0.58895976282728701</v>
      </c>
      <c r="D19">
        <v>0.13609645541916399</v>
      </c>
      <c r="E19">
        <v>0.168251980586234</v>
      </c>
      <c r="F19">
        <v>2.5110874872007001</v>
      </c>
      <c r="G19">
        <v>2.0780148560829899</v>
      </c>
      <c r="H19">
        <v>3.4758598712740501</v>
      </c>
      <c r="I19">
        <v>0.54032150488632202</v>
      </c>
      <c r="J19">
        <v>-1.0005593992968</v>
      </c>
      <c r="K19">
        <v>-5.4815828279347603</v>
      </c>
      <c r="L19">
        <v>1.13266937223986</v>
      </c>
      <c r="M19">
        <v>0.89452642265312898</v>
      </c>
      <c r="N19">
        <v>-0.38097714245792202</v>
      </c>
      <c r="O19">
        <v>0.97084594808305302</v>
      </c>
      <c r="P19">
        <v>0.76576611719502796</v>
      </c>
      <c r="Q19">
        <v>1.38566634440187</v>
      </c>
      <c r="R19">
        <v>2.2718015007383801</v>
      </c>
      <c r="S19">
        <v>2.3955906556541602</v>
      </c>
      <c r="T19">
        <v>1.35619600076421</v>
      </c>
      <c r="U19">
        <v>1.34779245796869</v>
      </c>
      <c r="V19">
        <v>-2.0661383468241299</v>
      </c>
      <c r="W19">
        <v>6.9176639758825198</v>
      </c>
      <c r="X19">
        <v>0.74368205078836502</v>
      </c>
      <c r="Y19">
        <v>1.7383132452724499</v>
      </c>
      <c r="Z19">
        <v>25.867755476710961</v>
      </c>
    </row>
    <row r="20" spans="1:26" x14ac:dyDescent="0.25">
      <c r="A20" t="s">
        <v>49</v>
      </c>
      <c r="B20">
        <v>-0.64822538755159098</v>
      </c>
      <c r="C20">
        <v>2.4182076388856499</v>
      </c>
      <c r="D20">
        <v>3.1093539374666799</v>
      </c>
      <c r="E20">
        <v>1.0854169266787199</v>
      </c>
      <c r="F20">
        <v>4.9766254911447003</v>
      </c>
      <c r="G20">
        <v>3.5910337468279501</v>
      </c>
      <c r="H20">
        <v>2.5636011108780501</v>
      </c>
      <c r="I20">
        <v>0.176823126136227</v>
      </c>
      <c r="J20">
        <v>4.7631832628408803</v>
      </c>
      <c r="K20">
        <v>-0.61874369636460402</v>
      </c>
      <c r="L20">
        <v>2.2990259381485001</v>
      </c>
      <c r="M20">
        <v>6.7152493105412097</v>
      </c>
      <c r="N20">
        <v>4.1123379951066603</v>
      </c>
      <c r="O20">
        <v>5.61780573490684</v>
      </c>
      <c r="P20">
        <v>2.74412306472649</v>
      </c>
      <c r="Q20">
        <v>-1.3027498504263499</v>
      </c>
      <c r="R20">
        <v>-2.1255088220193801</v>
      </c>
      <c r="S20">
        <v>4.3619546740590502</v>
      </c>
      <c r="T20">
        <v>-0.67455803603823505</v>
      </c>
      <c r="U20">
        <v>-1.5125324644171101</v>
      </c>
      <c r="V20">
        <v>-10.3108341005083</v>
      </c>
      <c r="W20">
        <v>8.9713620072688194</v>
      </c>
      <c r="X20">
        <v>5.34349023609313</v>
      </c>
      <c r="Y20">
        <v>1.4660978703182199</v>
      </c>
      <c r="Z20">
        <v>47.122539714702199</v>
      </c>
    </row>
    <row r="21" spans="1:26" x14ac:dyDescent="0.25">
      <c r="A21" t="s">
        <v>57</v>
      </c>
      <c r="B21">
        <v>9.5564190153903894</v>
      </c>
      <c r="C21">
        <v>6.5573235096527798</v>
      </c>
      <c r="D21">
        <v>7.6124997113748396</v>
      </c>
      <c r="E21">
        <v>8.2737235844881205</v>
      </c>
      <c r="F21">
        <v>7.4410839017277803</v>
      </c>
      <c r="G21">
        <v>10.1516065197979</v>
      </c>
      <c r="H21">
        <v>10.4117034108914</v>
      </c>
      <c r="I21">
        <v>8.0627653312747007</v>
      </c>
      <c r="J21">
        <v>-4.8705803215902099</v>
      </c>
      <c r="K21">
        <v>-14.465495908080801</v>
      </c>
      <c r="L21">
        <v>2.6836573505055301</v>
      </c>
      <c r="M21">
        <v>7.9341493022210301</v>
      </c>
      <c r="N21">
        <v>4.0437743031622899</v>
      </c>
      <c r="O21">
        <v>2.1192828186700901</v>
      </c>
      <c r="P21">
        <v>3.5941135556931698</v>
      </c>
      <c r="Q21">
        <v>1.7714214362214</v>
      </c>
      <c r="R21">
        <v>3.0630075313658001</v>
      </c>
      <c r="S21">
        <v>5.5068591439786196</v>
      </c>
      <c r="T21">
        <v>3.3394062530281201</v>
      </c>
      <c r="U21">
        <v>3.3419673503881002</v>
      </c>
      <c r="V21">
        <v>-3.0754825992484198</v>
      </c>
      <c r="W21">
        <v>7.0409272051092602</v>
      </c>
      <c r="X21">
        <v>-1.2680337655006899</v>
      </c>
      <c r="Y21">
        <v>-4.5407978066756796</v>
      </c>
      <c r="Z21">
        <v>84.285300833845511</v>
      </c>
    </row>
    <row r="22" spans="1:26" x14ac:dyDescent="0.25">
      <c r="A22" t="s">
        <v>53</v>
      </c>
      <c r="B22">
        <v>5.5344139586926202</v>
      </c>
      <c r="C22">
        <v>2.4068291234746799</v>
      </c>
      <c r="D22">
        <v>1.4411539532779301</v>
      </c>
      <c r="E22">
        <v>1.76883494255338</v>
      </c>
      <c r="F22">
        <v>3.7038374684509101</v>
      </c>
      <c r="G22">
        <v>2.42615662485386</v>
      </c>
      <c r="H22">
        <v>3.6211349352773499</v>
      </c>
      <c r="I22">
        <v>4.8657213874429202</v>
      </c>
      <c r="J22">
        <v>0.31632050933755801</v>
      </c>
      <c r="K22">
        <v>-8.5146043988931002</v>
      </c>
      <c r="L22">
        <v>2.69737646257957</v>
      </c>
      <c r="M22">
        <v>1.91685355447029</v>
      </c>
      <c r="N22">
        <v>-1.9902909838456</v>
      </c>
      <c r="O22">
        <v>-1.4349015794664699</v>
      </c>
      <c r="P22">
        <v>-0.88880152581160099</v>
      </c>
      <c r="Q22">
        <v>0.13612744613141101</v>
      </c>
      <c r="R22">
        <v>2.27754381365189</v>
      </c>
      <c r="S22">
        <v>3.0612318178970401</v>
      </c>
      <c r="T22">
        <v>1.05884328934074</v>
      </c>
      <c r="U22">
        <v>1.23812095605712</v>
      </c>
      <c r="V22">
        <v>-2.6309987067821901</v>
      </c>
      <c r="W22">
        <v>2.5219767080553201</v>
      </c>
      <c r="X22">
        <v>1.1745350109886099</v>
      </c>
      <c r="Y22">
        <v>-1.65611536097759</v>
      </c>
      <c r="Z22">
        <v>25.051299406756645</v>
      </c>
    </row>
    <row r="23" spans="1:26" x14ac:dyDescent="0.25">
      <c r="A23" t="s">
        <v>50</v>
      </c>
      <c r="B23">
        <v>3.4286903287707302</v>
      </c>
      <c r="C23">
        <v>1.15932711996875</v>
      </c>
      <c r="D23">
        <v>0.33561899376093202</v>
      </c>
      <c r="E23">
        <v>0.25786680049377297</v>
      </c>
      <c r="F23">
        <v>2.1173654806107902</v>
      </c>
      <c r="G23">
        <v>1.1253536749192401</v>
      </c>
      <c r="H23">
        <v>2.0013113326459102</v>
      </c>
      <c r="I23">
        <v>1.8985674319188801</v>
      </c>
      <c r="J23">
        <v>-0.178410671464903</v>
      </c>
      <c r="K23">
        <v>-3.32212441195946</v>
      </c>
      <c r="L23">
        <v>1.4987246285475599</v>
      </c>
      <c r="M23">
        <v>1.94433508557432</v>
      </c>
      <c r="N23">
        <v>-0.29959872325491699</v>
      </c>
      <c r="O23">
        <v>0.262144549420668</v>
      </c>
      <c r="P23">
        <v>0.51938375543920801</v>
      </c>
      <c r="Q23">
        <v>0.708030577451083</v>
      </c>
      <c r="R23">
        <v>0.59424375896395498</v>
      </c>
      <c r="S23">
        <v>1.7877954845162001</v>
      </c>
      <c r="T23">
        <v>1.2821660423702601</v>
      </c>
      <c r="U23">
        <v>1.6887084533255601</v>
      </c>
      <c r="V23">
        <v>-7.7405675434087602</v>
      </c>
      <c r="W23">
        <v>6.5015522297581603</v>
      </c>
      <c r="X23">
        <v>2.2359892878678398</v>
      </c>
      <c r="Y23">
        <v>0.60764918639702603</v>
      </c>
      <c r="Z23">
        <v>20.414122852632801</v>
      </c>
    </row>
    <row r="24" spans="1:26" x14ac:dyDescent="0.25">
      <c r="A24" t="s">
        <v>54</v>
      </c>
      <c r="B24">
        <v>2.73801195248046</v>
      </c>
      <c r="C24">
        <v>1.46570630846026</v>
      </c>
      <c r="D24">
        <v>-0.39591378053634702</v>
      </c>
      <c r="E24">
        <v>-0.58498366957120096</v>
      </c>
      <c r="F24">
        <v>1.1843327261863399</v>
      </c>
      <c r="G24">
        <v>0.94299464629317198</v>
      </c>
      <c r="H24">
        <v>3.97294891786022</v>
      </c>
      <c r="I24">
        <v>3.0277824004548699</v>
      </c>
      <c r="J24">
        <v>1.1024596403056699</v>
      </c>
      <c r="K24">
        <v>-5.3055281833869303</v>
      </c>
      <c r="L24">
        <v>4.3064410531771404</v>
      </c>
      <c r="M24">
        <v>5.6992831363900498</v>
      </c>
      <c r="N24">
        <v>0.285850062294074</v>
      </c>
      <c r="O24">
        <v>0.11264382474991</v>
      </c>
      <c r="P24">
        <v>1.7444639725766</v>
      </c>
      <c r="Q24">
        <v>0.77650765699463897</v>
      </c>
      <c r="R24">
        <v>1.4722926294875001</v>
      </c>
      <c r="S24">
        <v>2.33286593357245</v>
      </c>
      <c r="T24">
        <v>0.81301736367646504</v>
      </c>
      <c r="U24">
        <v>0.76040219441613</v>
      </c>
      <c r="V24">
        <v>-4.1734532084818703</v>
      </c>
      <c r="W24">
        <v>3.6261286867131002</v>
      </c>
      <c r="X24">
        <v>0.64160912367090395</v>
      </c>
      <c r="Y24">
        <v>0.353884463349871</v>
      </c>
      <c r="Z24">
        <v>26.899747851133476</v>
      </c>
    </row>
    <row r="25" spans="1:26" x14ac:dyDescent="0.25">
      <c r="A25" t="s">
        <v>52</v>
      </c>
      <c r="B25">
        <v>3.7127298227565402</v>
      </c>
      <c r="C25">
        <v>4.10776467511731</v>
      </c>
      <c r="D25">
        <v>4.3001065460968597</v>
      </c>
      <c r="E25">
        <v>5.5446471566948903</v>
      </c>
      <c r="F25">
        <v>5.1174694462991699</v>
      </c>
      <c r="G25">
        <v>0.88722104624517295</v>
      </c>
      <c r="H25">
        <v>6.12419395220991</v>
      </c>
      <c r="I25">
        <v>3.2435141883264</v>
      </c>
      <c r="J25">
        <v>-0.20778459546119199</v>
      </c>
      <c r="K25">
        <v>-4.3711362240687901</v>
      </c>
      <c r="L25">
        <v>-5.8152052286137303</v>
      </c>
      <c r="M25">
        <v>-9.7433418954436597</v>
      </c>
      <c r="N25">
        <v>-7.83408917985673</v>
      </c>
      <c r="O25">
        <v>-1.5608962197340901</v>
      </c>
      <c r="P25">
        <v>1.4658565283036999</v>
      </c>
      <c r="Q25">
        <v>0.43122550845156099</v>
      </c>
      <c r="R25">
        <v>0.38485141837931303</v>
      </c>
      <c r="S25">
        <v>1.6740204071301401</v>
      </c>
      <c r="T25">
        <v>2.2719517774123101</v>
      </c>
      <c r="U25">
        <v>2.3849755627160798</v>
      </c>
      <c r="V25">
        <v>-9.0011645268170408</v>
      </c>
      <c r="W25">
        <v>9.9846849509931594</v>
      </c>
      <c r="X25">
        <v>7.0843300920864003</v>
      </c>
      <c r="Y25">
        <v>2.63987981955106</v>
      </c>
      <c r="Z25">
        <v>22.825805028774734</v>
      </c>
    </row>
    <row r="26" spans="1:26" x14ac:dyDescent="0.25">
      <c r="A26" t="s">
        <v>59</v>
      </c>
      <c r="B26">
        <v>6.9110246453716799</v>
      </c>
      <c r="C26">
        <v>0.99946355707838597</v>
      </c>
      <c r="D26">
        <v>-1.4242583592009099</v>
      </c>
      <c r="E26">
        <v>4.1430539633647196</v>
      </c>
      <c r="F26">
        <v>6.6323237112164399</v>
      </c>
      <c r="G26">
        <v>4.9432360441520702</v>
      </c>
      <c r="H26">
        <v>5.8550302810627102</v>
      </c>
      <c r="I26">
        <v>2.7487810793659402</v>
      </c>
      <c r="J26">
        <v>6.5939787486472197</v>
      </c>
      <c r="K26">
        <v>0.874906570700134</v>
      </c>
      <c r="L26">
        <v>0.69531455570223999</v>
      </c>
      <c r="M26">
        <v>-0.470283635075262</v>
      </c>
      <c r="N26">
        <v>1.5369769446427599</v>
      </c>
      <c r="O26">
        <v>-0.72686164314048096</v>
      </c>
      <c r="P26">
        <v>5.0919273331364501</v>
      </c>
      <c r="Q26">
        <v>-2.2149188822391999</v>
      </c>
      <c r="R26">
        <v>4.5478085806606403</v>
      </c>
      <c r="S26">
        <v>7.7664773967427395E-2</v>
      </c>
      <c r="T26">
        <v>0.89068474112419005</v>
      </c>
      <c r="U26">
        <v>2.4627315943321699</v>
      </c>
      <c r="V26">
        <v>-6.4784281066650407E-2</v>
      </c>
      <c r="W26">
        <v>0.77886951371549196</v>
      </c>
      <c r="Z26">
        <v>50.882669837518165</v>
      </c>
    </row>
    <row r="27" spans="1:26" x14ac:dyDescent="0.25">
      <c r="A27" t="s">
        <v>48</v>
      </c>
      <c r="B27">
        <v>6.7183998284268096</v>
      </c>
      <c r="C27">
        <v>-0.17749213507029499</v>
      </c>
      <c r="D27">
        <v>1.20751278679438</v>
      </c>
      <c r="E27">
        <v>3.2599225473086602</v>
      </c>
      <c r="F27">
        <v>7.8555471692863001</v>
      </c>
      <c r="G27">
        <v>6.9200311277559203</v>
      </c>
      <c r="H27">
        <v>6.3473708111283402</v>
      </c>
      <c r="I27">
        <v>5.5535638374205796</v>
      </c>
      <c r="J27">
        <v>1.5187712292523701</v>
      </c>
      <c r="K27">
        <v>-2.6689670518367699</v>
      </c>
      <c r="L27">
        <v>5.9864167582579002</v>
      </c>
      <c r="M27">
        <v>4.1121519331521901</v>
      </c>
      <c r="N27">
        <v>0.58373500832686898</v>
      </c>
      <c r="O27">
        <v>2.6878901830069002</v>
      </c>
      <c r="P27">
        <v>2.0431782906390201</v>
      </c>
      <c r="Q27">
        <v>1.5199532034724299</v>
      </c>
      <c r="R27">
        <v>1.54454688118588</v>
      </c>
      <c r="S27">
        <v>3.0014739345395798</v>
      </c>
      <c r="T27">
        <v>2.02719935059041</v>
      </c>
      <c r="U27">
        <v>-2.3966306085183402</v>
      </c>
      <c r="V27">
        <v>-6.2087234947177397</v>
      </c>
      <c r="W27">
        <v>7.4294732363530303</v>
      </c>
      <c r="X27">
        <v>-2.8051185193236798</v>
      </c>
      <c r="Y27">
        <v>0.67272057583392098</v>
      </c>
      <c r="Z27">
        <v>56.732926883264689</v>
      </c>
    </row>
    <row r="28" spans="1:26" x14ac:dyDescent="0.25">
      <c r="A28" t="s">
        <v>44</v>
      </c>
      <c r="B28">
        <v>4.7509478231250899</v>
      </c>
      <c r="C28">
        <v>4.3130863272814297</v>
      </c>
      <c r="D28">
        <v>5.0399638444627204</v>
      </c>
      <c r="E28">
        <v>4.3727803620743497</v>
      </c>
      <c r="F28">
        <v>5.2373999085732104</v>
      </c>
      <c r="G28">
        <v>4.5019032562721604</v>
      </c>
      <c r="H28">
        <v>4.1080541292658896</v>
      </c>
      <c r="I28">
        <v>0.432838011374443</v>
      </c>
      <c r="J28">
        <v>1.1809531991478801</v>
      </c>
      <c r="K28">
        <v>-6.4530669571777102</v>
      </c>
      <c r="L28">
        <v>1.30495875677843</v>
      </c>
      <c r="M28">
        <v>2.15589713714503</v>
      </c>
      <c r="N28">
        <v>-0.73892591765752502</v>
      </c>
      <c r="O28">
        <v>2.0832407689697998</v>
      </c>
      <c r="P28">
        <v>4.5133677678145396</v>
      </c>
      <c r="Q28">
        <v>3.9542826126543398</v>
      </c>
      <c r="R28">
        <v>2.5030533615263799</v>
      </c>
      <c r="S28">
        <v>4.5495632982892902</v>
      </c>
      <c r="T28">
        <v>5.4960187918655699</v>
      </c>
      <c r="U28">
        <v>4.9116935252599498</v>
      </c>
      <c r="V28">
        <v>-4.28140735132469</v>
      </c>
      <c r="W28">
        <v>7.50510516201774</v>
      </c>
      <c r="X28">
        <v>5.2938400181696297</v>
      </c>
      <c r="Y28">
        <v>-0.368525543460265</v>
      </c>
      <c r="Z28">
        <v>66.3670222924477</v>
      </c>
    </row>
    <row r="29" spans="1:26" x14ac:dyDescent="0.25">
      <c r="A29" t="s">
        <v>47</v>
      </c>
      <c r="B29">
        <v>3.55739104440454</v>
      </c>
      <c r="C29">
        <v>2.6400002101269102</v>
      </c>
      <c r="D29">
        <v>-0.33407750419429799</v>
      </c>
      <c r="E29">
        <v>1.4377961899139799</v>
      </c>
      <c r="F29">
        <v>6.8601056849331599</v>
      </c>
      <c r="G29">
        <v>4.4578288512997499</v>
      </c>
      <c r="H29">
        <v>3.85034869245426</v>
      </c>
      <c r="I29">
        <v>5.7452812878247697</v>
      </c>
      <c r="J29">
        <v>0.32640009963762401</v>
      </c>
      <c r="K29">
        <v>-7.9783624054085003</v>
      </c>
      <c r="L29">
        <v>-2.6928477076310999</v>
      </c>
      <c r="M29">
        <v>1.5351471992778201</v>
      </c>
      <c r="N29">
        <v>0.52730443347105904</v>
      </c>
      <c r="O29">
        <v>3.56817578247606</v>
      </c>
      <c r="P29">
        <v>0.56220938869697101</v>
      </c>
      <c r="Q29">
        <v>3.3541453332836402</v>
      </c>
      <c r="R29">
        <v>4.8382992142755699</v>
      </c>
      <c r="S29">
        <v>1.7794101347671001</v>
      </c>
      <c r="T29">
        <v>2.1173732395768798</v>
      </c>
      <c r="U29">
        <v>-0.354233392746096</v>
      </c>
      <c r="V29">
        <v>-8.4386980111305796</v>
      </c>
      <c r="W29">
        <v>3.5428258047328098</v>
      </c>
      <c r="X29">
        <v>6.2868326580677101</v>
      </c>
      <c r="Y29">
        <v>2.00742256232689</v>
      </c>
      <c r="Z29">
        <v>39.196078790436928</v>
      </c>
    </row>
    <row r="30" spans="1:26" x14ac:dyDescent="0.25">
      <c r="A30" t="s">
        <v>39</v>
      </c>
      <c r="B30">
        <v>1.9076300581657899</v>
      </c>
      <c r="C30">
        <v>2.8813465826862599</v>
      </c>
      <c r="D30">
        <v>1.9407054851532599</v>
      </c>
      <c r="E30">
        <v>6.0057996431474701</v>
      </c>
      <c r="F30">
        <v>6.0999652245010196</v>
      </c>
      <c r="G30">
        <v>6.1770289248636496</v>
      </c>
      <c r="H30">
        <v>6.3836772085458096</v>
      </c>
      <c r="I30">
        <v>6.0516001374069797</v>
      </c>
      <c r="J30">
        <v>1.6141345170288199</v>
      </c>
      <c r="K30">
        <v>6.3134098579388898</v>
      </c>
      <c r="L30">
        <v>6.9307978041525304</v>
      </c>
      <c r="M30">
        <v>3.7607415314586499</v>
      </c>
      <c r="N30">
        <v>4.0172673583632301</v>
      </c>
      <c r="O30">
        <v>4.9776999730263896</v>
      </c>
      <c r="P30">
        <v>6.06398074162718</v>
      </c>
      <c r="Q30">
        <v>6.7156673464022596</v>
      </c>
      <c r="R30">
        <v>6.9739469092924704</v>
      </c>
      <c r="S30">
        <v>5.5611850346049998</v>
      </c>
      <c r="T30">
        <v>5.2921197191472196</v>
      </c>
      <c r="U30">
        <v>2.79675759965889</v>
      </c>
      <c r="V30">
        <v>-6.6904710283374698</v>
      </c>
      <c r="W30">
        <v>8.7909344767626294</v>
      </c>
      <c r="X30">
        <v>6.1449586075553997</v>
      </c>
      <c r="Y30">
        <v>7.2018393910334497</v>
      </c>
      <c r="Z30">
        <v>113.91272310418576</v>
      </c>
    </row>
    <row r="31" spans="1:26" x14ac:dyDescent="0.25">
      <c r="A31" t="s">
        <v>40</v>
      </c>
      <c r="B31">
        <v>3.4278636272188998</v>
      </c>
      <c r="C31">
        <v>2.2148134392147201</v>
      </c>
      <c r="D31">
        <v>3.09230929876641</v>
      </c>
      <c r="E31">
        <v>3.4024459517882901</v>
      </c>
      <c r="F31">
        <v>3.7043674512371001</v>
      </c>
      <c r="G31">
        <v>4.3443558422023996</v>
      </c>
      <c r="H31">
        <v>4.1120189021806102</v>
      </c>
      <c r="I31">
        <v>4.9495839227581104</v>
      </c>
      <c r="J31">
        <v>4.6472175827706899</v>
      </c>
      <c r="K31">
        <v>3.3116002127140098</v>
      </c>
      <c r="L31">
        <v>4.8932624690878699</v>
      </c>
      <c r="M31">
        <v>4.8229427651275802</v>
      </c>
      <c r="N31">
        <v>4.6754037419867602</v>
      </c>
      <c r="O31">
        <v>4.2560392322644303</v>
      </c>
      <c r="P31">
        <v>3.7796859515743799</v>
      </c>
      <c r="Q31">
        <v>3.7058342889553901</v>
      </c>
      <c r="R31">
        <v>3.9105427549557699</v>
      </c>
      <c r="S31">
        <v>4.0010986517992304</v>
      </c>
      <c r="T31">
        <v>4.1593001390938298</v>
      </c>
      <c r="U31">
        <v>4.0413041818536</v>
      </c>
      <c r="V31">
        <v>-2.8942340398189401</v>
      </c>
      <c r="W31">
        <v>2.9747619222787902</v>
      </c>
      <c r="X31">
        <v>4.5246962363290404</v>
      </c>
      <c r="Y31">
        <v>4.1666201618874199</v>
      </c>
      <c r="Z31">
        <v>88.223834688226376</v>
      </c>
    </row>
    <row r="32" spans="1:26" x14ac:dyDescent="0.25">
      <c r="A32" t="s">
        <v>45</v>
      </c>
      <c r="B32">
        <v>7.95480640621878</v>
      </c>
      <c r="C32">
        <v>3.6424699934862699</v>
      </c>
      <c r="D32">
        <v>4.1297567020099297</v>
      </c>
      <c r="E32">
        <v>1.3493871837859599</v>
      </c>
      <c r="F32">
        <v>4.8534562705836199</v>
      </c>
      <c r="G32">
        <v>3.4609412592924098</v>
      </c>
      <c r="H32">
        <v>2.1951905393585802</v>
      </c>
      <c r="I32">
        <v>2.30922970882949</v>
      </c>
      <c r="J32">
        <v>-6.4116451248780804</v>
      </c>
      <c r="K32">
        <v>-6.0548104906459601</v>
      </c>
      <c r="L32">
        <v>1.1304244536496499</v>
      </c>
      <c r="M32">
        <v>1.20647668098621</v>
      </c>
      <c r="N32">
        <v>-0.82012024918009296</v>
      </c>
      <c r="O32">
        <v>1.65549076232907</v>
      </c>
      <c r="P32">
        <v>8.5396999684909503</v>
      </c>
      <c r="Q32">
        <v>23.443690553301099</v>
      </c>
      <c r="R32">
        <v>8.6428016236908406E-2</v>
      </c>
      <c r="S32">
        <v>8.8580431474845795</v>
      </c>
      <c r="T32">
        <v>6.2202204982160199</v>
      </c>
      <c r="U32">
        <v>3.6137661907518899</v>
      </c>
      <c r="V32">
        <v>6.0607806012949501</v>
      </c>
      <c r="W32">
        <v>15.1519484897753</v>
      </c>
      <c r="X32">
        <v>5.8326606220590502</v>
      </c>
      <c r="Y32">
        <v>-8.0556860020512495</v>
      </c>
      <c r="Z32">
        <v>90.352606181385354</v>
      </c>
    </row>
    <row r="33" spans="1:26" x14ac:dyDescent="0.25">
      <c r="A33" t="s">
        <v>43</v>
      </c>
      <c r="B33">
        <v>5.7933260933370896</v>
      </c>
      <c r="C33">
        <v>-2.1638802481320001</v>
      </c>
      <c r="D33">
        <v>-2.1129599381234501</v>
      </c>
      <c r="E33">
        <v>-0.350474756917805</v>
      </c>
      <c r="F33">
        <v>2.84523809352515</v>
      </c>
      <c r="G33">
        <v>2.3944180621623601</v>
      </c>
      <c r="H33">
        <v>3.7309644818323902</v>
      </c>
      <c r="I33">
        <v>4.1564116078788498</v>
      </c>
      <c r="J33">
        <v>1.4672237640594801</v>
      </c>
      <c r="K33">
        <v>-1.2798152377999801</v>
      </c>
      <c r="L33">
        <v>3.7209821883003298</v>
      </c>
      <c r="M33">
        <v>3.6298560031787201</v>
      </c>
      <c r="N33">
        <v>0.66511349603457903</v>
      </c>
      <c r="O33">
        <v>2.3036365432495001</v>
      </c>
      <c r="P33">
        <v>1.9102171087631601</v>
      </c>
      <c r="Q33">
        <v>0.30633407103981403</v>
      </c>
      <c r="R33">
        <v>2.3412442832906102</v>
      </c>
      <c r="S33">
        <v>2.27131656189106</v>
      </c>
      <c r="T33">
        <v>2.0885454789678901</v>
      </c>
      <c r="U33">
        <v>1.8226921241457601</v>
      </c>
      <c r="V33">
        <v>-3.1872187483087799</v>
      </c>
      <c r="W33">
        <v>7.52022582216894</v>
      </c>
      <c r="X33">
        <v>4.39722097796363</v>
      </c>
      <c r="Y33">
        <v>0.33289143215968398</v>
      </c>
      <c r="Z33">
        <v>44.603509264666975</v>
      </c>
    </row>
    <row r="34" spans="1:26" x14ac:dyDescent="0.25">
      <c r="A34" t="s">
        <v>42</v>
      </c>
      <c r="B34">
        <v>3.8350471384753702</v>
      </c>
      <c r="C34">
        <v>1.9491548187788801</v>
      </c>
      <c r="D34">
        <v>0.120722345941687</v>
      </c>
      <c r="E34">
        <v>-0.37726216784838601</v>
      </c>
      <c r="F34">
        <v>0.81941987332538702</v>
      </c>
      <c r="G34">
        <v>0.268489739689798</v>
      </c>
      <c r="H34">
        <v>1.4939710537056501</v>
      </c>
      <c r="I34">
        <v>0.95126598952035102</v>
      </c>
      <c r="J34">
        <v>-1.67666266352292</v>
      </c>
      <c r="K34">
        <v>-5.7356151228457399</v>
      </c>
      <c r="L34">
        <v>1.21729094320378</v>
      </c>
      <c r="M34">
        <v>0.52243761841204195</v>
      </c>
      <c r="N34">
        <v>-3.38600463395791</v>
      </c>
      <c r="O34">
        <v>-2.9496289639423701</v>
      </c>
      <c r="P34">
        <v>-0.91468283679360196</v>
      </c>
      <c r="Q34">
        <v>0.98294421157854095</v>
      </c>
      <c r="R34">
        <v>1.4083514930057399</v>
      </c>
      <c r="S34">
        <v>1.7560785357201401</v>
      </c>
      <c r="T34">
        <v>1.0184637217472099</v>
      </c>
      <c r="U34">
        <v>1.5938409575196899</v>
      </c>
      <c r="V34">
        <v>-8.4232399277993206</v>
      </c>
      <c r="W34">
        <v>9.4941610424522604</v>
      </c>
      <c r="X34">
        <v>4.8737086162536096</v>
      </c>
      <c r="Y34">
        <v>0.73209929077313496</v>
      </c>
      <c r="Z34">
        <v>9.5743510733930215</v>
      </c>
    </row>
    <row r="35" spans="1:26" x14ac:dyDescent="0.25">
      <c r="A35" t="s">
        <v>46</v>
      </c>
      <c r="B35">
        <v>2.5928910865081298</v>
      </c>
      <c r="C35">
        <v>0.144511690084897</v>
      </c>
      <c r="D35">
        <v>-0.190392013612978</v>
      </c>
      <c r="E35">
        <v>1.3180919624152501</v>
      </c>
      <c r="F35">
        <v>2.15172332918605</v>
      </c>
      <c r="G35">
        <v>1.79433980060388</v>
      </c>
      <c r="H35">
        <v>1.30812718300903</v>
      </c>
      <c r="I35">
        <v>1.36742232603785</v>
      </c>
      <c r="J35">
        <v>-1.27210994887062</v>
      </c>
      <c r="K35">
        <v>-5.6814523403118198</v>
      </c>
      <c r="L35">
        <v>4.0792230484327403</v>
      </c>
      <c r="M35">
        <v>0.20925180281963701</v>
      </c>
      <c r="N35">
        <v>1.53678665884595</v>
      </c>
      <c r="O35">
        <v>2.1523710656464301</v>
      </c>
      <c r="P35">
        <v>0.42938112252039701</v>
      </c>
      <c r="Q35">
        <v>1.66846511711745</v>
      </c>
      <c r="R35">
        <v>0.80536282461616804</v>
      </c>
      <c r="S35">
        <v>1.7586118016144101</v>
      </c>
      <c r="T35">
        <v>0.77116847143234701</v>
      </c>
      <c r="U35">
        <v>-0.26217082858906299</v>
      </c>
      <c r="V35">
        <v>-3.8647096696324299</v>
      </c>
      <c r="W35">
        <v>3.0321308280439001</v>
      </c>
      <c r="X35">
        <v>1.40382237505176</v>
      </c>
      <c r="Y35">
        <v>2.17578291223812</v>
      </c>
      <c r="Z35">
        <v>19.428630605207488</v>
      </c>
    </row>
    <row r="36" spans="1:26" x14ac:dyDescent="0.25">
      <c r="A36" t="s">
        <v>41</v>
      </c>
      <c r="B36">
        <v>8.1526896595853096</v>
      </c>
      <c r="C36">
        <v>4.0510064029760704</v>
      </c>
      <c r="D36">
        <v>7.1043331095484303</v>
      </c>
      <c r="E36">
        <v>2.6140398272663998</v>
      </c>
      <c r="F36">
        <v>4.7812861532405204</v>
      </c>
      <c r="G36">
        <v>4.0876451466190398</v>
      </c>
      <c r="H36">
        <v>4.71292765493601</v>
      </c>
      <c r="I36">
        <v>5.26636114571932</v>
      </c>
      <c r="J36">
        <v>2.2337522597716801</v>
      </c>
      <c r="K36">
        <v>0.27526898032958502</v>
      </c>
      <c r="L36">
        <v>6.2740198886538803</v>
      </c>
      <c r="M36">
        <v>2.8914119943402601</v>
      </c>
      <c r="N36">
        <v>1.8655994959656299</v>
      </c>
      <c r="O36">
        <v>2.69615096128955</v>
      </c>
      <c r="P36">
        <v>2.5562195088349702</v>
      </c>
      <c r="Q36">
        <v>2.2684294006858199</v>
      </c>
      <c r="R36">
        <v>2.5391447288435001</v>
      </c>
      <c r="S36">
        <v>2.87019696151147</v>
      </c>
      <c r="T36">
        <v>2.4622462161331402</v>
      </c>
      <c r="U36">
        <v>1.8889146004307</v>
      </c>
      <c r="V36">
        <v>-0.84621223779923604</v>
      </c>
      <c r="W36">
        <v>4.4391212931781903</v>
      </c>
      <c r="X36">
        <v>2.80523762871836</v>
      </c>
      <c r="Y36">
        <v>1.2782352431085999</v>
      </c>
      <c r="Z36">
        <v>79.268026023887188</v>
      </c>
    </row>
    <row r="37" spans="1:26" x14ac:dyDescent="0.25">
      <c r="A37" t="s">
        <v>38</v>
      </c>
      <c r="B37">
        <v>6.8662020880114101</v>
      </c>
      <c r="C37">
        <v>7.8444148861967999</v>
      </c>
      <c r="D37">
        <v>8.9236829933552393</v>
      </c>
      <c r="E37">
        <v>9.4820745100052193</v>
      </c>
      <c r="F37">
        <v>9.9181711387825704</v>
      </c>
      <c r="G37">
        <v>12.827939652141</v>
      </c>
      <c r="H37">
        <v>13.864692508943101</v>
      </c>
      <c r="I37">
        <v>11.319401268539099</v>
      </c>
      <c r="J37">
        <v>-2.3680352854770499</v>
      </c>
      <c r="K37">
        <v>-14.642312170725001</v>
      </c>
      <c r="L37">
        <v>-1.6351442864579</v>
      </c>
      <c r="M37">
        <v>4.9295810871348804</v>
      </c>
      <c r="N37">
        <v>8.6444994678313698</v>
      </c>
      <c r="O37">
        <v>3.1954525724687102</v>
      </c>
      <c r="P37">
        <v>3.0609736399136298</v>
      </c>
      <c r="Q37">
        <v>4.6364502804693002</v>
      </c>
      <c r="R37">
        <v>3.4931862327209302</v>
      </c>
      <c r="S37">
        <v>4.3193593541641597</v>
      </c>
      <c r="T37">
        <v>5.12560223007441</v>
      </c>
      <c r="U37">
        <v>1.37774862822748</v>
      </c>
      <c r="V37">
        <v>-2.7899654643776302</v>
      </c>
      <c r="W37">
        <v>7.8529269541178301</v>
      </c>
      <c r="X37">
        <v>2.0893462696429599</v>
      </c>
      <c r="Y37">
        <v>1.8117824899081001</v>
      </c>
      <c r="Z37">
        <v>110.14803104561061</v>
      </c>
    </row>
    <row r="38" spans="1:26" x14ac:dyDescent="0.25">
      <c r="A38" t="s">
        <v>37</v>
      </c>
      <c r="B38">
        <v>5.5104093951583897</v>
      </c>
      <c r="C38">
        <v>1.85457468137487</v>
      </c>
      <c r="D38">
        <v>2.1496098989168599</v>
      </c>
      <c r="E38">
        <v>1.3798933588558699</v>
      </c>
      <c r="F38">
        <v>2.7608881807072798</v>
      </c>
      <c r="G38">
        <v>0.92676576074713102</v>
      </c>
      <c r="H38">
        <v>4.3391083145198204</v>
      </c>
      <c r="I38">
        <v>6.4420313662556801</v>
      </c>
      <c r="J38">
        <v>-2.06647390176839</v>
      </c>
      <c r="K38">
        <v>-5.0142630126207504</v>
      </c>
      <c r="L38">
        <v>1.88354730979161</v>
      </c>
      <c r="M38">
        <v>-1.17679786686928</v>
      </c>
      <c r="N38">
        <v>-0.76218340954868302</v>
      </c>
      <c r="O38">
        <v>0.81465230853767401</v>
      </c>
      <c r="P38">
        <v>0.23256444149819799</v>
      </c>
      <c r="Q38">
        <v>-0.11547630553289399</v>
      </c>
      <c r="R38">
        <v>2.73979180152419</v>
      </c>
      <c r="S38">
        <v>-1.11611296239622</v>
      </c>
      <c r="T38">
        <v>-0.71432592215059298</v>
      </c>
      <c r="U38">
        <v>0.915465845901139</v>
      </c>
      <c r="V38">
        <v>-2.54734610654114</v>
      </c>
      <c r="W38">
        <v>5.5535021688899198</v>
      </c>
      <c r="X38">
        <v>-0.64383825823868801</v>
      </c>
      <c r="Y38">
        <v>-3.0735716888948401</v>
      </c>
      <c r="Z38">
        <v>20.272415398117154</v>
      </c>
    </row>
    <row r="39" spans="1:26" x14ac:dyDescent="0.25">
      <c r="A39" t="s">
        <v>36</v>
      </c>
      <c r="B39">
        <v>6.3360361057437897</v>
      </c>
      <c r="C39">
        <v>-1.86947729075297</v>
      </c>
      <c r="D39">
        <v>2.8726255504982601</v>
      </c>
      <c r="E39">
        <v>3.3146673476590101</v>
      </c>
      <c r="F39">
        <v>4.3432131078657399</v>
      </c>
      <c r="G39">
        <v>2.9703712717048498</v>
      </c>
      <c r="H39">
        <v>3.2594065393694902</v>
      </c>
      <c r="I39">
        <v>4.0133044027472797</v>
      </c>
      <c r="J39">
        <v>2.6580647877918899</v>
      </c>
      <c r="K39">
        <v>-3.4560264261626901</v>
      </c>
      <c r="L39">
        <v>5.4342407037972302</v>
      </c>
      <c r="M39">
        <v>3.4659743901529501</v>
      </c>
      <c r="N39">
        <v>3.6927656914312101</v>
      </c>
      <c r="O39">
        <v>2.91923259894287</v>
      </c>
      <c r="P39">
        <v>4.20447757863825</v>
      </c>
      <c r="Q39">
        <v>3.2857855627230101</v>
      </c>
      <c r="R39">
        <v>2.6200455756601602</v>
      </c>
      <c r="S39">
        <v>3.9618656454818502</v>
      </c>
      <c r="T39">
        <v>3.07401779071937</v>
      </c>
      <c r="U39">
        <v>2.7595012238144099</v>
      </c>
      <c r="V39">
        <v>-6.7093351308521996</v>
      </c>
      <c r="W39">
        <v>2.1314619977843101</v>
      </c>
      <c r="X39">
        <v>7.5656833414194304</v>
      </c>
      <c r="Y39">
        <v>2.2854352504452198</v>
      </c>
      <c r="Z39">
        <v>65.133337616622711</v>
      </c>
    </row>
    <row r="40" spans="1:26" x14ac:dyDescent="0.25">
      <c r="A40" t="s">
        <v>35</v>
      </c>
      <c r="B40">
        <v>3.4214051421479801</v>
      </c>
      <c r="C40">
        <v>-1.9162965888934</v>
      </c>
      <c r="D40">
        <v>-1.6606305352465101</v>
      </c>
      <c r="E40">
        <v>-0.21945014507326699</v>
      </c>
      <c r="F40">
        <v>2.16106229645384</v>
      </c>
      <c r="G40">
        <v>0.74541325197314701</v>
      </c>
      <c r="H40">
        <v>3.3957767754231201</v>
      </c>
      <c r="I40">
        <v>0.65078870068502703</v>
      </c>
      <c r="J40">
        <v>-0.51988992518397503</v>
      </c>
      <c r="K40">
        <v>-7.6551717311807597</v>
      </c>
      <c r="L40">
        <v>3.4708428743640098</v>
      </c>
      <c r="M40">
        <v>1.99026327799889</v>
      </c>
      <c r="N40">
        <v>2.1573183045698001</v>
      </c>
      <c r="O40">
        <v>-0.44781073827849099</v>
      </c>
      <c r="P40">
        <v>1.2709142053195099</v>
      </c>
      <c r="Q40">
        <v>1.60971010585429</v>
      </c>
      <c r="R40">
        <v>0.79095521610253205</v>
      </c>
      <c r="S40">
        <v>0.92342535869120501</v>
      </c>
      <c r="T40">
        <v>1.0113662252237501</v>
      </c>
      <c r="U40">
        <v>-1.33462178518992</v>
      </c>
      <c r="V40">
        <v>-9.1028715220307799</v>
      </c>
      <c r="W40">
        <v>5.3430667767700299</v>
      </c>
      <c r="X40">
        <v>2.9111439609150298</v>
      </c>
      <c r="Y40">
        <v>2.3038069008484601</v>
      </c>
      <c r="Z40">
        <v>11.300516402263519</v>
      </c>
    </row>
    <row r="41" spans="1:26" x14ac:dyDescent="0.25">
      <c r="A41" t="s">
        <v>34</v>
      </c>
      <c r="B41">
        <v>3.4774777699183499</v>
      </c>
      <c r="C41">
        <v>1.55410409446529</v>
      </c>
      <c r="D41">
        <v>-0.39203688724317898</v>
      </c>
      <c r="E41">
        <v>-0.373331354624312</v>
      </c>
      <c r="F41">
        <v>1.6624435783050699</v>
      </c>
      <c r="G41">
        <v>1.7958258061600201</v>
      </c>
      <c r="H41">
        <v>3.3712135164985999</v>
      </c>
      <c r="I41">
        <v>3.6595791181866599</v>
      </c>
      <c r="J41">
        <v>1.72005557585726</v>
      </c>
      <c r="K41">
        <v>-4.1594531771633898</v>
      </c>
      <c r="L41">
        <v>0.80096056386741998</v>
      </c>
      <c r="M41">
        <v>1.2997503818178</v>
      </c>
      <c r="N41">
        <v>-1.3436361876571099</v>
      </c>
      <c r="O41">
        <v>-0.324530075080872</v>
      </c>
      <c r="P41">
        <v>1.2476363094107401</v>
      </c>
      <c r="Q41">
        <v>1.66898775580411</v>
      </c>
      <c r="R41">
        <v>1.8806531808692299</v>
      </c>
      <c r="S41">
        <v>2.17569082152127</v>
      </c>
      <c r="T41">
        <v>1.6633574592451501</v>
      </c>
      <c r="U41">
        <v>1.6321429332088999</v>
      </c>
      <c r="V41">
        <v>-4.4005254274873398</v>
      </c>
      <c r="W41">
        <v>5.7219352907288696</v>
      </c>
      <c r="X41">
        <v>4.0109788481050401</v>
      </c>
      <c r="Y41">
        <v>-0.91142783303230601</v>
      </c>
      <c r="Z41">
        <v>27.437852061681273</v>
      </c>
    </row>
    <row r="42" spans="1:26" x14ac:dyDescent="0.25">
      <c r="A42" t="s">
        <v>30</v>
      </c>
      <c r="B42">
        <v>2.2679318143186902</v>
      </c>
      <c r="C42">
        <v>2.8038734155382499</v>
      </c>
      <c r="D42">
        <v>2.9104896551884698</v>
      </c>
      <c r="E42">
        <v>2.6823423562523798</v>
      </c>
      <c r="F42">
        <v>2.55271908444313</v>
      </c>
      <c r="G42">
        <v>2.1931770001774402</v>
      </c>
      <c r="H42">
        <v>1.53430913433827</v>
      </c>
      <c r="I42">
        <v>2.09353083178681</v>
      </c>
      <c r="J42">
        <v>-2.07416977408981</v>
      </c>
      <c r="K42">
        <v>-1.04618298900314</v>
      </c>
      <c r="L42">
        <v>0.32308077711553601</v>
      </c>
      <c r="M42">
        <v>1.46473712971036</v>
      </c>
      <c r="N42">
        <v>1.7302251875350301</v>
      </c>
      <c r="O42">
        <v>1.9736493209605199</v>
      </c>
      <c r="P42">
        <v>2.0451815064295</v>
      </c>
      <c r="Q42">
        <v>1.6433315764210099</v>
      </c>
      <c r="R42">
        <v>1.44406499831086</v>
      </c>
      <c r="S42">
        <v>1.25999864014925</v>
      </c>
      <c r="T42">
        <v>1.6620778896059101</v>
      </c>
      <c r="U42">
        <v>0.74611018814295005</v>
      </c>
      <c r="V42">
        <v>-2.5963015664508502</v>
      </c>
      <c r="W42">
        <v>4.1146694049731103</v>
      </c>
      <c r="X42">
        <v>2.65634589792765</v>
      </c>
      <c r="Y42">
        <v>-1.30909730372859</v>
      </c>
      <c r="Z42">
        <v>33.076094176052734</v>
      </c>
    </row>
    <row r="43" spans="1:26" x14ac:dyDescent="0.25">
      <c r="A43" t="s">
        <v>28</v>
      </c>
      <c r="B43">
        <v>2.6505309069619898</v>
      </c>
      <c r="C43">
        <v>1.5519275837341999</v>
      </c>
      <c r="D43">
        <v>0.83230871657855199</v>
      </c>
      <c r="E43">
        <v>0.35456746325780802</v>
      </c>
      <c r="F43">
        <v>3.4017461541682401</v>
      </c>
      <c r="G43">
        <v>1.9881384610219499</v>
      </c>
      <c r="H43">
        <v>1.6395700851597601</v>
      </c>
      <c r="I43">
        <v>1.8546433169967</v>
      </c>
      <c r="J43">
        <v>-0.76264795832250298</v>
      </c>
      <c r="K43">
        <v>-3.16925628485011</v>
      </c>
      <c r="L43">
        <v>-0.46063125613248701</v>
      </c>
      <c r="M43">
        <v>-0.197405953019441</v>
      </c>
      <c r="N43">
        <v>1.3776409008746999</v>
      </c>
      <c r="O43">
        <v>-0.197883222310097</v>
      </c>
      <c r="P43">
        <v>0.90376265017326296</v>
      </c>
      <c r="Q43">
        <v>0.84879912421639903</v>
      </c>
      <c r="R43">
        <v>0.27740778448787801</v>
      </c>
      <c r="S43">
        <v>1.6395071451149601</v>
      </c>
      <c r="T43">
        <v>0.165530155189344</v>
      </c>
      <c r="U43">
        <v>0.44342927972070401</v>
      </c>
      <c r="V43">
        <v>-1.85769610859076</v>
      </c>
      <c r="W43">
        <v>3.3544950740956199</v>
      </c>
      <c r="X43">
        <v>2.0843819014396301</v>
      </c>
      <c r="Y43">
        <v>-0.65751286477107795</v>
      </c>
      <c r="Z43">
        <v>18.065353055195221</v>
      </c>
    </row>
    <row r="44" spans="1:26" x14ac:dyDescent="0.25">
      <c r="A44" t="s">
        <v>26</v>
      </c>
      <c r="B44">
        <v>1.10433498225969</v>
      </c>
      <c r="C44">
        <v>-0.74883716620487895</v>
      </c>
      <c r="D44">
        <v>4.20293608263907</v>
      </c>
      <c r="E44">
        <v>3.0611767652869402</v>
      </c>
      <c r="F44">
        <v>3.9343288245660402</v>
      </c>
      <c r="G44">
        <v>5.3433234595855499</v>
      </c>
      <c r="H44">
        <v>6.6811384973852297</v>
      </c>
      <c r="I44">
        <v>7.7340620957185697</v>
      </c>
      <c r="J44">
        <v>8.4109066563892991</v>
      </c>
      <c r="K44">
        <v>0.47389328180749102</v>
      </c>
      <c r="L44">
        <v>7.6277436246786996</v>
      </c>
      <c r="M44">
        <v>5.53595626254707</v>
      </c>
      <c r="N44">
        <v>5.2551302000575904</v>
      </c>
      <c r="O44">
        <v>4.9027148793402198</v>
      </c>
      <c r="P44">
        <v>1.36938882425959</v>
      </c>
      <c r="Q44">
        <v>2.0936199066413201</v>
      </c>
      <c r="R44">
        <v>2.5762303972815901</v>
      </c>
      <c r="S44">
        <v>1.0194314164824201</v>
      </c>
      <c r="T44">
        <v>2.1018453903505998</v>
      </c>
      <c r="U44">
        <v>0.50228629122750601</v>
      </c>
      <c r="V44">
        <v>-11.989123385760999</v>
      </c>
      <c r="W44">
        <v>12.2704158286165</v>
      </c>
      <c r="X44">
        <v>1.7448842204999</v>
      </c>
      <c r="Y44">
        <v>-1.63789283805724</v>
      </c>
      <c r="Z44">
        <v>73.569894497597772</v>
      </c>
    </row>
    <row r="45" spans="1:26" x14ac:dyDescent="0.25">
      <c r="A45" t="s">
        <v>27</v>
      </c>
      <c r="B45">
        <v>1.92827954905808</v>
      </c>
      <c r="C45">
        <v>0.80081053945110603</v>
      </c>
      <c r="D45">
        <v>1.63440956717702</v>
      </c>
      <c r="E45">
        <v>3.0244766496209898</v>
      </c>
      <c r="F45">
        <v>4.51829535753411</v>
      </c>
      <c r="G45">
        <v>3.0092209666944401</v>
      </c>
      <c r="H45">
        <v>3.55972238279863</v>
      </c>
      <c r="I45">
        <v>4.6875049530047601</v>
      </c>
      <c r="J45">
        <v>2.5165712858027498</v>
      </c>
      <c r="K45">
        <v>-0.36295528983731601</v>
      </c>
      <c r="L45">
        <v>5.1586943074660496</v>
      </c>
      <c r="M45">
        <v>1.8376051377659599</v>
      </c>
      <c r="N45">
        <v>4.8407653371707697</v>
      </c>
      <c r="O45">
        <v>4.76266634065865</v>
      </c>
      <c r="P45">
        <v>4.6151406805086701</v>
      </c>
      <c r="Q45">
        <v>4.7872505561142598</v>
      </c>
      <c r="R45">
        <v>5.7212148617182397</v>
      </c>
      <c r="S45">
        <v>5.5622302060431696</v>
      </c>
      <c r="T45">
        <v>5.0342906706060102</v>
      </c>
      <c r="U45">
        <v>4.8357754655413503</v>
      </c>
      <c r="V45">
        <v>-10.5488615067566</v>
      </c>
      <c r="W45">
        <v>4.7616391649300596</v>
      </c>
      <c r="X45">
        <v>6.7659541056913204</v>
      </c>
      <c r="Y45">
        <v>4.6943818328120797</v>
      </c>
      <c r="Z45">
        <v>78.145083121574558</v>
      </c>
    </row>
    <row r="46" spans="1:26" x14ac:dyDescent="0.25">
      <c r="A46" t="s">
        <v>32</v>
      </c>
      <c r="B46">
        <v>5.75502267661936</v>
      </c>
      <c r="C46">
        <v>1.26167597595419</v>
      </c>
      <c r="D46">
        <v>1.94840486282048</v>
      </c>
      <c r="E46">
        <v>3.5932654765119301</v>
      </c>
      <c r="F46">
        <v>5.1523049565768098</v>
      </c>
      <c r="G46">
        <v>3.3062147715208901</v>
      </c>
      <c r="H46">
        <v>6.2694293235137302</v>
      </c>
      <c r="I46">
        <v>6.8184398810456903</v>
      </c>
      <c r="J46">
        <v>4.3695364522203297</v>
      </c>
      <c r="K46">
        <v>2.5456168247388402</v>
      </c>
      <c r="L46">
        <v>3.4640085386787298</v>
      </c>
      <c r="M46">
        <v>5.1988822232338796</v>
      </c>
      <c r="N46">
        <v>1.51202436704637</v>
      </c>
      <c r="O46">
        <v>0.74503197727142401</v>
      </c>
      <c r="P46">
        <v>3.9983183212462898</v>
      </c>
      <c r="Q46">
        <v>4.50138467634895</v>
      </c>
      <c r="R46">
        <v>3.0754752825238798</v>
      </c>
      <c r="S46">
        <v>5.1393354217256899</v>
      </c>
      <c r="T46">
        <v>6.2460711054001896</v>
      </c>
      <c r="U46">
        <v>4.6060072734108504</v>
      </c>
      <c r="V46">
        <v>-1.8639200724013301</v>
      </c>
      <c r="W46">
        <v>9.5800417866110905</v>
      </c>
      <c r="X46">
        <v>5.7122759744731004</v>
      </c>
      <c r="Y46">
        <v>0.505669211124399</v>
      </c>
      <c r="Z46">
        <v>93.440517288215773</v>
      </c>
    </row>
    <row r="47" spans="1:26" x14ac:dyDescent="0.25">
      <c r="A47" t="s">
        <v>29</v>
      </c>
      <c r="B47">
        <v>3.0890535522101201</v>
      </c>
      <c r="C47">
        <v>1.2272632814864299</v>
      </c>
      <c r="D47">
        <v>0.22054333852712199</v>
      </c>
      <c r="E47">
        <v>-1.3017419799726999</v>
      </c>
      <c r="F47">
        <v>1.5456200802047999</v>
      </c>
      <c r="G47">
        <v>0.59503826061157405</v>
      </c>
      <c r="H47">
        <v>1.4419368739743099</v>
      </c>
      <c r="I47">
        <v>2.30555218217722</v>
      </c>
      <c r="J47">
        <v>0.17469979340729899</v>
      </c>
      <c r="K47">
        <v>-3.2143886710316001</v>
      </c>
      <c r="L47">
        <v>1.69092744982416</v>
      </c>
      <c r="M47">
        <v>-1.56885659604306</v>
      </c>
      <c r="N47">
        <v>-3.6611144636010402</v>
      </c>
      <c r="O47">
        <v>-0.439198572939205</v>
      </c>
      <c r="P47">
        <v>1.2860464939423499</v>
      </c>
      <c r="Q47">
        <v>2.0113958007977102</v>
      </c>
      <c r="R47">
        <v>2.3264304325159202</v>
      </c>
      <c r="S47">
        <v>3.5670019641558102</v>
      </c>
      <c r="T47">
        <v>3.1112355670559699</v>
      </c>
      <c r="U47">
        <v>2.7213024681048199</v>
      </c>
      <c r="V47">
        <v>-8.3010712660870407</v>
      </c>
      <c r="W47">
        <v>4.8991318690924297</v>
      </c>
      <c r="X47">
        <v>6.2424708699279696</v>
      </c>
      <c r="Y47">
        <v>1.1321288349865899</v>
      </c>
      <c r="Z47">
        <v>21.10140756332796</v>
      </c>
    </row>
    <row r="48" spans="1:26" x14ac:dyDescent="0.25">
      <c r="A48" t="s">
        <v>31</v>
      </c>
      <c r="B48">
        <v>2.5939281807213899</v>
      </c>
      <c r="C48">
        <v>6.6967225992309798</v>
      </c>
      <c r="D48">
        <v>7.6558694342613096</v>
      </c>
      <c r="E48">
        <v>3.08196384315724</v>
      </c>
      <c r="F48">
        <v>11.0591132161949</v>
      </c>
      <c r="G48">
        <v>5.3165061122384003</v>
      </c>
      <c r="H48">
        <v>8.6706758529233099</v>
      </c>
      <c r="I48">
        <v>8.8296482372390397</v>
      </c>
      <c r="J48">
        <v>11.144208901497899</v>
      </c>
      <c r="K48">
        <v>-4.7262885938539201</v>
      </c>
      <c r="L48">
        <v>-3.3333529135505402</v>
      </c>
      <c r="M48">
        <v>5.0108337144803299</v>
      </c>
      <c r="N48">
        <v>2.3582806672725098</v>
      </c>
      <c r="O48">
        <v>0.65182226705108803</v>
      </c>
      <c r="P48">
        <v>4.5067254440194198</v>
      </c>
      <c r="Q48">
        <v>3.6430694109636601</v>
      </c>
      <c r="R48">
        <v>3.4516954146491399</v>
      </c>
      <c r="S48">
        <v>8.8226665709087406</v>
      </c>
      <c r="T48">
        <v>6.7462183337517301</v>
      </c>
      <c r="U48">
        <v>4.4721916540025397</v>
      </c>
      <c r="V48">
        <v>-3.14239791281243</v>
      </c>
      <c r="W48">
        <v>6.3360636200562102</v>
      </c>
      <c r="X48">
        <v>4.3667763001667499</v>
      </c>
      <c r="Y48">
        <v>2.3452936878948898</v>
      </c>
      <c r="Z48">
        <v>106.55823404246459</v>
      </c>
    </row>
    <row r="49" spans="1:26" x14ac:dyDescent="0.25">
      <c r="A49" t="s">
        <v>33</v>
      </c>
      <c r="B49">
        <v>10.4637091559227</v>
      </c>
      <c r="C49">
        <v>5.5467183393264303</v>
      </c>
      <c r="D49">
        <v>5.1827502382498798</v>
      </c>
      <c r="E49">
        <v>7.7879675239034896</v>
      </c>
      <c r="F49">
        <v>7.6324911823090797</v>
      </c>
      <c r="G49">
        <v>6.8066076525920902</v>
      </c>
      <c r="H49">
        <v>8.5549414746973707</v>
      </c>
      <c r="I49">
        <v>8.6857654815596597</v>
      </c>
      <c r="J49">
        <v>5.2462100182986502</v>
      </c>
      <c r="K49">
        <v>-7.8277499767233003</v>
      </c>
      <c r="L49">
        <v>4.4530963983475704</v>
      </c>
      <c r="M49">
        <v>4.1769762436818398</v>
      </c>
      <c r="N49">
        <v>3.76271915500016</v>
      </c>
      <c r="O49">
        <v>1.45314767875932</v>
      </c>
      <c r="P49">
        <v>-1.1219404174418599</v>
      </c>
      <c r="Q49">
        <v>-2.2762114110787999</v>
      </c>
      <c r="R49">
        <v>-9.0486200478210294E-2</v>
      </c>
      <c r="S49">
        <v>1.61387325924203</v>
      </c>
      <c r="T49">
        <v>2.7165927166054198</v>
      </c>
      <c r="U49">
        <v>2.14202624717367</v>
      </c>
      <c r="V49">
        <v>-2.5268043174322199</v>
      </c>
      <c r="W49">
        <v>5.9655401331199602</v>
      </c>
      <c r="X49">
        <v>-1.7331866319056799</v>
      </c>
      <c r="Y49">
        <v>3.8936180494116899</v>
      </c>
      <c r="Z49">
        <v>80.508371993140926</v>
      </c>
    </row>
    <row r="50" spans="1:26" x14ac:dyDescent="0.25">
      <c r="A50" t="s">
        <v>23</v>
      </c>
      <c r="B50">
        <v>7.1659882015649101</v>
      </c>
      <c r="C50">
        <v>-3.7036659520453701</v>
      </c>
      <c r="D50">
        <v>2.9792296206273101</v>
      </c>
      <c r="E50">
        <v>6.1012755455540502</v>
      </c>
      <c r="F50">
        <v>8.5722052915981006</v>
      </c>
      <c r="G50">
        <v>4.8720932685075304</v>
      </c>
      <c r="H50">
        <v>5.6483432938378098</v>
      </c>
      <c r="I50">
        <v>4.5729862709655196</v>
      </c>
      <c r="J50">
        <v>-3.4154926944628099</v>
      </c>
      <c r="K50">
        <v>-2.84677194924208</v>
      </c>
      <c r="L50">
        <v>12.5085215498552</v>
      </c>
      <c r="M50">
        <v>4.0233816486589697</v>
      </c>
      <c r="N50">
        <v>1.90446223662212</v>
      </c>
      <c r="O50">
        <v>3.1339791489926498</v>
      </c>
      <c r="P50">
        <v>2.5947231548674399</v>
      </c>
      <c r="Q50">
        <v>1.7623246863890201</v>
      </c>
      <c r="R50">
        <v>2.2533284005262599</v>
      </c>
      <c r="S50">
        <v>4.4203736042448298</v>
      </c>
      <c r="T50">
        <v>3.0320299723957</v>
      </c>
      <c r="U50">
        <v>0.19199389724100499</v>
      </c>
      <c r="V50">
        <v>-3.5694959814691298</v>
      </c>
      <c r="W50">
        <v>14.361966117120399</v>
      </c>
      <c r="X50">
        <v>0.45868280470531902</v>
      </c>
      <c r="Y50">
        <v>-3.7181363895234401</v>
      </c>
      <c r="Z50">
        <v>73.304325747531323</v>
      </c>
    </row>
    <row r="51" spans="1:26" x14ac:dyDescent="0.25">
      <c r="A51" t="s">
        <v>24</v>
      </c>
      <c r="B51">
        <v>0.925762908727918</v>
      </c>
      <c r="C51">
        <v>3.1136971760366201</v>
      </c>
      <c r="D51">
        <v>4.4552191518299704</v>
      </c>
      <c r="E51">
        <v>4.9257391807250004</v>
      </c>
      <c r="F51">
        <v>5.4109602863182902</v>
      </c>
      <c r="G51">
        <v>6.47448727865007</v>
      </c>
      <c r="H51">
        <v>8.9206796292442299</v>
      </c>
      <c r="I51">
        <v>10.7863007435509</v>
      </c>
      <c r="J51">
        <v>5.2730610074464703</v>
      </c>
      <c r="K51">
        <v>-5.6311756157741701</v>
      </c>
      <c r="L51">
        <v>6.6911089943517199</v>
      </c>
      <c r="M51">
        <v>2.4302694126351301</v>
      </c>
      <c r="N51">
        <v>1.3964638266671601</v>
      </c>
      <c r="O51">
        <v>0.59516796903803004</v>
      </c>
      <c r="P51">
        <v>2.6083256084462398</v>
      </c>
      <c r="Q51">
        <v>5.0769733222129103</v>
      </c>
      <c r="R51">
        <v>1.8164702093649101</v>
      </c>
      <c r="S51">
        <v>2.7152160788695698</v>
      </c>
      <c r="T51">
        <v>3.9180856150244199</v>
      </c>
      <c r="U51">
        <v>2.1375847884702801</v>
      </c>
      <c r="V51">
        <v>-2.66902860343937</v>
      </c>
      <c r="W51">
        <v>5.9517476757510401</v>
      </c>
      <c r="X51">
        <v>0.73622372063681496</v>
      </c>
      <c r="Y51">
        <v>1.4719677438708201</v>
      </c>
      <c r="Z51">
        <v>79.531308108654969</v>
      </c>
    </row>
    <row r="52" spans="1:26" x14ac:dyDescent="0.25">
      <c r="A52" t="s">
        <v>25</v>
      </c>
      <c r="B52">
        <v>3.19193822219124</v>
      </c>
      <c r="C52">
        <v>2.6668602251451299</v>
      </c>
      <c r="D52">
        <v>3.1546796579360601</v>
      </c>
      <c r="E52">
        <v>3.1328265851635102</v>
      </c>
      <c r="F52">
        <v>4.4790623334479296</v>
      </c>
      <c r="G52">
        <v>3.6743978877749002</v>
      </c>
      <c r="H52">
        <v>5.57135259587145</v>
      </c>
      <c r="I52">
        <v>6.5417728723189903</v>
      </c>
      <c r="J52">
        <v>3.2088934998699301</v>
      </c>
      <c r="K52">
        <v>-8.4220899671715408</v>
      </c>
      <c r="L52">
        <v>0.67216813288158095</v>
      </c>
      <c r="M52">
        <v>0.44656267469027</v>
      </c>
      <c r="N52">
        <v>-3.1192255979142098</v>
      </c>
      <c r="O52">
        <v>-0.95829407748922801</v>
      </c>
      <c r="P52">
        <v>2.66181210866741</v>
      </c>
      <c r="Q52">
        <v>2.3163474275197902</v>
      </c>
      <c r="R52">
        <v>2.9590232359559101</v>
      </c>
      <c r="S52">
        <v>5.1058962301325703</v>
      </c>
      <c r="T52">
        <v>4.0013047480868398</v>
      </c>
      <c r="U52">
        <v>2.78704376998884</v>
      </c>
      <c r="V52">
        <v>-4.72524690259519</v>
      </c>
      <c r="W52">
        <v>8.0986339876778697</v>
      </c>
      <c r="X52">
        <v>2.5048842985086099</v>
      </c>
      <c r="Y52">
        <v>1.7088050804977499</v>
      </c>
      <c r="Z52">
        <v>51.659409029156407</v>
      </c>
    </row>
    <row r="53" spans="1:26" x14ac:dyDescent="0.25">
      <c r="A53" t="s">
        <v>21</v>
      </c>
      <c r="B53">
        <v>4.7313002600548701</v>
      </c>
      <c r="C53">
        <v>3.2003168306679299</v>
      </c>
      <c r="D53">
        <v>1.31414124256011</v>
      </c>
      <c r="E53">
        <v>1.0944116501322401</v>
      </c>
      <c r="F53">
        <v>1.3505868564124299</v>
      </c>
      <c r="G53">
        <v>1.81657725981398</v>
      </c>
      <c r="H53">
        <v>2.2995150637977302</v>
      </c>
      <c r="I53">
        <v>1.6346397975342899</v>
      </c>
      <c r="J53">
        <v>-0.82764845058311198</v>
      </c>
      <c r="K53">
        <v>-4.6167296315360602</v>
      </c>
      <c r="L53">
        <v>-0.36566008497548802</v>
      </c>
      <c r="M53">
        <v>-0.99235865928449096</v>
      </c>
      <c r="N53">
        <v>-2.9281589642460202</v>
      </c>
      <c r="O53">
        <v>-1.10380029407226</v>
      </c>
      <c r="P53">
        <v>1.8244365961626601</v>
      </c>
      <c r="Q53">
        <v>4.1416376696037496</v>
      </c>
      <c r="R53">
        <v>2.8283012783616899</v>
      </c>
      <c r="S53">
        <v>2.6549432977626899</v>
      </c>
      <c r="T53">
        <v>1.94791740493265</v>
      </c>
      <c r="U53">
        <v>1.23200702842887</v>
      </c>
      <c r="V53">
        <v>-11.3740694030146</v>
      </c>
      <c r="W53">
        <v>6.5703339647143704</v>
      </c>
      <c r="X53">
        <v>5.4160055219785903</v>
      </c>
      <c r="Y53">
        <v>1.4252746923600501</v>
      </c>
      <c r="Z53">
        <v>23.27392092756687</v>
      </c>
    </row>
    <row r="54" spans="1:26" x14ac:dyDescent="0.25">
      <c r="A54" t="s">
        <v>20</v>
      </c>
      <c r="B54">
        <v>4.4632388899029802</v>
      </c>
      <c r="C54">
        <v>1.0890080997824501</v>
      </c>
      <c r="D54">
        <v>1.9453616967342999</v>
      </c>
      <c r="E54">
        <v>1.5025567286916</v>
      </c>
      <c r="F54">
        <v>3.7705980438072402</v>
      </c>
      <c r="G54">
        <v>2.38288399867879</v>
      </c>
      <c r="H54">
        <v>4.0888658739563697</v>
      </c>
      <c r="I54">
        <v>2.4622755586229799</v>
      </c>
      <c r="J54">
        <v>-1.6919662769969099</v>
      </c>
      <c r="K54">
        <v>-5.0677602966205804</v>
      </c>
      <c r="L54">
        <v>4.8530168499854103</v>
      </c>
      <c r="M54">
        <v>2.3878021532351701</v>
      </c>
      <c r="N54">
        <v>-1.14844472752065</v>
      </c>
      <c r="O54">
        <v>0.28434802940120102</v>
      </c>
      <c r="P54">
        <v>1.28578395441843</v>
      </c>
      <c r="Q54">
        <v>3.3118678539184101</v>
      </c>
      <c r="R54">
        <v>1.0718085346819199</v>
      </c>
      <c r="S54">
        <v>0.46232033160890801</v>
      </c>
      <c r="T54">
        <v>0.72606267886841602</v>
      </c>
      <c r="U54">
        <v>1.5153306505011801</v>
      </c>
      <c r="V54">
        <v>-2.71099578243886</v>
      </c>
      <c r="W54">
        <v>5.3031636841172203</v>
      </c>
      <c r="X54">
        <v>0.77111841187522101</v>
      </c>
      <c r="Y54">
        <v>-0.78080736782678195</v>
      </c>
      <c r="Z54">
        <v>32.277437571384418</v>
      </c>
    </row>
    <row r="55" spans="1:26" x14ac:dyDescent="0.25">
      <c r="A55" t="s">
        <v>22</v>
      </c>
      <c r="B55">
        <v>3.37615729497902</v>
      </c>
      <c r="C55">
        <v>0.934949653145424</v>
      </c>
      <c r="D55">
        <v>-0.82628042816746505</v>
      </c>
      <c r="E55">
        <v>-0.77133316907219296</v>
      </c>
      <c r="F55">
        <v>1.99813205561574</v>
      </c>
      <c r="G55">
        <v>2.0935866074302698</v>
      </c>
      <c r="H55">
        <v>3.4225506597861401</v>
      </c>
      <c r="I55">
        <v>2.9918220230827899</v>
      </c>
      <c r="J55">
        <v>1.5099507937971599</v>
      </c>
      <c r="K55">
        <v>-3.5105588602019799</v>
      </c>
      <c r="L55">
        <v>2.1736381639678699</v>
      </c>
      <c r="M55">
        <v>0.68733986963795202</v>
      </c>
      <c r="N55">
        <v>0.110596604306124</v>
      </c>
      <c r="O55">
        <v>0.62836067543700802</v>
      </c>
      <c r="P55">
        <v>1.1086935944004599</v>
      </c>
      <c r="Q55">
        <v>0.49412982239276498</v>
      </c>
      <c r="R55">
        <v>0.96013167317825299</v>
      </c>
      <c r="S55">
        <v>0.42132616305647702</v>
      </c>
      <c r="T55">
        <v>2.10552472012415</v>
      </c>
      <c r="U55">
        <v>0.42308976822731398</v>
      </c>
      <c r="V55">
        <v>-2.85415832226442</v>
      </c>
      <c r="W55">
        <v>4.5881921178937004</v>
      </c>
      <c r="X55">
        <v>1.72060833518621</v>
      </c>
      <c r="Y55">
        <v>-0.54179429485856201</v>
      </c>
      <c r="Z55">
        <v>23.244655521080208</v>
      </c>
    </row>
    <row r="56" spans="1:26" x14ac:dyDescent="0.25">
      <c r="A56" t="s">
        <v>18</v>
      </c>
      <c r="B56">
        <v>3.2802347951487101</v>
      </c>
      <c r="C56">
        <v>2.3987316176482198</v>
      </c>
      <c r="D56">
        <v>5.1327500973225701</v>
      </c>
      <c r="E56">
        <v>6.1949362316833696</v>
      </c>
      <c r="F56">
        <v>5.3411620595106202</v>
      </c>
      <c r="G56">
        <v>3.2953757851134098</v>
      </c>
      <c r="H56">
        <v>4.1001177969151401</v>
      </c>
      <c r="I56">
        <v>4.5949892120282003</v>
      </c>
      <c r="J56">
        <v>0.94728017015650301</v>
      </c>
      <c r="K56">
        <v>-1.4213586669950899</v>
      </c>
      <c r="L56">
        <v>6.7947992864916698</v>
      </c>
      <c r="M56">
        <v>0.215045559628464</v>
      </c>
      <c r="N56">
        <v>6.58038336266074</v>
      </c>
      <c r="O56">
        <v>2.0861531602812802</v>
      </c>
      <c r="P56">
        <v>0.45053655380589003</v>
      </c>
      <c r="Q56">
        <v>2.65971785318402</v>
      </c>
      <c r="R56">
        <v>2.9694415529671798</v>
      </c>
      <c r="S56">
        <v>3.7379780028308698</v>
      </c>
      <c r="T56">
        <v>3.9076262417335501</v>
      </c>
      <c r="U56">
        <v>1.90583495758329</v>
      </c>
      <c r="V56">
        <v>-6.2063732642059897</v>
      </c>
      <c r="W56">
        <v>1.4466182685728499</v>
      </c>
      <c r="X56">
        <v>2.4513468687893001</v>
      </c>
      <c r="Y56">
        <v>1.9339987515475801</v>
      </c>
      <c r="Z56">
        <v>64.797326254402336</v>
      </c>
    </row>
    <row r="57" spans="1:26" x14ac:dyDescent="0.25">
      <c r="A57" t="s">
        <v>19</v>
      </c>
      <c r="B57">
        <v>5.5700746243134196</v>
      </c>
      <c r="C57">
        <v>-6.9154731589285898</v>
      </c>
      <c r="D57">
        <v>5.1718076708126297</v>
      </c>
      <c r="E57">
        <v>4.5424541302230796</v>
      </c>
      <c r="F57">
        <v>8.5779875150350495</v>
      </c>
      <c r="G57">
        <v>7.8337689138911797</v>
      </c>
      <c r="H57">
        <v>5.8550887657685804</v>
      </c>
      <c r="I57">
        <v>4.8746746955100804</v>
      </c>
      <c r="J57">
        <v>-0.45285369226851901</v>
      </c>
      <c r="K57">
        <v>-6.12785740051382</v>
      </c>
      <c r="L57">
        <v>6.7920823258673302</v>
      </c>
      <c r="M57">
        <v>9.5798639582012299</v>
      </c>
      <c r="N57">
        <v>3.46121242479198</v>
      </c>
      <c r="O57">
        <v>7.1013195432705798</v>
      </c>
      <c r="P57">
        <v>3.5334920403702799</v>
      </c>
      <c r="Q57">
        <v>4.6785959933808998</v>
      </c>
      <c r="R57">
        <v>1.94225845985372</v>
      </c>
      <c r="S57">
        <v>6.1169588882557804</v>
      </c>
      <c r="T57">
        <v>1.6281758529049699</v>
      </c>
      <c r="U57">
        <v>-0.61262974108080903</v>
      </c>
      <c r="V57">
        <v>0.876219397794188</v>
      </c>
      <c r="W57">
        <v>10.429406071213601</v>
      </c>
      <c r="X57">
        <v>4.49945877235265</v>
      </c>
      <c r="Y57">
        <v>4.6848743835485998</v>
      </c>
      <c r="Z57">
        <v>93.6409604345681</v>
      </c>
    </row>
    <row r="58" spans="1:26" x14ac:dyDescent="0.25">
      <c r="A58" t="s">
        <v>14</v>
      </c>
      <c r="B58">
        <v>3.9694858348566799</v>
      </c>
      <c r="C58">
        <v>2.17865895350474</v>
      </c>
      <c r="D58">
        <v>1.3656328687566801</v>
      </c>
      <c r="E58">
        <v>2.6731433525175601</v>
      </c>
      <c r="F58">
        <v>1.8766323416763799</v>
      </c>
      <c r="G58">
        <v>2.0297027537216499</v>
      </c>
      <c r="H58">
        <v>1.63090511910372</v>
      </c>
      <c r="I58">
        <v>1.82887797708067</v>
      </c>
      <c r="J58">
        <v>-1.03079049724413</v>
      </c>
      <c r="K58">
        <v>-5.3392735409909404</v>
      </c>
      <c r="L58">
        <v>1.4350526082116599</v>
      </c>
      <c r="M58">
        <v>0.35103990420046199</v>
      </c>
      <c r="N58">
        <v>0.80560075750327098</v>
      </c>
      <c r="O58">
        <v>1.1204041956211199</v>
      </c>
      <c r="P58">
        <v>2.4374376547929999</v>
      </c>
      <c r="Q58">
        <v>1.4161080514903099</v>
      </c>
      <c r="R58">
        <v>1.1521911115616801</v>
      </c>
      <c r="S58">
        <v>1.9614465010448601</v>
      </c>
      <c r="T58">
        <v>0.79260446885429303</v>
      </c>
      <c r="U58">
        <v>1.0527939082916</v>
      </c>
      <c r="V58">
        <v>-10.6244160168382</v>
      </c>
      <c r="W58">
        <v>8.6649515002439603</v>
      </c>
      <c r="X58">
        <v>3.6564607998899401</v>
      </c>
      <c r="Y58">
        <v>-0.480663557904705</v>
      </c>
      <c r="Z58">
        <v>24.923987049946263</v>
      </c>
    </row>
    <row r="59" spans="1:26" x14ac:dyDescent="0.25">
      <c r="A59" t="s">
        <v>15</v>
      </c>
      <c r="B59">
        <v>2.9258625449025701</v>
      </c>
      <c r="C59">
        <v>-3.8731925617184998E-2</v>
      </c>
      <c r="D59">
        <v>0.76123685329467605</v>
      </c>
      <c r="E59">
        <v>1.9158824777433701</v>
      </c>
      <c r="F59">
        <v>2.8911109123346299</v>
      </c>
      <c r="G59">
        <v>2.53411070718666</v>
      </c>
      <c r="H59">
        <v>1.7981987474099801</v>
      </c>
      <c r="I59">
        <v>1.03834382171036</v>
      </c>
      <c r="J59">
        <v>-0.82888812107232501</v>
      </c>
      <c r="K59">
        <v>-3.4268319425401299</v>
      </c>
      <c r="L59">
        <v>1.8467404584986</v>
      </c>
      <c r="M59">
        <v>0.82892617390046996</v>
      </c>
      <c r="N59">
        <v>1.5414662344996899</v>
      </c>
      <c r="O59">
        <v>1.41274167855774</v>
      </c>
      <c r="P59">
        <v>1.7746998074879099</v>
      </c>
      <c r="Q59">
        <v>2.1904305658238599</v>
      </c>
      <c r="R59">
        <v>1.08425738313417</v>
      </c>
      <c r="S59">
        <v>1.8114763650572001</v>
      </c>
      <c r="T59">
        <v>2.4258772176447501</v>
      </c>
      <c r="U59">
        <v>2.11773982573379</v>
      </c>
      <c r="V59">
        <v>-3.1064904625276899</v>
      </c>
      <c r="W59">
        <v>5.8883142652937899</v>
      </c>
      <c r="X59">
        <v>2.1363616298627801</v>
      </c>
      <c r="Y59">
        <v>2.3826693807721102</v>
      </c>
      <c r="Z59">
        <v>33.905504599091771</v>
      </c>
    </row>
    <row r="60" spans="1:26" x14ac:dyDescent="0.25">
      <c r="A60" t="s">
        <v>9</v>
      </c>
      <c r="B60">
        <v>-2.29597374962009</v>
      </c>
      <c r="C60">
        <v>-4.0803897863005103</v>
      </c>
      <c r="D60">
        <v>-7.8619024062373297</v>
      </c>
      <c r="E60">
        <v>0.73403911191107296</v>
      </c>
      <c r="F60">
        <v>4.9414101650903604</v>
      </c>
      <c r="G60">
        <v>7.3743477202632901</v>
      </c>
      <c r="H60">
        <v>3.98038082694534</v>
      </c>
      <c r="I60">
        <v>6.3589275441386199</v>
      </c>
      <c r="J60">
        <v>6.9481722572198397</v>
      </c>
      <c r="K60">
        <v>3.9942614656581301</v>
      </c>
      <c r="L60">
        <v>7.5276461782301904</v>
      </c>
      <c r="M60">
        <v>4.9015056135795296</v>
      </c>
      <c r="N60">
        <v>3.2719608293143798</v>
      </c>
      <c r="O60">
        <v>4.3267542196154798</v>
      </c>
      <c r="P60">
        <v>2.9005302021196</v>
      </c>
      <c r="Q60">
        <v>2.25745559950212E-2</v>
      </c>
      <c r="R60">
        <v>1.35078031255824</v>
      </c>
      <c r="S60">
        <v>1.4654907881729999</v>
      </c>
      <c r="T60">
        <v>-1.51010758383734E-2</v>
      </c>
      <c r="U60">
        <v>0.84896798919122296</v>
      </c>
      <c r="V60">
        <v>-7.4281552977205498</v>
      </c>
      <c r="W60">
        <v>5.6325326896611498</v>
      </c>
      <c r="X60">
        <v>4.8857987224683903</v>
      </c>
      <c r="Y60">
        <v>0.45136947734680199</v>
      </c>
      <c r="Z60">
        <v>50.235928353762802</v>
      </c>
    </row>
    <row r="61" spans="1:26" x14ac:dyDescent="0.25">
      <c r="A61" t="s">
        <v>16</v>
      </c>
      <c r="B61">
        <v>1.74180263726988</v>
      </c>
      <c r="C61">
        <v>1.5183409259180101</v>
      </c>
      <c r="D61">
        <v>-10.488745515467</v>
      </c>
      <c r="E61">
        <v>-9.3835108898394708</v>
      </c>
      <c r="F61">
        <v>16.2742041798105</v>
      </c>
      <c r="G61">
        <v>8.4853116978463792</v>
      </c>
      <c r="H61">
        <v>8.1009291008658</v>
      </c>
      <c r="I61">
        <v>7.0831915520152204</v>
      </c>
      <c r="J61">
        <v>3.7605028775953699</v>
      </c>
      <c r="K61">
        <v>-4.5114030823228903</v>
      </c>
      <c r="L61">
        <v>-2.7702325150484102</v>
      </c>
      <c r="M61">
        <v>2.8481775528895499</v>
      </c>
      <c r="N61">
        <v>4.3085232693992204</v>
      </c>
      <c r="O61">
        <v>0.12892290442148599</v>
      </c>
      <c r="P61">
        <v>-4.9804113790396203</v>
      </c>
      <c r="Z61">
        <v>22.115603316314026</v>
      </c>
    </row>
    <row r="62" spans="1:26" x14ac:dyDescent="0.25">
      <c r="A62" t="s">
        <v>17</v>
      </c>
      <c r="B62">
        <v>5.5879295041075601</v>
      </c>
      <c r="C62">
        <v>5.0824010054619304</v>
      </c>
      <c r="D62">
        <v>5.2371769230622203</v>
      </c>
      <c r="E62">
        <v>5.8355610074673798</v>
      </c>
      <c r="F62">
        <v>6.4987874075118697</v>
      </c>
      <c r="G62">
        <v>6.5533971144111698</v>
      </c>
      <c r="H62">
        <v>5.5723974994652803</v>
      </c>
      <c r="I62">
        <v>5.2523121334174796</v>
      </c>
      <c r="J62">
        <v>3.74838603993047</v>
      </c>
      <c r="K62">
        <v>3.8323745956754198</v>
      </c>
      <c r="L62">
        <v>5.2122768360480798</v>
      </c>
      <c r="M62">
        <v>5.1944977799937</v>
      </c>
      <c r="N62">
        <v>4.27630507146044</v>
      </c>
      <c r="O62">
        <v>4.3149888036992099</v>
      </c>
      <c r="P62">
        <v>5.1378409936445602</v>
      </c>
      <c r="Q62">
        <v>5.6689647854156098</v>
      </c>
      <c r="R62">
        <v>5.35427097241221</v>
      </c>
      <c r="S62">
        <v>5.6178786506313303</v>
      </c>
      <c r="T62">
        <v>6.2809582820196699</v>
      </c>
      <c r="U62">
        <v>6.3246488658190696</v>
      </c>
      <c r="V62">
        <v>1.91581434772165</v>
      </c>
      <c r="W62">
        <v>1.6665160417681899</v>
      </c>
      <c r="X62">
        <v>7.3148094779642703</v>
      </c>
      <c r="Y62">
        <v>4.3434808199842099</v>
      </c>
      <c r="Z62">
        <v>121.82397495909298</v>
      </c>
    </row>
    <row r="63" spans="1:26" x14ac:dyDescent="0.25">
      <c r="A63" t="s">
        <v>72</v>
      </c>
      <c r="B63">
        <v>231.19069872149177</v>
      </c>
      <c r="C63">
        <v>101.55339882646244</v>
      </c>
      <c r="D63">
        <v>110.70917541299464</v>
      </c>
      <c r="E63">
        <v>156.31796172517258</v>
      </c>
      <c r="F63">
        <v>277.74529067908674</v>
      </c>
      <c r="G63">
        <v>239.78488383212886</v>
      </c>
      <c r="H63">
        <v>280.44173123022586</v>
      </c>
      <c r="I63">
        <v>267.21740937853377</v>
      </c>
      <c r="J63">
        <v>96.996749130408617</v>
      </c>
      <c r="K63">
        <v>-189.99798693477848</v>
      </c>
      <c r="L63">
        <v>174.29195135779236</v>
      </c>
      <c r="M63">
        <v>149.39184807514229</v>
      </c>
      <c r="N63">
        <v>80.482189090920883</v>
      </c>
      <c r="O63">
        <v>94.651786933755758</v>
      </c>
      <c r="P63">
        <v>114.4396985082234</v>
      </c>
      <c r="Q63">
        <v>139.78530349190262</v>
      </c>
      <c r="R63">
        <v>113.55060033178907</v>
      </c>
      <c r="S63">
        <v>165.01826788624214</v>
      </c>
      <c r="T63">
        <v>137.66100864412184</v>
      </c>
      <c r="U63">
        <v>96.675211513508245</v>
      </c>
      <c r="V63">
        <v>-276.99996298686898</v>
      </c>
      <c r="W63">
        <v>370.12792371349951</v>
      </c>
      <c r="X63">
        <v>189.29355347538385</v>
      </c>
      <c r="Y63">
        <v>47.205508165394157</v>
      </c>
      <c r="Z63">
        <v>3167.5342002025341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557D4-6A2A-4062-9B6B-83BBD173810F}">
  <sheetPr>
    <tabColor rgb="FFFFC000"/>
  </sheetPr>
  <dimension ref="A1:AE61"/>
  <sheetViews>
    <sheetView topLeftCell="W29" workbookViewId="0">
      <selection activeCell="AD5" sqref="AD5:AD62"/>
    </sheetView>
  </sheetViews>
  <sheetFormatPr baseColWidth="10" defaultRowHeight="15" x14ac:dyDescent="0.25"/>
  <sheetData>
    <row r="1" spans="1:31" x14ac:dyDescent="0.25">
      <c r="A1" t="s">
        <v>8</v>
      </c>
      <c r="B1" t="s">
        <v>75</v>
      </c>
    </row>
    <row r="3" spans="1:31" x14ac:dyDescent="0.25">
      <c r="A3" t="s">
        <v>74</v>
      </c>
      <c r="B3" t="s">
        <v>73</v>
      </c>
    </row>
    <row r="4" spans="1:31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31" x14ac:dyDescent="0.25">
      <c r="A5" t="s">
        <v>68</v>
      </c>
      <c r="B5">
        <v>22281.381429995799</v>
      </c>
      <c r="C5">
        <v>21066.458129043302</v>
      </c>
      <c r="D5">
        <v>18571.702047127401</v>
      </c>
      <c r="E5">
        <v>20005.1385113465</v>
      </c>
      <c r="F5">
        <v>21591.449396517</v>
      </c>
      <c r="G5">
        <v>23262.4075792816</v>
      </c>
      <c r="H5">
        <v>24877.249392229602</v>
      </c>
      <c r="I5">
        <v>26850.664593277099</v>
      </c>
      <c r="J5">
        <v>27658.4853446831</v>
      </c>
      <c r="K5">
        <v>25747.197680999499</v>
      </c>
      <c r="L5">
        <v>28056.2570212342</v>
      </c>
      <c r="M5">
        <v>29425.759387608399</v>
      </c>
      <c r="N5">
        <v>28825.9666865361</v>
      </c>
      <c r="O5">
        <v>29227.660181843701</v>
      </c>
      <c r="P5">
        <v>28200.815257131799</v>
      </c>
      <c r="Q5">
        <v>28669.2061336796</v>
      </c>
      <c r="R5">
        <v>27802.105720149801</v>
      </c>
      <c r="S5">
        <v>28334.904184742001</v>
      </c>
      <c r="T5">
        <v>27367.115094108001</v>
      </c>
      <c r="U5">
        <v>26629.5529419501</v>
      </c>
      <c r="V5">
        <v>23877.0931404855</v>
      </c>
      <c r="W5">
        <v>26300.274261175</v>
      </c>
      <c r="X5">
        <v>27627.963476463599</v>
      </c>
      <c r="Y5">
        <v>27104.979997816899</v>
      </c>
      <c r="Z5">
        <v>619361.78758942545</v>
      </c>
      <c r="AB5">
        <f>AVERAGE(B5:Y5)</f>
        <v>25806.741149559395</v>
      </c>
      <c r="AC5" t="s">
        <v>68</v>
      </c>
      <c r="AD5" s="3">
        <f>(((L5/B5))^(1/10))-1</f>
        <v>2.3313637243561836E-2</v>
      </c>
      <c r="AE5" s="3">
        <f>(((Y5/L5))^(1/13))-1</f>
        <v>-2.649882772327472E-3</v>
      </c>
    </row>
    <row r="6" spans="1:31" x14ac:dyDescent="0.25">
      <c r="A6" t="s">
        <v>69</v>
      </c>
      <c r="B6">
        <v>45013.009953515197</v>
      </c>
      <c r="C6">
        <v>45338.683425956799</v>
      </c>
      <c r="D6">
        <v>46609.744179878697</v>
      </c>
      <c r="E6">
        <v>47500.835116364702</v>
      </c>
      <c r="F6">
        <v>48980.893175443198</v>
      </c>
      <c r="G6">
        <v>49914.514635182903</v>
      </c>
      <c r="H6">
        <v>50602.350251033698</v>
      </c>
      <c r="I6">
        <v>51562.094012556001</v>
      </c>
      <c r="J6">
        <v>52351.587049581402</v>
      </c>
      <c r="K6">
        <v>52254.322732685199</v>
      </c>
      <c r="L6">
        <v>52589.818208192199</v>
      </c>
      <c r="M6">
        <v>53112.532869285496</v>
      </c>
      <c r="N6">
        <v>54237.591907586597</v>
      </c>
      <c r="O6">
        <v>54699.351615615597</v>
      </c>
      <c r="P6">
        <v>55288.115337800496</v>
      </c>
      <c r="Q6">
        <v>55691.698849996203</v>
      </c>
      <c r="R6">
        <v>56341.518161650303</v>
      </c>
      <c r="S6">
        <v>56684.647333814297</v>
      </c>
      <c r="T6">
        <v>57450.3810363952</v>
      </c>
      <c r="U6">
        <v>57837.060687640696</v>
      </c>
      <c r="V6">
        <v>57059.743644132403</v>
      </c>
      <c r="W6">
        <v>58182.336947750096</v>
      </c>
      <c r="X6">
        <v>59883.647035607297</v>
      </c>
      <c r="Y6">
        <v>60447.160878342402</v>
      </c>
      <c r="Z6">
        <v>1279633.6390460068</v>
      </c>
      <c r="AC6" t="s">
        <v>69</v>
      </c>
      <c r="AD6" s="3">
        <f t="shared" ref="AD6:AD61" si="0">(((L6/B6))^(1/10))-1</f>
        <v>1.5678738891601762E-2</v>
      </c>
      <c r="AE6" s="3">
        <f t="shared" ref="AE6:AE61" si="1">(((Y6/L6))^(1/13))-1</f>
        <v>1.0768885238431336E-2</v>
      </c>
    </row>
    <row r="7" spans="1:31" x14ac:dyDescent="0.25">
      <c r="A7" t="s">
        <v>70</v>
      </c>
      <c r="B7">
        <v>53599.609169651703</v>
      </c>
      <c r="C7">
        <v>54098.025596484003</v>
      </c>
      <c r="D7">
        <v>54631.600852216499</v>
      </c>
      <c r="E7">
        <v>54986.743552231303</v>
      </c>
      <c r="F7">
        <v>56048.4807371446</v>
      </c>
      <c r="G7">
        <v>56959.638031469301</v>
      </c>
      <c r="H7">
        <v>58531.509753925799</v>
      </c>
      <c r="I7">
        <v>60544.6339669472</v>
      </c>
      <c r="J7">
        <v>61232.548932580903</v>
      </c>
      <c r="K7">
        <v>58882.141748544098</v>
      </c>
      <c r="L7">
        <v>59803.3726508486</v>
      </c>
      <c r="M7">
        <v>61346.959431028998</v>
      </c>
      <c r="N7">
        <v>61451.549024420601</v>
      </c>
      <c r="O7">
        <v>60937.256759887503</v>
      </c>
      <c r="P7">
        <v>60919.840695831699</v>
      </c>
      <c r="Q7">
        <v>61025.999308677303</v>
      </c>
      <c r="R7">
        <v>61647.779336897998</v>
      </c>
      <c r="S7">
        <v>62612.1399231252</v>
      </c>
      <c r="T7">
        <v>63855.781498725599</v>
      </c>
      <c r="U7">
        <v>64688.143803284998</v>
      </c>
      <c r="V7">
        <v>60349.902134992</v>
      </c>
      <c r="W7">
        <v>62968.942231188899</v>
      </c>
      <c r="X7">
        <v>65661.452017269898</v>
      </c>
      <c r="Y7">
        <v>64394.090453735596</v>
      </c>
      <c r="Z7">
        <v>1441178.1416111102</v>
      </c>
      <c r="AC7" t="s">
        <v>70</v>
      </c>
      <c r="AD7" s="3">
        <f t="shared" si="0"/>
        <v>1.1012221182122861E-2</v>
      </c>
      <c r="AE7" s="3">
        <f t="shared" si="1"/>
        <v>5.7054302888195352E-3</v>
      </c>
    </row>
    <row r="8" spans="1:31" x14ac:dyDescent="0.25">
      <c r="A8" t="s">
        <v>67</v>
      </c>
      <c r="B8">
        <v>50477.9983048125</v>
      </c>
      <c r="C8">
        <v>50857.828918740299</v>
      </c>
      <c r="D8">
        <v>51494.565928972399</v>
      </c>
      <c r="E8">
        <v>51811.6965676494</v>
      </c>
      <c r="F8">
        <v>53430.2584111939</v>
      </c>
      <c r="G8">
        <v>54370.8748681406</v>
      </c>
      <c r="H8">
        <v>55392.054501152597</v>
      </c>
      <c r="I8">
        <v>57008.606100716002</v>
      </c>
      <c r="J8">
        <v>56812.7950392657</v>
      </c>
      <c r="K8">
        <v>55283.090899965398</v>
      </c>
      <c r="L8">
        <v>56265.0199437997</v>
      </c>
      <c r="M8">
        <v>56610.271605354799</v>
      </c>
      <c r="N8">
        <v>56381.693449858998</v>
      </c>
      <c r="O8">
        <v>56288.002224596203</v>
      </c>
      <c r="P8">
        <v>57028.062593973198</v>
      </c>
      <c r="Q8">
        <v>57534.4013067302</v>
      </c>
      <c r="R8">
        <v>57927.047557329497</v>
      </c>
      <c r="S8">
        <v>58555.1572265551</v>
      </c>
      <c r="T8">
        <v>59383.882202380802</v>
      </c>
      <c r="U8">
        <v>60506.6647492091</v>
      </c>
      <c r="V8">
        <v>57358.841759734503</v>
      </c>
      <c r="W8">
        <v>60666.336451884199</v>
      </c>
      <c r="X8">
        <v>62725.623762226001</v>
      </c>
      <c r="Y8">
        <v>62933.096004293999</v>
      </c>
      <c r="Z8">
        <v>1357103.870378535</v>
      </c>
      <c r="AC8" t="s">
        <v>67</v>
      </c>
      <c r="AD8" s="3">
        <f t="shared" si="0"/>
        <v>1.0912659647803302E-2</v>
      </c>
      <c r="AE8" s="3">
        <f t="shared" si="1"/>
        <v>8.6525392390128797E-3</v>
      </c>
    </row>
    <row r="9" spans="1:31" x14ac:dyDescent="0.25">
      <c r="A9" t="s">
        <v>62</v>
      </c>
      <c r="B9">
        <v>14005.347188510999</v>
      </c>
      <c r="C9">
        <v>14016.131378312301</v>
      </c>
      <c r="D9">
        <v>14265.9048781372</v>
      </c>
      <c r="E9">
        <v>14259.3664100397</v>
      </c>
      <c r="F9">
        <v>14911.260962017401</v>
      </c>
      <c r="G9">
        <v>15221.0138293364</v>
      </c>
      <c r="H9">
        <v>15657.479572914401</v>
      </c>
      <c r="I9">
        <v>16440.583741308899</v>
      </c>
      <c r="J9">
        <v>17113.3679835935</v>
      </c>
      <c r="K9">
        <v>16939.440782348502</v>
      </c>
      <c r="L9">
        <v>18062.1581117688</v>
      </c>
      <c r="M9">
        <v>18627.810454386501</v>
      </c>
      <c r="N9">
        <v>18832.219554170199</v>
      </c>
      <c r="O9">
        <v>19241.505983067102</v>
      </c>
      <c r="P9">
        <v>19183.172746126002</v>
      </c>
      <c r="Q9">
        <v>18357.069063224899</v>
      </c>
      <c r="R9">
        <v>17620.927244782299</v>
      </c>
      <c r="S9">
        <v>17724.479959155098</v>
      </c>
      <c r="T9">
        <v>17917.749213727599</v>
      </c>
      <c r="U9">
        <v>18018.620916551299</v>
      </c>
      <c r="V9">
        <v>17327.515726292499</v>
      </c>
      <c r="W9">
        <v>18075.7060063108</v>
      </c>
      <c r="X9">
        <v>18554.046184297698</v>
      </c>
      <c r="Y9">
        <v>19018.239069749601</v>
      </c>
      <c r="Z9">
        <v>409391.1169601297</v>
      </c>
      <c r="AC9" t="s">
        <v>62</v>
      </c>
      <c r="AD9" s="3">
        <f t="shared" si="0"/>
        <v>2.5764290386268485E-2</v>
      </c>
      <c r="AE9" s="3">
        <f t="shared" si="1"/>
        <v>3.9755301628665585E-3</v>
      </c>
    </row>
    <row r="10" spans="1:31" x14ac:dyDescent="0.25">
      <c r="A10" t="s">
        <v>66</v>
      </c>
      <c r="B10">
        <v>12559.6680364124</v>
      </c>
      <c r="C10">
        <v>13302.090150095501</v>
      </c>
      <c r="D10">
        <v>14392.225229658099</v>
      </c>
      <c r="E10">
        <v>15266.417875319001</v>
      </c>
      <c r="F10">
        <v>16383.523395219499</v>
      </c>
      <c r="G10">
        <v>17672.169742594098</v>
      </c>
      <c r="H10">
        <v>19018.2322678952</v>
      </c>
      <c r="I10">
        <v>20433.471859235699</v>
      </c>
      <c r="J10">
        <v>21838.707652518999</v>
      </c>
      <c r="K10">
        <v>21244.167470621502</v>
      </c>
      <c r="L10">
        <v>21717.0793788419</v>
      </c>
      <c r="M10">
        <v>22313.628077043701</v>
      </c>
      <c r="N10">
        <v>22611.306623731401</v>
      </c>
      <c r="O10">
        <v>22614.792960517701</v>
      </c>
      <c r="P10">
        <v>22959.6388322803</v>
      </c>
      <c r="Q10">
        <v>23891.6648876338</v>
      </c>
      <c r="R10">
        <v>24788.027431888699</v>
      </c>
      <c r="S10">
        <v>25655.403824083602</v>
      </c>
      <c r="T10">
        <v>26500.142333849199</v>
      </c>
      <c r="U10">
        <v>27698.479634738698</v>
      </c>
      <c r="V10">
        <v>26969.164513698299</v>
      </c>
      <c r="W10">
        <v>29305.354708255301</v>
      </c>
      <c r="X10">
        <v>31564.777538462698</v>
      </c>
      <c r="Y10">
        <v>33141.769917990801</v>
      </c>
      <c r="Z10">
        <v>533841.90434258617</v>
      </c>
      <c r="AC10" t="s">
        <v>66</v>
      </c>
      <c r="AD10" s="3">
        <f t="shared" si="0"/>
        <v>5.6287950873792125E-2</v>
      </c>
      <c r="AE10" s="3">
        <f t="shared" si="1"/>
        <v>3.3049420455729894E-2</v>
      </c>
    </row>
    <row r="11" spans="1:31" x14ac:dyDescent="0.25">
      <c r="A11" t="s">
        <v>64</v>
      </c>
      <c r="B11">
        <v>48345.3518124209</v>
      </c>
      <c r="C11">
        <v>48719.795956870999</v>
      </c>
      <c r="D11">
        <v>49639.608577521401</v>
      </c>
      <c r="E11">
        <v>50083.892303640998</v>
      </c>
      <c r="F11">
        <v>51153.591885367103</v>
      </c>
      <c r="G11">
        <v>52298.192678437001</v>
      </c>
      <c r="H11">
        <v>53136.481207341298</v>
      </c>
      <c r="I11">
        <v>53701.930336554098</v>
      </c>
      <c r="J11">
        <v>53651.8034598593</v>
      </c>
      <c r="K11">
        <v>51494.953682188199</v>
      </c>
      <c r="L11">
        <v>52499.8506560483</v>
      </c>
      <c r="M11">
        <v>53621.287964275398</v>
      </c>
      <c r="N11">
        <v>53974.567525160797</v>
      </c>
      <c r="O11">
        <v>54651.187375851703</v>
      </c>
      <c r="P11">
        <v>55661.365124693802</v>
      </c>
      <c r="Q11">
        <v>55598.818909050999</v>
      </c>
      <c r="R11">
        <v>55544.167298021399</v>
      </c>
      <c r="S11">
        <v>56549.219266433298</v>
      </c>
      <c r="T11">
        <v>57273.573246257998</v>
      </c>
      <c r="U11">
        <v>57519.653495669299</v>
      </c>
      <c r="V11">
        <v>54032.5783238699</v>
      </c>
      <c r="W11">
        <v>56575.017566485803</v>
      </c>
      <c r="X11">
        <v>57681.4385853329</v>
      </c>
      <c r="Y11">
        <v>56714.199913108103</v>
      </c>
      <c r="Z11">
        <v>1290122.527150461</v>
      </c>
      <c r="AC11" t="s">
        <v>64</v>
      </c>
      <c r="AD11" s="3">
        <f t="shared" si="0"/>
        <v>8.2780999362599417E-3</v>
      </c>
      <c r="AE11" s="3">
        <f t="shared" si="1"/>
        <v>5.9572352305787835E-3</v>
      </c>
    </row>
    <row r="12" spans="1:31" x14ac:dyDescent="0.25">
      <c r="A12" t="s">
        <v>63</v>
      </c>
      <c r="B12">
        <v>17532.803645245502</v>
      </c>
      <c r="C12">
        <v>17877.9810359002</v>
      </c>
      <c r="D12">
        <v>18248.040737700401</v>
      </c>
      <c r="E12">
        <v>18910.994849685299</v>
      </c>
      <c r="F12">
        <v>19970.5627347261</v>
      </c>
      <c r="G12">
        <v>20927.517828995398</v>
      </c>
      <c r="H12">
        <v>21977.979056884</v>
      </c>
      <c r="I12">
        <v>22888.7162082252</v>
      </c>
      <c r="J12">
        <v>23519.8856016889</v>
      </c>
      <c r="K12">
        <v>23023.472444647701</v>
      </c>
      <c r="L12">
        <v>24127.134247861599</v>
      </c>
      <c r="M12">
        <v>25377.1708049646</v>
      </c>
      <c r="N12">
        <v>26681.959438637299</v>
      </c>
      <c r="O12">
        <v>27303.086786896602</v>
      </c>
      <c r="P12">
        <v>27516.870526684499</v>
      </c>
      <c r="Q12">
        <v>27823.3271405007</v>
      </c>
      <c r="R12">
        <v>27970.7444523462</v>
      </c>
      <c r="S12">
        <v>27904.982389482098</v>
      </c>
      <c r="T12">
        <v>28504.906569583301</v>
      </c>
      <c r="U12">
        <v>28230.661999103999</v>
      </c>
      <c r="V12">
        <v>26259.8426100998</v>
      </c>
      <c r="W12">
        <v>29107.3294950456</v>
      </c>
      <c r="X12">
        <v>29559.6561552202</v>
      </c>
      <c r="Y12">
        <v>29464.896148873599</v>
      </c>
      <c r="Z12">
        <v>590710.52290899889</v>
      </c>
      <c r="AC12" t="s">
        <v>63</v>
      </c>
      <c r="AD12" s="3">
        <f t="shared" si="0"/>
        <v>3.2441462083612205E-2</v>
      </c>
      <c r="AE12" s="3">
        <f t="shared" si="1"/>
        <v>1.5492825727358772E-2</v>
      </c>
    </row>
    <row r="13" spans="1:31" x14ac:dyDescent="0.25">
      <c r="A13" t="s">
        <v>65</v>
      </c>
      <c r="B13">
        <v>3989.0618955585101</v>
      </c>
      <c r="C13">
        <v>4290.3020809292102</v>
      </c>
      <c r="D13">
        <v>4650.8968213911103</v>
      </c>
      <c r="E13">
        <v>5085.9778309676803</v>
      </c>
      <c r="F13">
        <v>5567.1906124780098</v>
      </c>
      <c r="G13">
        <v>6165.1834401752403</v>
      </c>
      <c r="H13">
        <v>6910.7578585477304</v>
      </c>
      <c r="I13">
        <v>7853.0963953811497</v>
      </c>
      <c r="J13">
        <v>8566.9648543521707</v>
      </c>
      <c r="K13">
        <v>9325.6507792553293</v>
      </c>
      <c r="L13">
        <v>10267.8056684447</v>
      </c>
      <c r="M13">
        <v>11187.1660995211</v>
      </c>
      <c r="N13">
        <v>11985.317124913099</v>
      </c>
      <c r="O13">
        <v>12830.3699705085</v>
      </c>
      <c r="P13">
        <v>13696.5174948492</v>
      </c>
      <c r="Q13">
        <v>14575.934789762399</v>
      </c>
      <c r="R13">
        <v>15485.213005460801</v>
      </c>
      <c r="S13">
        <v>16461.069929895999</v>
      </c>
      <c r="T13">
        <v>17490.166730180401</v>
      </c>
      <c r="U13">
        <v>18465.298945244998</v>
      </c>
      <c r="V13">
        <v>18833.784703311601</v>
      </c>
      <c r="W13">
        <v>20406.729658460499</v>
      </c>
      <c r="X13">
        <v>21011.6171309077</v>
      </c>
      <c r="Y13">
        <v>22137.599827746599</v>
      </c>
      <c r="Z13">
        <v>287239.67364824377</v>
      </c>
      <c r="AC13" t="s">
        <v>65</v>
      </c>
      <c r="AD13" s="3">
        <f t="shared" si="0"/>
        <v>9.9159420776600227E-2</v>
      </c>
      <c r="AE13" s="3">
        <f t="shared" si="1"/>
        <v>6.0878400081262107E-2</v>
      </c>
    </row>
    <row r="14" spans="1:31" x14ac:dyDescent="0.25">
      <c r="A14" t="s">
        <v>60</v>
      </c>
      <c r="B14">
        <v>10813.494225001101</v>
      </c>
      <c r="C14">
        <v>10823.4504878807</v>
      </c>
      <c r="D14">
        <v>10925.148560208199</v>
      </c>
      <c r="E14">
        <v>11183.291181979301</v>
      </c>
      <c r="F14">
        <v>11607.938493510501</v>
      </c>
      <c r="G14">
        <v>11999.2549591305</v>
      </c>
      <c r="H14">
        <v>12636.6246577724</v>
      </c>
      <c r="I14">
        <v>13318.303313816799</v>
      </c>
      <c r="J14">
        <v>13591.0609028567</v>
      </c>
      <c r="K14">
        <v>13586.7518430982</v>
      </c>
      <c r="L14">
        <v>14037.064266863899</v>
      </c>
      <c r="M14">
        <v>14852.3699513061</v>
      </c>
      <c r="N14">
        <v>15279.479000805801</v>
      </c>
      <c r="O14">
        <v>15912.2471293239</v>
      </c>
      <c r="P14">
        <v>16480.363147416101</v>
      </c>
      <c r="Q14">
        <v>16821.380140063098</v>
      </c>
      <c r="R14">
        <v>17003.244366485</v>
      </c>
      <c r="S14">
        <v>16986.033418284202</v>
      </c>
      <c r="T14">
        <v>17104.131354567799</v>
      </c>
      <c r="U14">
        <v>17336.771603055098</v>
      </c>
      <c r="V14">
        <v>15861.499929129501</v>
      </c>
      <c r="W14">
        <v>17383.090172829499</v>
      </c>
      <c r="X14">
        <v>18451.9459195936</v>
      </c>
      <c r="Y14">
        <v>18357.644642568601</v>
      </c>
      <c r="Z14">
        <v>352352.58366754663</v>
      </c>
      <c r="AC14" t="s">
        <v>60</v>
      </c>
      <c r="AD14" s="3">
        <f t="shared" si="0"/>
        <v>2.6433986335917758E-2</v>
      </c>
      <c r="AE14" s="3">
        <f t="shared" si="1"/>
        <v>2.0856426175811071E-2</v>
      </c>
    </row>
    <row r="15" spans="1:31" x14ac:dyDescent="0.25">
      <c r="A15" t="s">
        <v>61</v>
      </c>
      <c r="B15">
        <v>14018.7425010386</v>
      </c>
      <c r="C15">
        <v>14250.462749173899</v>
      </c>
      <c r="D15">
        <v>14495.9925105457</v>
      </c>
      <c r="E15">
        <v>14891.3398216888</v>
      </c>
      <c r="F15">
        <v>15323.2892201469</v>
      </c>
      <c r="G15">
        <v>15703.9624720506</v>
      </c>
      <c r="H15">
        <v>16620.135643206399</v>
      </c>
      <c r="I15">
        <v>17743.622738235601</v>
      </c>
      <c r="J15">
        <v>18334.013598861598</v>
      </c>
      <c r="K15">
        <v>17932.614780727501</v>
      </c>
      <c r="L15">
        <v>18660.919822278302</v>
      </c>
      <c r="M15">
        <v>19254.914215309898</v>
      </c>
      <c r="N15">
        <v>19960.793325303501</v>
      </c>
      <c r="O15">
        <v>20232.267079944599</v>
      </c>
      <c r="P15">
        <v>20724.921769342302</v>
      </c>
      <c r="Q15">
        <v>21254.7840932049</v>
      </c>
      <c r="R15">
        <v>21925.600080399901</v>
      </c>
      <c r="S15">
        <v>22622.5534502517</v>
      </c>
      <c r="T15">
        <v>23005.3121471794</v>
      </c>
      <c r="U15">
        <v>23364.783127573999</v>
      </c>
      <c r="V15">
        <v>22211.861392169802</v>
      </c>
      <c r="W15">
        <v>23852.9253020002</v>
      </c>
      <c r="X15">
        <v>24831.719348034199</v>
      </c>
      <c r="Y15">
        <v>25979.628615071699</v>
      </c>
      <c r="Z15">
        <v>467197.15980373998</v>
      </c>
      <c r="AC15" t="s">
        <v>61</v>
      </c>
      <c r="AD15" s="3">
        <f t="shared" si="0"/>
        <v>2.901664267853854E-2</v>
      </c>
      <c r="AE15" s="3">
        <f t="shared" si="1"/>
        <v>2.5779080241937313E-2</v>
      </c>
    </row>
    <row r="16" spans="1:31" x14ac:dyDescent="0.25">
      <c r="A16" t="s">
        <v>58</v>
      </c>
      <c r="B16">
        <v>21303.804749815299</v>
      </c>
      <c r="C16">
        <v>22828.2900978625</v>
      </c>
      <c r="D16">
        <v>24138.875715317699</v>
      </c>
      <c r="E16">
        <v>25475.7643106945</v>
      </c>
      <c r="F16">
        <v>26530.822939845199</v>
      </c>
      <c r="G16">
        <v>27643.2231429858</v>
      </c>
      <c r="H16">
        <v>29041.071930954298</v>
      </c>
      <c r="I16">
        <v>30513.989996592201</v>
      </c>
      <c r="J16">
        <v>31118.381856082</v>
      </c>
      <c r="K16">
        <v>29028.460819948599</v>
      </c>
      <c r="L16">
        <v>28706.235547758599</v>
      </c>
      <c r="M16">
        <v>28777.361393806801</v>
      </c>
      <c r="N16">
        <v>28262.5185544905</v>
      </c>
      <c r="O16">
        <v>28403.3756660773</v>
      </c>
      <c r="P16">
        <v>28462.423397381801</v>
      </c>
      <c r="Q16">
        <v>29473.5060870294</v>
      </c>
      <c r="R16">
        <v>30826.694415676498</v>
      </c>
      <c r="S16">
        <v>32353.797626192601</v>
      </c>
      <c r="T16">
        <v>33732.882036554503</v>
      </c>
      <c r="U16">
        <v>35125.578015686202</v>
      </c>
      <c r="V16">
        <v>32495.559276452099</v>
      </c>
      <c r="W16">
        <v>36932.668027286098</v>
      </c>
      <c r="X16">
        <v>39864.161818121102</v>
      </c>
      <c r="Y16">
        <v>41137.535763024702</v>
      </c>
      <c r="Z16">
        <v>722176.98318563635</v>
      </c>
      <c r="AC16" t="s">
        <v>58</v>
      </c>
      <c r="AD16" s="3">
        <f t="shared" si="0"/>
        <v>3.027202386448713E-2</v>
      </c>
      <c r="AE16" s="3">
        <f t="shared" si="1"/>
        <v>2.8064010535735928E-2</v>
      </c>
    </row>
    <row r="17" spans="1:31" x14ac:dyDescent="0.25">
      <c r="A17" t="s">
        <v>55</v>
      </c>
      <c r="B17">
        <v>29427.407001901702</v>
      </c>
      <c r="C17">
        <v>30399.873082159502</v>
      </c>
      <c r="D17">
        <v>30919.549665070201</v>
      </c>
      <c r="E17">
        <v>31949.2963172159</v>
      </c>
      <c r="F17">
        <v>33452.340805328597</v>
      </c>
      <c r="G17">
        <v>35535.748000893997</v>
      </c>
      <c r="H17">
        <v>37786.878176569902</v>
      </c>
      <c r="I17">
        <v>39629.006138639903</v>
      </c>
      <c r="J17">
        <v>40328.342661573799</v>
      </c>
      <c r="K17">
        <v>38175.142275381302</v>
      </c>
      <c r="L17">
        <v>39097.388625944302</v>
      </c>
      <c r="M17">
        <v>39708.162625724101</v>
      </c>
      <c r="N17">
        <v>39347.0492990118</v>
      </c>
      <c r="O17">
        <v>39317.553575801699</v>
      </c>
      <c r="P17">
        <v>40158.016429344301</v>
      </c>
      <c r="Q17">
        <v>42066.575982400696</v>
      </c>
      <c r="R17">
        <v>43069.465980016001</v>
      </c>
      <c r="S17">
        <v>45177.522606182902</v>
      </c>
      <c r="T17">
        <v>46301.082042021</v>
      </c>
      <c r="U17">
        <v>47763.616553947999</v>
      </c>
      <c r="V17">
        <v>45119.938737078402</v>
      </c>
      <c r="W17">
        <v>47796.0337408466</v>
      </c>
      <c r="X17">
        <v>48390.661678105702</v>
      </c>
      <c r="Y17">
        <v>47495.230564852398</v>
      </c>
      <c r="Z17">
        <v>958411.88256601267</v>
      </c>
      <c r="AC17" t="s">
        <v>55</v>
      </c>
      <c r="AD17" s="3">
        <f t="shared" si="0"/>
        <v>2.8820419993118351E-2</v>
      </c>
      <c r="AE17" s="3">
        <f t="shared" si="1"/>
        <v>1.5079770947560744E-2</v>
      </c>
    </row>
    <row r="18" spans="1:31" x14ac:dyDescent="0.25">
      <c r="A18" t="s">
        <v>51</v>
      </c>
      <c r="B18">
        <v>57431.970863336202</v>
      </c>
      <c r="C18">
        <v>57770.222062719899</v>
      </c>
      <c r="D18">
        <v>57848.845287235097</v>
      </c>
      <c r="E18">
        <v>57946.177115177103</v>
      </c>
      <c r="F18">
        <v>59401.256318027503</v>
      </c>
      <c r="G18">
        <v>60635.623249015996</v>
      </c>
      <c r="H18">
        <v>62743.232545225503</v>
      </c>
      <c r="I18">
        <v>63082.247723528097</v>
      </c>
      <c r="J18">
        <v>62451.0723646427</v>
      </c>
      <c r="K18">
        <v>59027.765106041297</v>
      </c>
      <c r="L18">
        <v>59696.354522515103</v>
      </c>
      <c r="M18">
        <v>60230.354187079698</v>
      </c>
      <c r="N18">
        <v>60000.8903048055</v>
      </c>
      <c r="O18">
        <v>60583.4065171435</v>
      </c>
      <c r="P18">
        <v>61047.333716894304</v>
      </c>
      <c r="Q18">
        <v>61893.246074363997</v>
      </c>
      <c r="R18">
        <v>63299.337767537101</v>
      </c>
      <c r="S18">
        <v>64815.730788187197</v>
      </c>
      <c r="T18">
        <v>65694.759137002693</v>
      </c>
      <c r="U18">
        <v>66580.188145931897</v>
      </c>
      <c r="V18">
        <v>65204.549347261098</v>
      </c>
      <c r="W18">
        <v>69715.180968093104</v>
      </c>
      <c r="X18">
        <v>70233.640255627499</v>
      </c>
      <c r="Y18">
        <v>71454.520926828103</v>
      </c>
      <c r="Z18">
        <v>1498787.9052942202</v>
      </c>
      <c r="AC18" t="s">
        <v>51</v>
      </c>
      <c r="AD18" s="3">
        <f t="shared" si="0"/>
        <v>3.8744687540355205E-3</v>
      </c>
      <c r="AE18" s="3">
        <f t="shared" si="1"/>
        <v>1.3926094098523523E-2</v>
      </c>
    </row>
    <row r="19" spans="1:31" x14ac:dyDescent="0.25">
      <c r="A19" t="s">
        <v>49</v>
      </c>
      <c r="B19">
        <v>9171.7510824383007</v>
      </c>
      <c r="C19">
        <v>9393.5430677334007</v>
      </c>
      <c r="D19">
        <v>9685.6215689776</v>
      </c>
      <c r="E19">
        <v>9790.7509449413192</v>
      </c>
      <c r="F19">
        <v>10277.9999522418</v>
      </c>
      <c r="G19">
        <v>10647.0863990257</v>
      </c>
      <c r="H19">
        <v>10920.0352242273</v>
      </c>
      <c r="I19">
        <v>10939.3443718859</v>
      </c>
      <c r="J19">
        <v>11460.4053920721</v>
      </c>
      <c r="K19">
        <v>11389.494856130899</v>
      </c>
      <c r="L19">
        <v>11651.342297097401</v>
      </c>
      <c r="M19">
        <v>12433.758980372</v>
      </c>
      <c r="N19">
        <v>12945.0771751419</v>
      </c>
      <c r="O19">
        <v>13672.3064630751</v>
      </c>
      <c r="P19">
        <v>14047.4913782084</v>
      </c>
      <c r="Q19">
        <v>13864.487705290199</v>
      </c>
      <c r="R19">
        <v>13569.7967959864</v>
      </c>
      <c r="S19">
        <v>14161.705181589299</v>
      </c>
      <c r="T19">
        <v>14066.176261246799</v>
      </c>
      <c r="U19">
        <v>13853.420778793299</v>
      </c>
      <c r="V19">
        <v>12425.017545046599</v>
      </c>
      <c r="W19">
        <v>13539.710848479401</v>
      </c>
      <c r="X19">
        <v>14263.2039756632</v>
      </c>
      <c r="Y19">
        <v>14472.316505389501</v>
      </c>
      <c r="Z19">
        <v>292641.84475105384</v>
      </c>
      <c r="AC19" t="s">
        <v>49</v>
      </c>
      <c r="AD19" s="3">
        <f t="shared" si="0"/>
        <v>2.4217920151160754E-2</v>
      </c>
      <c r="AE19" s="3">
        <f t="shared" si="1"/>
        <v>1.6818028369842475E-2</v>
      </c>
    </row>
    <row r="20" spans="1:31" x14ac:dyDescent="0.25">
      <c r="A20" t="s">
        <v>57</v>
      </c>
      <c r="B20">
        <v>20739.390935483301</v>
      </c>
      <c r="C20">
        <v>22099.339893054599</v>
      </c>
      <c r="D20">
        <v>23781.6520786291</v>
      </c>
      <c r="E20">
        <v>25749.280235439499</v>
      </c>
      <c r="F20">
        <v>27665.305781849602</v>
      </c>
      <c r="G20">
        <v>30473.778767321899</v>
      </c>
      <c r="H20">
        <v>33646.618230666601</v>
      </c>
      <c r="I20">
        <v>36359.466100515201</v>
      </c>
      <c r="J20">
        <v>34588.549099588199</v>
      </c>
      <c r="K20">
        <v>29585.1439449227</v>
      </c>
      <c r="L20">
        <v>30379.107835058301</v>
      </c>
      <c r="M20">
        <v>32789.431607374601</v>
      </c>
      <c r="N20">
        <v>34115.362216866502</v>
      </c>
      <c r="O20">
        <v>34838.363226855698</v>
      </c>
      <c r="P20">
        <v>36090.493562173702</v>
      </c>
      <c r="Q20">
        <v>36729.8083015722</v>
      </c>
      <c r="R20">
        <v>37854.845096105499</v>
      </c>
      <c r="S20">
        <v>39939.458094719397</v>
      </c>
      <c r="T20">
        <v>41273.198855759998</v>
      </c>
      <c r="U20">
        <v>42652.535685980198</v>
      </c>
      <c r="V20">
        <v>41340.7643728197</v>
      </c>
      <c r="W20">
        <v>44251.537498345599</v>
      </c>
      <c r="X20">
        <v>43690.413061113402</v>
      </c>
      <c r="Y20">
        <v>41706.519743106801</v>
      </c>
      <c r="Z20">
        <v>822340.3642253225</v>
      </c>
      <c r="AC20" t="s">
        <v>57</v>
      </c>
      <c r="AD20" s="3">
        <f t="shared" si="0"/>
        <v>3.8909940578416791E-2</v>
      </c>
      <c r="AE20" s="3">
        <f t="shared" si="1"/>
        <v>2.4676653402482041E-2</v>
      </c>
    </row>
    <row r="21" spans="1:31" x14ac:dyDescent="0.25">
      <c r="A21" t="s">
        <v>53</v>
      </c>
      <c r="B21">
        <v>46942.157195722597</v>
      </c>
      <c r="C21">
        <v>48071.974706296503</v>
      </c>
      <c r="D21">
        <v>48764.765870194999</v>
      </c>
      <c r="E21">
        <v>49627.334088561402</v>
      </c>
      <c r="F21">
        <v>51465.449883126799</v>
      </c>
      <c r="G21">
        <v>52714.082304977201</v>
      </c>
      <c r="H21">
        <v>54622.930355133598</v>
      </c>
      <c r="I21">
        <v>57280.7299598713</v>
      </c>
      <c r="J21">
        <v>57461.920656632698</v>
      </c>
      <c r="K21">
        <v>52569.265432714601</v>
      </c>
      <c r="L21">
        <v>53987.256425047599</v>
      </c>
      <c r="M21">
        <v>55022.113068792103</v>
      </c>
      <c r="N21">
        <v>53927.012913262603</v>
      </c>
      <c r="O21">
        <v>53153.213353211097</v>
      </c>
      <c r="P21">
        <v>52680.786781909897</v>
      </c>
      <c r="Q21">
        <v>52752.499791558002</v>
      </c>
      <c r="R21">
        <v>53953.961087107396</v>
      </c>
      <c r="S21">
        <v>55605.616910921701</v>
      </c>
      <c r="T21">
        <v>56194.393254079499</v>
      </c>
      <c r="U21">
        <v>56890.147813087402</v>
      </c>
      <c r="V21">
        <v>55393.368759838602</v>
      </c>
      <c r="W21">
        <v>56790.376617768903</v>
      </c>
      <c r="X21">
        <v>57457.3994740169</v>
      </c>
      <c r="Y21">
        <v>56505.838655309497</v>
      </c>
      <c r="Z21">
        <v>1289834.5953591431</v>
      </c>
      <c r="AC21" t="s">
        <v>53</v>
      </c>
      <c r="AD21" s="3">
        <f t="shared" si="0"/>
        <v>1.408141013649189E-2</v>
      </c>
      <c r="AE21" s="3">
        <f t="shared" si="1"/>
        <v>3.5135384607343223E-3</v>
      </c>
    </row>
    <row r="22" spans="1:31" x14ac:dyDescent="0.25">
      <c r="A22" t="s">
        <v>50</v>
      </c>
      <c r="B22">
        <v>45922.478936090898</v>
      </c>
      <c r="C22">
        <v>46454.870688558898</v>
      </c>
      <c r="D22">
        <v>46610.782058116798</v>
      </c>
      <c r="E22">
        <v>46730.975790495198</v>
      </c>
      <c r="F22">
        <v>47720.441340635698</v>
      </c>
      <c r="G22">
        <v>48257.465080950198</v>
      </c>
      <c r="H22">
        <v>49223.247198462901</v>
      </c>
      <c r="I22">
        <v>50157.783738705897</v>
      </c>
      <c r="J22">
        <v>50068.296899945701</v>
      </c>
      <c r="K22">
        <v>48404.965785980297</v>
      </c>
      <c r="L22">
        <v>49130.4229296548</v>
      </c>
      <c r="M22">
        <v>50085.682980367099</v>
      </c>
      <c r="N22">
        <v>49935.626913624401</v>
      </c>
      <c r="O22">
        <v>50066.530437797497</v>
      </c>
      <c r="P22">
        <v>50326.567863803502</v>
      </c>
      <c r="Q22">
        <v>50682.895352860898</v>
      </c>
      <c r="R22">
        <v>50984.075295357499</v>
      </c>
      <c r="S22">
        <v>51895.566291310199</v>
      </c>
      <c r="T22">
        <v>52560.953619793101</v>
      </c>
      <c r="U22">
        <v>53448.554886719103</v>
      </c>
      <c r="V22">
        <v>49311.333394736699</v>
      </c>
      <c r="W22">
        <v>52517.335490585698</v>
      </c>
      <c r="X22">
        <v>53691.617486428797</v>
      </c>
      <c r="Y22">
        <v>54017.874163248503</v>
      </c>
      <c r="Z22">
        <v>1198206.3446242304</v>
      </c>
      <c r="AC22" t="s">
        <v>50</v>
      </c>
      <c r="AD22" s="3">
        <f t="shared" si="0"/>
        <v>6.7752206793587622E-3</v>
      </c>
      <c r="AE22" s="3">
        <f t="shared" si="1"/>
        <v>7.3217926854936E-3</v>
      </c>
    </row>
    <row r="23" spans="1:31" x14ac:dyDescent="0.25">
      <c r="A23" t="s">
        <v>54</v>
      </c>
      <c r="B23">
        <v>49979.133172978203</v>
      </c>
      <c r="C23">
        <v>50711.680480808303</v>
      </c>
      <c r="D23">
        <v>50510.9059494432</v>
      </c>
      <c r="E23">
        <v>50215.425398286498</v>
      </c>
      <c r="F23">
        <v>50810.143114872102</v>
      </c>
      <c r="G23">
        <v>51289.280044219202</v>
      </c>
      <c r="H23">
        <v>53326.976940714303</v>
      </c>
      <c r="I23">
        <v>54941.6017632199</v>
      </c>
      <c r="J23">
        <v>55547.3107483969</v>
      </c>
      <c r="K23">
        <v>52600.232521527199</v>
      </c>
      <c r="L23">
        <v>54865.430528900797</v>
      </c>
      <c r="M23">
        <v>57992.366758742297</v>
      </c>
      <c r="N23">
        <v>58158.137975247897</v>
      </c>
      <c r="O23">
        <v>58223.649526266599</v>
      </c>
      <c r="P23">
        <v>59239.3401157716</v>
      </c>
      <c r="Q23">
        <v>59699.338127723597</v>
      </c>
      <c r="R23">
        <v>60578.287082830902</v>
      </c>
      <c r="S23">
        <v>61991.497305327997</v>
      </c>
      <c r="T23">
        <v>62495.498942423401</v>
      </c>
      <c r="U23">
        <v>62970.716087792898</v>
      </c>
      <c r="V23">
        <v>60342.662716822902</v>
      </c>
      <c r="W23">
        <v>62530.765319924103</v>
      </c>
      <c r="X23">
        <v>62931.968415317999</v>
      </c>
      <c r="Y23">
        <v>63154.6748740201</v>
      </c>
      <c r="Z23">
        <v>1365107.023911579</v>
      </c>
      <c r="AC23" t="s">
        <v>54</v>
      </c>
      <c r="AD23" s="3">
        <f t="shared" si="0"/>
        <v>9.371428171756957E-3</v>
      </c>
      <c r="AE23" s="3">
        <f t="shared" si="1"/>
        <v>1.0882123042063485E-2</v>
      </c>
    </row>
    <row r="24" spans="1:31" x14ac:dyDescent="0.25">
      <c r="A24" t="s">
        <v>52</v>
      </c>
      <c r="B24">
        <v>31386.639782387101</v>
      </c>
      <c r="C24">
        <v>32675.929084074301</v>
      </c>
      <c r="D24">
        <v>34081.028849616501</v>
      </c>
      <c r="E24">
        <v>35970.701646699097</v>
      </c>
      <c r="F24">
        <v>37811.491313088402</v>
      </c>
      <c r="G24">
        <v>38146.962821917303</v>
      </c>
      <c r="H24">
        <v>40483.1568120089</v>
      </c>
      <c r="I24">
        <v>41796.233747088801</v>
      </c>
      <c r="J24">
        <v>41709.3876118794</v>
      </c>
      <c r="K24">
        <v>39886.213461139298</v>
      </c>
      <c r="L24">
        <v>37566.748290451098</v>
      </c>
      <c r="M24">
        <v>33906.4915655117</v>
      </c>
      <c r="N24">
        <v>31250.226778508899</v>
      </c>
      <c r="O24">
        <v>30762.443170064798</v>
      </c>
      <c r="P24">
        <v>31213.376451538999</v>
      </c>
      <c r="Q24">
        <v>31347.976492846999</v>
      </c>
      <c r="R24">
        <v>31468.619625013001</v>
      </c>
      <c r="S24">
        <v>31995.410739377799</v>
      </c>
      <c r="T24">
        <v>32722.3310423615</v>
      </c>
      <c r="U24">
        <v>33502.750641272898</v>
      </c>
      <c r="V24">
        <v>30487.1129350427</v>
      </c>
      <c r="W24">
        <v>33531.155112260101</v>
      </c>
      <c r="X24">
        <v>35906.6128241021</v>
      </c>
      <c r="Y24">
        <v>36854.504249930003</v>
      </c>
      <c r="Z24">
        <v>836463.50504818151</v>
      </c>
      <c r="AC24" t="s">
        <v>52</v>
      </c>
      <c r="AD24" s="3">
        <f t="shared" si="0"/>
        <v>1.8136197774234919E-2</v>
      </c>
      <c r="AE24" s="3">
        <f t="shared" si="1"/>
        <v>-1.4713366721685883E-3</v>
      </c>
    </row>
    <row r="25" spans="1:31" x14ac:dyDescent="0.25">
      <c r="A25" t="s">
        <v>59</v>
      </c>
      <c r="B25">
        <v>44368.720295298997</v>
      </c>
      <c r="C25">
        <v>44812.1694853925</v>
      </c>
      <c r="D25">
        <v>44173.928415557501</v>
      </c>
      <c r="E25">
        <v>46004.078107552203</v>
      </c>
      <c r="F25">
        <v>49055.217488005903</v>
      </c>
      <c r="G25">
        <v>51480.132680410199</v>
      </c>
      <c r="H25">
        <v>54494.310037579497</v>
      </c>
      <c r="I25">
        <v>55992.239321223497</v>
      </c>
      <c r="J25">
        <v>59684.355682956702</v>
      </c>
      <c r="K25">
        <v>60206.538032506898</v>
      </c>
      <c r="L25">
        <v>60625.162854931303</v>
      </c>
      <c r="M25">
        <v>60340.052635286796</v>
      </c>
      <c r="N25">
        <v>61267.465332676496</v>
      </c>
      <c r="O25">
        <v>60822.135627448901</v>
      </c>
      <c r="P25">
        <v>63919.154576060297</v>
      </c>
      <c r="Q25">
        <v>62503.397151987498</v>
      </c>
      <c r="R25">
        <v>65345.932010869998</v>
      </c>
      <c r="S25">
        <v>65396.682781263102</v>
      </c>
      <c r="T25">
        <v>65979.161055997203</v>
      </c>
      <c r="U25">
        <v>67604.050700998603</v>
      </c>
      <c r="V25">
        <v>67560.253902779994</v>
      </c>
      <c r="W25">
        <v>68086.460123817495</v>
      </c>
      <c r="X25">
        <v>69408.734049537001</v>
      </c>
      <c r="Y25">
        <v>70243.919785931503</v>
      </c>
      <c r="Z25">
        <v>1279721.5983006016</v>
      </c>
      <c r="AC25" t="s">
        <v>59</v>
      </c>
      <c r="AD25" s="3">
        <f t="shared" si="0"/>
        <v>3.1709908594424352E-2</v>
      </c>
      <c r="AE25" s="3">
        <f t="shared" si="1"/>
        <v>1.1392382804062073E-2</v>
      </c>
    </row>
    <row r="26" spans="1:31" x14ac:dyDescent="0.25">
      <c r="A26" t="s">
        <v>48</v>
      </c>
      <c r="B26">
        <v>39848.638466579898</v>
      </c>
      <c r="C26">
        <v>39777.910267369101</v>
      </c>
      <c r="D26">
        <v>40258.233620167201</v>
      </c>
      <c r="E26">
        <v>41570.620855099201</v>
      </c>
      <c r="F26">
        <v>44836.220584936702</v>
      </c>
      <c r="G26">
        <v>47938.901005923602</v>
      </c>
      <c r="H26">
        <v>50981.7608155493</v>
      </c>
      <c r="I26">
        <v>53813.065447881898</v>
      </c>
      <c r="J26">
        <v>54630.362803483098</v>
      </c>
      <c r="K26">
        <v>53172.296419959202</v>
      </c>
      <c r="L26">
        <v>56355.411683594197</v>
      </c>
      <c r="M26">
        <v>58672.831834577002</v>
      </c>
      <c r="N26">
        <v>59015.325694372201</v>
      </c>
      <c r="O26">
        <v>60601.592840180798</v>
      </c>
      <c r="P26">
        <v>61839.791428872799</v>
      </c>
      <c r="Q26">
        <v>62779.7273197166</v>
      </c>
      <c r="R26">
        <v>63749.3896400503</v>
      </c>
      <c r="S26">
        <v>65662.810953524502</v>
      </c>
      <c r="T26">
        <v>66993.927030753795</v>
      </c>
      <c r="U26">
        <v>65388.330069686301</v>
      </c>
      <c r="V26">
        <v>61328.5494578461</v>
      </c>
      <c r="W26">
        <v>65884.937626060302</v>
      </c>
      <c r="X26">
        <v>64036.787039266797</v>
      </c>
      <c r="Y26">
        <v>64467.575681782902</v>
      </c>
      <c r="Z26">
        <v>1343604.9985872342</v>
      </c>
      <c r="AC26" t="s">
        <v>48</v>
      </c>
      <c r="AD26" s="3">
        <f t="shared" si="0"/>
        <v>3.5266626271518664E-2</v>
      </c>
      <c r="AE26" s="3">
        <f t="shared" si="1"/>
        <v>1.0398626264361832E-2</v>
      </c>
    </row>
    <row r="27" spans="1:31" x14ac:dyDescent="0.25">
      <c r="A27" t="s">
        <v>44</v>
      </c>
      <c r="B27">
        <v>22142.334266957401</v>
      </c>
      <c r="C27">
        <v>23097.352258766499</v>
      </c>
      <c r="D27">
        <v>24261.450461636599</v>
      </c>
      <c r="E27">
        <v>25322.350402977401</v>
      </c>
      <c r="F27">
        <v>26648.583159831502</v>
      </c>
      <c r="G27">
        <v>27848.276592854399</v>
      </c>
      <c r="H27">
        <v>28992.298869356498</v>
      </c>
      <c r="I27">
        <v>29117.788559234399</v>
      </c>
      <c r="J27">
        <v>29461.6560147458</v>
      </c>
      <c r="K27">
        <v>27560.4756254208</v>
      </c>
      <c r="L27">
        <v>27920.1284655046</v>
      </c>
      <c r="M27">
        <v>28522.0577157796</v>
      </c>
      <c r="N27">
        <v>28311.300839068499</v>
      </c>
      <c r="O27">
        <v>28901.0934003736</v>
      </c>
      <c r="P27">
        <v>30205.506034452101</v>
      </c>
      <c r="Q27">
        <v>31399.917107636698</v>
      </c>
      <c r="R27">
        <v>32185.873788315901</v>
      </c>
      <c r="S27">
        <v>33650.190489422799</v>
      </c>
      <c r="T27">
        <v>35499.611282220001</v>
      </c>
      <c r="U27">
        <v>37243.243391061304</v>
      </c>
      <c r="V27">
        <v>35648.708430644598</v>
      </c>
      <c r="W27">
        <v>38324.181487265603</v>
      </c>
      <c r="X27">
        <v>40353.0023434744</v>
      </c>
      <c r="Y27">
        <v>40204.291222285603</v>
      </c>
      <c r="Z27">
        <v>732821.67220928671</v>
      </c>
      <c r="AC27" t="s">
        <v>44</v>
      </c>
      <c r="AD27" s="3">
        <f t="shared" si="0"/>
        <v>2.3456529199392673E-2</v>
      </c>
      <c r="AE27" s="3">
        <f t="shared" si="1"/>
        <v>2.8445195561233483E-2</v>
      </c>
    </row>
    <row r="28" spans="1:31" x14ac:dyDescent="0.25">
      <c r="A28" t="s">
        <v>47</v>
      </c>
      <c r="B28">
        <v>47772.642478631897</v>
      </c>
      <c r="C28">
        <v>49033.840340451003</v>
      </c>
      <c r="D28">
        <v>48870.029310430997</v>
      </c>
      <c r="E28">
        <v>49572.680729866202</v>
      </c>
      <c r="F28">
        <v>52973.4190187895</v>
      </c>
      <c r="G28">
        <v>55334.883375329002</v>
      </c>
      <c r="H28">
        <v>57465.469333842098</v>
      </c>
      <c r="I28">
        <v>60767.022190440002</v>
      </c>
      <c r="J28">
        <v>60965.365811416399</v>
      </c>
      <c r="K28">
        <v>56101.327985198601</v>
      </c>
      <c r="L28">
        <v>54590.604660598503</v>
      </c>
      <c r="M28">
        <v>55428.650799114497</v>
      </c>
      <c r="N28">
        <v>55720.928532191501</v>
      </c>
      <c r="O28">
        <v>57709.149209847899</v>
      </c>
      <c r="P28">
        <v>58033.595464842801</v>
      </c>
      <c r="Q28">
        <v>59980.126598863601</v>
      </c>
      <c r="R28">
        <v>62882.144592817902</v>
      </c>
      <c r="S28">
        <v>64001.075846661399</v>
      </c>
      <c r="T28">
        <v>65356.2174996799</v>
      </c>
      <c r="U28">
        <v>65124.7039530603</v>
      </c>
      <c r="V28">
        <v>59629.026855818702</v>
      </c>
      <c r="W28">
        <v>61741.579406377699</v>
      </c>
      <c r="X28">
        <v>65623.169184104598</v>
      </c>
      <c r="Y28">
        <v>66940.503488420305</v>
      </c>
      <c r="Z28">
        <v>1391618.1566667953</v>
      </c>
      <c r="AC28" t="s">
        <v>47</v>
      </c>
      <c r="AD28" s="3">
        <f t="shared" si="0"/>
        <v>1.3430251350013966E-2</v>
      </c>
      <c r="AE28" s="3">
        <f t="shared" si="1"/>
        <v>1.5811579647399876E-2</v>
      </c>
    </row>
    <row r="29" spans="1:31" x14ac:dyDescent="0.25">
      <c r="A29" t="s">
        <v>39</v>
      </c>
      <c r="B29">
        <v>3099.5028215766001</v>
      </c>
      <c r="C29">
        <v>3188.81024020636</v>
      </c>
      <c r="D29">
        <v>3250.6956554491699</v>
      </c>
      <c r="E29">
        <v>3445.9259235239501</v>
      </c>
      <c r="F29">
        <v>3656.1262065209798</v>
      </c>
      <c r="G29">
        <v>3881.9661798273</v>
      </c>
      <c r="H29">
        <v>4129.7783700923901</v>
      </c>
      <c r="I29">
        <v>4379.6960436115096</v>
      </c>
      <c r="J29">
        <v>4450.3902291923796</v>
      </c>
      <c r="K29">
        <v>4731.3616046389598</v>
      </c>
      <c r="L29">
        <v>5059.2827108397996</v>
      </c>
      <c r="M29">
        <v>5249.5492569402604</v>
      </c>
      <c r="N29">
        <v>5460.43768570052</v>
      </c>
      <c r="O29">
        <v>5732.2418909087601</v>
      </c>
      <c r="P29">
        <v>6079.8439352369496</v>
      </c>
      <c r="Q29">
        <v>6488.1460291078702</v>
      </c>
      <c r="R29">
        <v>6940.6258885752204</v>
      </c>
      <c r="S29">
        <v>7326.6069367985901</v>
      </c>
      <c r="T29">
        <v>7714.3397472453098</v>
      </c>
      <c r="U29">
        <v>7930.0911303899002</v>
      </c>
      <c r="V29">
        <v>7399.5306807904099</v>
      </c>
      <c r="W29">
        <v>8050.0185745266399</v>
      </c>
      <c r="X29">
        <v>8544.6888838318191</v>
      </c>
      <c r="Y29">
        <v>9160.0636537088794</v>
      </c>
      <c r="Z29">
        <v>135349.72027924052</v>
      </c>
      <c r="AC29" t="s">
        <v>39</v>
      </c>
      <c r="AD29" s="3">
        <f t="shared" si="0"/>
        <v>5.021856515771006E-2</v>
      </c>
      <c r="AE29" s="3">
        <f t="shared" si="1"/>
        <v>4.6722364098243485E-2</v>
      </c>
    </row>
    <row r="30" spans="1:31" x14ac:dyDescent="0.25">
      <c r="A30" t="s">
        <v>40</v>
      </c>
      <c r="B30">
        <v>6056.3819784216503</v>
      </c>
      <c r="C30">
        <v>6190.5195404099104</v>
      </c>
      <c r="D30">
        <v>6381.9495517999603</v>
      </c>
      <c r="E30">
        <v>6599.0919359703403</v>
      </c>
      <c r="F30">
        <v>6843.5465497236401</v>
      </c>
      <c r="G30">
        <v>7140.8545640703996</v>
      </c>
      <c r="H30">
        <v>7434.4878535222097</v>
      </c>
      <c r="I30">
        <v>7802.4640690595397</v>
      </c>
      <c r="J30">
        <v>8165.06155116624</v>
      </c>
      <c r="K30">
        <v>8435.4557468628991</v>
      </c>
      <c r="L30">
        <v>8848.2247370206605</v>
      </c>
      <c r="M30">
        <v>9274.9695518170192</v>
      </c>
      <c r="N30">
        <v>9708.6118253108107</v>
      </c>
      <c r="O30">
        <v>10121.8141535043</v>
      </c>
      <c r="P30">
        <v>10504.3869411088</v>
      </c>
      <c r="Q30">
        <v>10893.662114216901</v>
      </c>
      <c r="R30">
        <v>11319.6634287738</v>
      </c>
      <c r="S30">
        <v>11772.574329610699</v>
      </c>
      <c r="T30">
        <v>12262.231030077101</v>
      </c>
      <c r="U30">
        <v>12757.7850854842</v>
      </c>
      <c r="V30">
        <v>12388.5449268131</v>
      </c>
      <c r="W30">
        <v>12757.0746440204</v>
      </c>
      <c r="X30">
        <v>13334.293520304</v>
      </c>
      <c r="Y30">
        <v>13889.8828825663</v>
      </c>
      <c r="Z30">
        <v>230883.5325116349</v>
      </c>
      <c r="AC30" t="s">
        <v>40</v>
      </c>
      <c r="AD30" s="3">
        <f t="shared" si="0"/>
        <v>3.8638193286289368E-2</v>
      </c>
      <c r="AE30" s="3">
        <f t="shared" si="1"/>
        <v>3.5296636353180144E-2</v>
      </c>
    </row>
    <row r="31" spans="1:31" x14ac:dyDescent="0.25">
      <c r="A31" t="s">
        <v>45</v>
      </c>
      <c r="B31">
        <v>53744.5426721978</v>
      </c>
      <c r="C31">
        <v>55702.171512168999</v>
      </c>
      <c r="D31">
        <v>58002.535673357903</v>
      </c>
      <c r="E31">
        <v>58785.214456005102</v>
      </c>
      <c r="F31">
        <v>61638.329133196101</v>
      </c>
      <c r="G31">
        <v>63771.595497705297</v>
      </c>
      <c r="H31">
        <v>65171.503528868903</v>
      </c>
      <c r="I31">
        <v>66676.463250048502</v>
      </c>
      <c r="J31">
        <v>62401.405044635598</v>
      </c>
      <c r="K31">
        <v>58623.118225682498</v>
      </c>
      <c r="L31">
        <v>59285.808289597597</v>
      </c>
      <c r="M31">
        <v>60001.077741745801</v>
      </c>
      <c r="N31">
        <v>59508.996753459403</v>
      </c>
      <c r="O31">
        <v>60494.162697467596</v>
      </c>
      <c r="P31">
        <v>65660.182690282207</v>
      </c>
      <c r="Q31">
        <v>81053.352736924106</v>
      </c>
      <c r="R31">
        <v>81123.405541788103</v>
      </c>
      <c r="S31">
        <v>88309.351807388593</v>
      </c>
      <c r="T31">
        <v>93802.3882103535</v>
      </c>
      <c r="U31">
        <v>97192.187201617096</v>
      </c>
      <c r="V31">
        <v>103082.792429507</v>
      </c>
      <c r="W31">
        <v>118701.844040248</v>
      </c>
      <c r="X31">
        <v>125625.319755241</v>
      </c>
      <c r="Y31">
        <v>115505.338456686</v>
      </c>
      <c r="Z31">
        <v>1813863.0873461729</v>
      </c>
      <c r="AC31" t="s">
        <v>45</v>
      </c>
      <c r="AD31" s="3">
        <f t="shared" si="0"/>
        <v>9.8610858796968071E-3</v>
      </c>
      <c r="AE31" s="3">
        <f t="shared" si="1"/>
        <v>5.2642426410383303E-2</v>
      </c>
    </row>
    <row r="32" spans="1:31" x14ac:dyDescent="0.25">
      <c r="A32" t="s">
        <v>43</v>
      </c>
      <c r="B32">
        <v>33109.712671321198</v>
      </c>
      <c r="C32">
        <v>32393.258138613201</v>
      </c>
      <c r="D32">
        <v>31708.8015714914</v>
      </c>
      <c r="E32">
        <v>31597.670226262198</v>
      </c>
      <c r="F32">
        <v>32496.699176206199</v>
      </c>
      <c r="G32">
        <v>33274.8060108879</v>
      </c>
      <c r="H32">
        <v>34516.277204552702</v>
      </c>
      <c r="I32">
        <v>35950.915756890397</v>
      </c>
      <c r="J32">
        <v>36478.396136272502</v>
      </c>
      <c r="K32">
        <v>36011.540064015397</v>
      </c>
      <c r="L32">
        <v>37351.523055530102</v>
      </c>
      <c r="M32">
        <v>38707.329557439902</v>
      </c>
      <c r="N32">
        <v>38964.777230280997</v>
      </c>
      <c r="O32">
        <v>39862.384077553601</v>
      </c>
      <c r="P32">
        <v>40623.842158163898</v>
      </c>
      <c r="Q32">
        <v>40748.286827659802</v>
      </c>
      <c r="R32">
        <v>41702.303763551201</v>
      </c>
      <c r="S32">
        <v>42649.4950956229</v>
      </c>
      <c r="T32">
        <v>43540.249197245103</v>
      </c>
      <c r="U32">
        <v>44333.853890196697</v>
      </c>
      <c r="V32">
        <v>42920.836987160597</v>
      </c>
      <c r="W32">
        <v>46148.580853360101</v>
      </c>
      <c r="X32">
        <v>48177.835931676498</v>
      </c>
      <c r="Y32">
        <v>48338.215819693003</v>
      </c>
      <c r="Z32">
        <v>931607.59140164743</v>
      </c>
      <c r="AC32" t="s">
        <v>43</v>
      </c>
      <c r="AD32" s="3">
        <f t="shared" si="0"/>
        <v>1.2127652268266287E-2</v>
      </c>
      <c r="AE32" s="3">
        <f t="shared" si="1"/>
        <v>2.0032532405551473E-2</v>
      </c>
    </row>
    <row r="33" spans="1:31" x14ac:dyDescent="0.25">
      <c r="A33" t="s">
        <v>42</v>
      </c>
      <c r="B33">
        <v>50353.420062699297</v>
      </c>
      <c r="C33">
        <v>51334.886176271299</v>
      </c>
      <c r="D33">
        <v>51396.858855149803</v>
      </c>
      <c r="E33">
        <v>51202.957951226897</v>
      </c>
      <c r="F33">
        <v>51622.525164409701</v>
      </c>
      <c r="G33">
        <v>51761.126347844896</v>
      </c>
      <c r="H33">
        <v>52534.422592553798</v>
      </c>
      <c r="I33">
        <v>53034.164687467601</v>
      </c>
      <c r="J33">
        <v>52144.960649241599</v>
      </c>
      <c r="K33">
        <v>49154.126400441703</v>
      </c>
      <c r="L33">
        <v>49752.475129325299</v>
      </c>
      <c r="M33">
        <v>50012.4007754919</v>
      </c>
      <c r="N33">
        <v>48318.978567680198</v>
      </c>
      <c r="O33">
        <v>46893.747980766799</v>
      </c>
      <c r="P33">
        <v>46464.818916457501</v>
      </c>
      <c r="Q33">
        <v>46921.542164417202</v>
      </c>
      <c r="R33">
        <v>47582.362404031097</v>
      </c>
      <c r="S33">
        <v>48417.946056996901</v>
      </c>
      <c r="T33">
        <v>48911.065272402499</v>
      </c>
      <c r="U33">
        <v>49690.629863473303</v>
      </c>
      <c r="V33">
        <v>45505.068888438203</v>
      </c>
      <c r="W33">
        <v>49825.393411185403</v>
      </c>
      <c r="X33">
        <v>52253.737902948596</v>
      </c>
      <c r="Y33">
        <v>52636.287147538504</v>
      </c>
      <c r="Z33">
        <v>1197725.9033684602</v>
      </c>
      <c r="AC33" t="s">
        <v>42</v>
      </c>
      <c r="AD33" s="3">
        <f t="shared" si="0"/>
        <v>-1.1999124208009748E-3</v>
      </c>
      <c r="AE33" s="3">
        <f t="shared" si="1"/>
        <v>4.3436786895314494E-3</v>
      </c>
    </row>
    <row r="34" spans="1:31" x14ac:dyDescent="0.25">
      <c r="A34" t="s">
        <v>46</v>
      </c>
      <c r="B34">
        <v>39014.211021291703</v>
      </c>
      <c r="C34">
        <v>39070.591117011798</v>
      </c>
      <c r="D34">
        <v>38996.203831853702</v>
      </c>
      <c r="E34">
        <v>39510.209660208398</v>
      </c>
      <c r="F34">
        <v>40360.360058877399</v>
      </c>
      <c r="G34">
        <v>41084.562063080899</v>
      </c>
      <c r="H34">
        <v>41622.000387448301</v>
      </c>
      <c r="I34">
        <v>42191.148913289799</v>
      </c>
      <c r="J34">
        <v>41654.431110421101</v>
      </c>
      <c r="K34">
        <v>39287.8544592545</v>
      </c>
      <c r="L34">
        <v>40890.493673591103</v>
      </c>
      <c r="M34">
        <v>40976.0577687849</v>
      </c>
      <c r="N34">
        <v>41605.772357896603</v>
      </c>
      <c r="O34">
        <v>42501.282963766702</v>
      </c>
      <c r="P34">
        <v>42683.775449642097</v>
      </c>
      <c r="Q34">
        <v>43395.939353688103</v>
      </c>
      <c r="R34">
        <v>43745.434116635697</v>
      </c>
      <c r="S34">
        <v>44514.746483678296</v>
      </c>
      <c r="T34">
        <v>44858.030173698397</v>
      </c>
      <c r="U34">
        <v>44740.425504303297</v>
      </c>
      <c r="V34">
        <v>43011.337953603797</v>
      </c>
      <c r="W34">
        <v>44315.497991249198</v>
      </c>
      <c r="X34">
        <v>44937.608867666</v>
      </c>
      <c r="Y34">
        <v>45915.353682576999</v>
      </c>
      <c r="Z34">
        <v>1010883.328963519</v>
      </c>
      <c r="AC34" t="s">
        <v>46</v>
      </c>
      <c r="AD34" s="3">
        <f t="shared" si="0"/>
        <v>4.7082132284426148E-3</v>
      </c>
      <c r="AE34" s="3">
        <f t="shared" si="1"/>
        <v>8.9553968740085921E-3</v>
      </c>
    </row>
    <row r="35" spans="1:31" x14ac:dyDescent="0.25">
      <c r="A35" t="s">
        <v>41</v>
      </c>
      <c r="B35">
        <v>25111.137713484201</v>
      </c>
      <c r="C35">
        <v>26128.391510117599</v>
      </c>
      <c r="D35">
        <v>27984.639479163299</v>
      </c>
      <c r="E35">
        <v>28716.1691006656</v>
      </c>
      <c r="F35">
        <v>30089.171317616801</v>
      </c>
      <c r="G35">
        <v>31319.109868639302</v>
      </c>
      <c r="H35">
        <v>32795.156858918199</v>
      </c>
      <c r="I35">
        <v>34522.268257413903</v>
      </c>
      <c r="J35">
        <v>35293.4102047384</v>
      </c>
      <c r="K35">
        <v>35390.562015132498</v>
      </c>
      <c r="L35">
        <v>37610.972914668302</v>
      </c>
      <c r="M35">
        <v>38698.4610967111</v>
      </c>
      <c r="N35">
        <v>39420.419391877796</v>
      </c>
      <c r="O35">
        <v>40483.253408256198</v>
      </c>
      <c r="P35">
        <v>41518.094229689203</v>
      </c>
      <c r="Q35">
        <v>42459.9028857999</v>
      </c>
      <c r="R35">
        <v>43538.021271796802</v>
      </c>
      <c r="S35">
        <v>44787.648235442102</v>
      </c>
      <c r="T35">
        <v>45890.430409414301</v>
      </c>
      <c r="U35">
        <v>46757.2614496182</v>
      </c>
      <c r="V35">
        <v>46361.595781171804</v>
      </c>
      <c r="W35">
        <v>48419.643251350899</v>
      </c>
      <c r="X35">
        <v>49777.929303529003</v>
      </c>
      <c r="Y35">
        <v>50414.208339176403</v>
      </c>
      <c r="Z35">
        <v>923487.85829439177</v>
      </c>
      <c r="AC35" t="s">
        <v>41</v>
      </c>
      <c r="AD35" s="3">
        <f t="shared" si="0"/>
        <v>4.12255532308341E-2</v>
      </c>
      <c r="AE35" s="3">
        <f t="shared" si="1"/>
        <v>2.2792578316949585E-2</v>
      </c>
    </row>
    <row r="36" spans="1:31" x14ac:dyDescent="0.25">
      <c r="A36" t="s">
        <v>38</v>
      </c>
      <c r="B36">
        <v>14554.260810592399</v>
      </c>
      <c r="C36">
        <v>15695.957412194401</v>
      </c>
      <c r="D36">
        <v>17096.614894430601</v>
      </c>
      <c r="E36">
        <v>18717.7286574092</v>
      </c>
      <c r="F36">
        <v>20574.185018944001</v>
      </c>
      <c r="G36">
        <v>23213.429057093999</v>
      </c>
      <c r="H36">
        <v>26431.899616641698</v>
      </c>
      <c r="I36">
        <v>29423.832397146802</v>
      </c>
      <c r="J36">
        <v>28727.065663642799</v>
      </c>
      <c r="K36">
        <v>24520.759031682999</v>
      </c>
      <c r="L36">
        <v>24119.809241380401</v>
      </c>
      <c r="M36">
        <v>25308.814795996499</v>
      </c>
      <c r="N36">
        <v>27496.6351563508</v>
      </c>
      <c r="O36">
        <v>28375.277091796699</v>
      </c>
      <c r="P36">
        <v>29243.8368438291</v>
      </c>
      <c r="Q36">
        <v>30599.7127991948</v>
      </c>
      <c r="R36">
        <v>31668.617753948402</v>
      </c>
      <c r="S36">
        <v>33036.499157238097</v>
      </c>
      <c r="T36">
        <v>34729.818694779999</v>
      </c>
      <c r="U36">
        <v>35208.308295433199</v>
      </c>
      <c r="V36">
        <v>34226.008653399003</v>
      </c>
      <c r="W36">
        <v>36913.752112260503</v>
      </c>
      <c r="X36">
        <v>37685.008215003203</v>
      </c>
      <c r="Y36">
        <v>38367.778595163101</v>
      </c>
      <c r="Z36">
        <v>665935.60996555269</v>
      </c>
      <c r="AC36" t="s">
        <v>38</v>
      </c>
      <c r="AD36" s="3">
        <f t="shared" si="0"/>
        <v>5.1812606045799514E-2</v>
      </c>
      <c r="AE36" s="3">
        <f t="shared" si="1"/>
        <v>3.6351636246717778E-2</v>
      </c>
    </row>
    <row r="37" spans="1:31" x14ac:dyDescent="0.25">
      <c r="A37" t="s">
        <v>37</v>
      </c>
      <c r="B37">
        <v>113539.103582204</v>
      </c>
      <c r="C37">
        <v>115644.771050699</v>
      </c>
      <c r="D37">
        <v>118130.682496785</v>
      </c>
      <c r="E37">
        <v>119760.759939329</v>
      </c>
      <c r="F37">
        <v>123067.220605619</v>
      </c>
      <c r="G37">
        <v>124207.765468895</v>
      </c>
      <c r="H37">
        <v>129597.274947635</v>
      </c>
      <c r="I37">
        <v>137945.97204957399</v>
      </c>
      <c r="J37">
        <v>135095.35453862901</v>
      </c>
      <c r="K37">
        <v>128321.31814423</v>
      </c>
      <c r="L37">
        <v>130738.310880025</v>
      </c>
      <c r="M37">
        <v>129199.785226408</v>
      </c>
      <c r="N37">
        <v>128215.045898239</v>
      </c>
      <c r="O37">
        <v>129259.552729542</v>
      </c>
      <c r="P37">
        <v>129560.16448643099</v>
      </c>
      <c r="Q37">
        <v>129410.553195039</v>
      </c>
      <c r="R37">
        <v>132956.13292178401</v>
      </c>
      <c r="S37">
        <v>131472.19228794301</v>
      </c>
      <c r="T37">
        <v>130533.052338011</v>
      </c>
      <c r="U37">
        <v>131728.03784977799</v>
      </c>
      <c r="V37">
        <v>128372.468806388</v>
      </c>
      <c r="W37">
        <v>135501.63664580899</v>
      </c>
      <c r="X37">
        <v>134629.225268543</v>
      </c>
      <c r="Y37">
        <v>130491.299515711</v>
      </c>
      <c r="Z37">
        <v>3077377.6808732497</v>
      </c>
      <c r="AC37" t="s">
        <v>37</v>
      </c>
      <c r="AD37" s="3">
        <f t="shared" si="0"/>
        <v>1.4204985016799787E-2</v>
      </c>
      <c r="AE37" s="3">
        <f t="shared" si="1"/>
        <v>-1.4546205405385759E-4</v>
      </c>
    </row>
    <row r="38" spans="1:31" x14ac:dyDescent="0.25">
      <c r="A38" t="s">
        <v>36</v>
      </c>
      <c r="B38">
        <v>18532.909670622699</v>
      </c>
      <c r="C38">
        <v>18186.441133014599</v>
      </c>
      <c r="D38">
        <v>18708.869487727901</v>
      </c>
      <c r="E38">
        <v>19329.0062757538</v>
      </c>
      <c r="F38">
        <v>20168.506209942501</v>
      </c>
      <c r="G38">
        <v>20767.5857243346</v>
      </c>
      <c r="H38">
        <v>21444.485771502801</v>
      </c>
      <c r="I38">
        <v>22305.118263117001</v>
      </c>
      <c r="J38">
        <v>22898.0027575442</v>
      </c>
      <c r="K38">
        <v>22106.641731180101</v>
      </c>
      <c r="L38">
        <v>23307.969854378502</v>
      </c>
      <c r="M38">
        <v>24115.818120395801</v>
      </c>
      <c r="N38">
        <v>25006.358778153699</v>
      </c>
      <c r="O38">
        <v>25736.3525554142</v>
      </c>
      <c r="P38">
        <v>26818.431728165899</v>
      </c>
      <c r="Q38">
        <v>27699.627886038699</v>
      </c>
      <c r="R38">
        <v>28425.370760941201</v>
      </c>
      <c r="S38">
        <v>29551.545759719698</v>
      </c>
      <c r="T38">
        <v>30459.965533806098</v>
      </c>
      <c r="U38">
        <v>31300.5086554849</v>
      </c>
      <c r="V38">
        <v>29200.452632126999</v>
      </c>
      <c r="W38">
        <v>29822.849183161801</v>
      </c>
      <c r="X38">
        <v>32079.151515748901</v>
      </c>
      <c r="Y38">
        <v>32812.299752533603</v>
      </c>
      <c r="Z38">
        <v>600784.26974081015</v>
      </c>
      <c r="AC38" t="s">
        <v>36</v>
      </c>
      <c r="AD38" s="3">
        <f t="shared" si="0"/>
        <v>2.3189521489798803E-2</v>
      </c>
      <c r="AE38" s="3">
        <f t="shared" si="1"/>
        <v>2.6657432513352397E-2</v>
      </c>
    </row>
    <row r="39" spans="1:31" x14ac:dyDescent="0.25">
      <c r="A39" t="s">
        <v>35</v>
      </c>
      <c r="B39">
        <v>20470.493768449702</v>
      </c>
      <c r="C39">
        <v>20078.2183946353</v>
      </c>
      <c r="D39">
        <v>19744.793369040501</v>
      </c>
      <c r="E39">
        <v>19701.463391347701</v>
      </c>
      <c r="F39">
        <v>20127.224288547801</v>
      </c>
      <c r="G39">
        <v>20277.255285648898</v>
      </c>
      <c r="H39">
        <v>20965.8256113323</v>
      </c>
      <c r="I39">
        <v>21102.268835416198</v>
      </c>
      <c r="J39">
        <v>20992.560265755601</v>
      </c>
      <c r="K39">
        <v>19385.543726640401</v>
      </c>
      <c r="L39">
        <v>20058.385489733198</v>
      </c>
      <c r="M39">
        <v>20457.600170294802</v>
      </c>
      <c r="N39">
        <v>20898.935723444301</v>
      </c>
      <c r="O39">
        <v>20805.348045088798</v>
      </c>
      <c r="P39">
        <v>21069.766168859998</v>
      </c>
      <c r="Q39">
        <v>21408.928324159999</v>
      </c>
      <c r="R39">
        <v>21578.263359451601</v>
      </c>
      <c r="S39">
        <v>21777.522515277898</v>
      </c>
      <c r="T39">
        <v>21997.773022688001</v>
      </c>
      <c r="U39">
        <v>21704.185951670501</v>
      </c>
      <c r="V39">
        <v>19728.481789587298</v>
      </c>
      <c r="W39">
        <v>20782.587745647899</v>
      </c>
      <c r="X39">
        <v>21387.5987937272</v>
      </c>
      <c r="Y39">
        <v>21880.3277706628</v>
      </c>
      <c r="Z39">
        <v>498381.35180710867</v>
      </c>
      <c r="AC39" t="s">
        <v>35</v>
      </c>
      <c r="AD39" s="3">
        <f t="shared" si="0"/>
        <v>-2.0316559588959837E-3</v>
      </c>
      <c r="AE39" s="3">
        <f t="shared" si="1"/>
        <v>6.7101561669062892E-3</v>
      </c>
    </row>
    <row r="40" spans="1:31" x14ac:dyDescent="0.25">
      <c r="A40" t="s">
        <v>34</v>
      </c>
      <c r="B40">
        <v>56016.8726843978</v>
      </c>
      <c r="C40">
        <v>56887.433196377402</v>
      </c>
      <c r="D40">
        <v>56664.413474041801</v>
      </c>
      <c r="E40">
        <v>56452.867451629201</v>
      </c>
      <c r="F40">
        <v>57391.364521347903</v>
      </c>
      <c r="G40">
        <v>58422.013455929598</v>
      </c>
      <c r="H40">
        <v>60391.544270166603</v>
      </c>
      <c r="I40">
        <v>62601.620613428</v>
      </c>
      <c r="J40">
        <v>63678.403279366299</v>
      </c>
      <c r="K40">
        <v>61029.729910995797</v>
      </c>
      <c r="L40">
        <v>61518.553979817698</v>
      </c>
      <c r="M40">
        <v>62318.141620059199</v>
      </c>
      <c r="N40">
        <v>61480.812517776598</v>
      </c>
      <c r="O40">
        <v>61281.288790752398</v>
      </c>
      <c r="P40">
        <v>62045.856400580597</v>
      </c>
      <c r="Q40">
        <v>63081.394146890103</v>
      </c>
      <c r="R40">
        <v>64267.736392450301</v>
      </c>
      <c r="S40">
        <v>65666.003634340304</v>
      </c>
      <c r="T40">
        <v>66758.264003980294</v>
      </c>
      <c r="U40">
        <v>67847.854292254196</v>
      </c>
      <c r="V40">
        <v>64862.192212119</v>
      </c>
      <c r="W40">
        <v>68573.564878644596</v>
      </c>
      <c r="X40">
        <v>71324.036061318693</v>
      </c>
      <c r="Y40">
        <v>70673.968945013796</v>
      </c>
      <c r="Z40">
        <v>1501235.9307336782</v>
      </c>
      <c r="AC40" t="s">
        <v>34</v>
      </c>
      <c r="AD40" s="3">
        <f t="shared" si="0"/>
        <v>9.4126102618046215E-3</v>
      </c>
      <c r="AE40" s="3">
        <f t="shared" si="1"/>
        <v>1.0729342871708125E-2</v>
      </c>
    </row>
    <row r="41" spans="1:31" x14ac:dyDescent="0.25">
      <c r="A41" t="s">
        <v>30</v>
      </c>
      <c r="B41">
        <v>35867.454855138101</v>
      </c>
      <c r="C41">
        <v>36873.132886651598</v>
      </c>
      <c r="D41">
        <v>37946.321604861398</v>
      </c>
      <c r="E41">
        <v>38964.171861908399</v>
      </c>
      <c r="F41">
        <v>39958.817713122502</v>
      </c>
      <c r="G41">
        <v>40835.1853127496</v>
      </c>
      <c r="H41">
        <v>41461.723291027098</v>
      </c>
      <c r="I41">
        <v>42329.737251514904</v>
      </c>
      <c r="J41">
        <v>41451.746635992298</v>
      </c>
      <c r="K41">
        <v>41018.085514041901</v>
      </c>
      <c r="L41">
        <v>41150.607063478601</v>
      </c>
      <c r="M41">
        <v>41753.355284238503</v>
      </c>
      <c r="N41">
        <v>42475.782354007402</v>
      </c>
      <c r="O41">
        <v>43314.10534401</v>
      </c>
      <c r="P41">
        <v>44199.957416181001</v>
      </c>
      <c r="Q41">
        <v>44926.309273165803</v>
      </c>
      <c r="R41">
        <v>45575.074380412501</v>
      </c>
      <c r="S41">
        <v>46149.319697852698</v>
      </c>
      <c r="T41">
        <v>46916.357336754198</v>
      </c>
      <c r="U41">
        <v>47266.405058749297</v>
      </c>
      <c r="V41">
        <v>46039.226643804002</v>
      </c>
      <c r="W41">
        <v>47933.588616802801</v>
      </c>
      <c r="X41">
        <v>49206.870531754801</v>
      </c>
      <c r="Y41">
        <v>48562.704716374297</v>
      </c>
      <c r="Z41">
        <v>1032176.0406445938</v>
      </c>
      <c r="AC41" t="s">
        <v>30</v>
      </c>
      <c r="AD41" s="3">
        <f t="shared" si="0"/>
        <v>1.3835673671935167E-2</v>
      </c>
      <c r="AE41" s="3">
        <f t="shared" si="1"/>
        <v>1.2821278596317986E-2</v>
      </c>
    </row>
    <row r="42" spans="1:31" x14ac:dyDescent="0.25">
      <c r="A42" t="s">
        <v>28</v>
      </c>
      <c r="B42">
        <v>77587.207298537003</v>
      </c>
      <c r="C42">
        <v>78791.304570052002</v>
      </c>
      <c r="D42">
        <v>79447.091465894497</v>
      </c>
      <c r="E42">
        <v>79728.785002737306</v>
      </c>
      <c r="F42">
        <v>82440.955880332898</v>
      </c>
      <c r="G42">
        <v>84079.996231824</v>
      </c>
      <c r="H42">
        <v>85458.5466976444</v>
      </c>
      <c r="I42">
        <v>87043.497922774797</v>
      </c>
      <c r="J42">
        <v>86379.662463014305</v>
      </c>
      <c r="K42">
        <v>83642.069581572898</v>
      </c>
      <c r="L42">
        <v>83256.788065804096</v>
      </c>
      <c r="M42">
        <v>83092.434209869403</v>
      </c>
      <c r="N42">
        <v>84237.149569076995</v>
      </c>
      <c r="O42">
        <v>84070.458383127494</v>
      </c>
      <c r="P42">
        <v>84830.255785823596</v>
      </c>
      <c r="Q42">
        <v>85550.294254004199</v>
      </c>
      <c r="R42">
        <v>85787.617429917096</v>
      </c>
      <c r="S42">
        <v>87194.111547304507</v>
      </c>
      <c r="T42">
        <v>87338.444095464802</v>
      </c>
      <c r="U42">
        <v>87725.728329036501</v>
      </c>
      <c r="V42">
        <v>86096.050887635094</v>
      </c>
      <c r="W42">
        <v>88984.138673651702</v>
      </c>
      <c r="X42">
        <v>90838.907955317205</v>
      </c>
      <c r="Y42">
        <v>90241.630449293501</v>
      </c>
      <c r="Z42">
        <v>2033843.1267497106</v>
      </c>
      <c r="AC42" t="s">
        <v>28</v>
      </c>
      <c r="AD42" s="3">
        <f t="shared" si="0"/>
        <v>7.0776394000757747E-3</v>
      </c>
      <c r="AE42" s="3">
        <f t="shared" si="1"/>
        <v>6.2162559632270575E-3</v>
      </c>
    </row>
    <row r="43" spans="1:31" x14ac:dyDescent="0.25">
      <c r="A43" t="s">
        <v>26</v>
      </c>
      <c r="B43">
        <v>7670.4601195287196</v>
      </c>
      <c r="C43">
        <v>7613.0208633347702</v>
      </c>
      <c r="D43">
        <v>7932.9912641786996</v>
      </c>
      <c r="E43">
        <v>8175.8341495499899</v>
      </c>
      <c r="F43">
        <v>8497.49834914444</v>
      </c>
      <c r="G43">
        <v>8951.5471719121706</v>
      </c>
      <c r="H43">
        <v>9549.6124361263992</v>
      </c>
      <c r="I43">
        <v>10288.1853918369</v>
      </c>
      <c r="J43">
        <v>11153.515061780599</v>
      </c>
      <c r="K43">
        <v>11206.3708203437</v>
      </c>
      <c r="L43">
        <v>12061.164056150301</v>
      </c>
      <c r="M43">
        <v>12728.8648230529</v>
      </c>
      <c r="N43">
        <v>13397.7832424936</v>
      </c>
      <c r="O43">
        <v>14054.638355025099</v>
      </c>
      <c r="P43">
        <v>14247.1010019489</v>
      </c>
      <c r="Q43">
        <v>14545.381144645</v>
      </c>
      <c r="R43">
        <v>14920.1036750938</v>
      </c>
      <c r="S43">
        <v>15072.203899329499</v>
      </c>
      <c r="T43">
        <v>15388.998322211801</v>
      </c>
      <c r="U43">
        <v>15466.295151141499</v>
      </c>
      <c r="V43">
        <v>13612.021942265201</v>
      </c>
      <c r="W43">
        <v>15282.273637263601</v>
      </c>
      <c r="X43">
        <v>15548.9316184939</v>
      </c>
      <c r="Y43">
        <v>15294.256781120101</v>
      </c>
      <c r="Z43">
        <v>292659.05327797157</v>
      </c>
      <c r="AC43" t="s">
        <v>26</v>
      </c>
      <c r="AD43" s="3">
        <f t="shared" si="0"/>
        <v>4.6301338383150759E-2</v>
      </c>
      <c r="AE43" s="3">
        <f t="shared" si="1"/>
        <v>1.843609023187609E-2</v>
      </c>
    </row>
    <row r="44" spans="1:31" x14ac:dyDescent="0.25">
      <c r="A44" t="s">
        <v>27</v>
      </c>
      <c r="B44">
        <v>4740.43890934512</v>
      </c>
      <c r="C44">
        <v>4778.4008437474004</v>
      </c>
      <c r="D44">
        <v>4856.4994842956703</v>
      </c>
      <c r="E44">
        <v>5003.3831771871601</v>
      </c>
      <c r="F44">
        <v>5229.45080700165</v>
      </c>
      <c r="G44">
        <v>5386.8165371289097</v>
      </c>
      <c r="H44">
        <v>5578.5722511213899</v>
      </c>
      <c r="I44">
        <v>5840.0681016996496</v>
      </c>
      <c r="J44">
        <v>5987.0375786183504</v>
      </c>
      <c r="K44">
        <v>5965.3073090222097</v>
      </c>
      <c r="L44">
        <v>6273.0392775955997</v>
      </c>
      <c r="M44">
        <v>6388.3129696547703</v>
      </c>
      <c r="N44">
        <v>6697.5562095198002</v>
      </c>
      <c r="O44">
        <v>7016.5384647572901</v>
      </c>
      <c r="P44">
        <v>7340.3615858078501</v>
      </c>
      <c r="Q44">
        <v>7691.76308664523</v>
      </c>
      <c r="R44">
        <v>8131.8253794865304</v>
      </c>
      <c r="S44">
        <v>8584.1362270470199</v>
      </c>
      <c r="T44">
        <v>9016.2865962773594</v>
      </c>
      <c r="U44">
        <v>9452.2939714030308</v>
      </c>
      <c r="V44">
        <v>8455.1845711482201</v>
      </c>
      <c r="W44">
        <v>8857.7899511551404</v>
      </c>
      <c r="X44">
        <v>9457.1039540288293</v>
      </c>
      <c r="Y44">
        <v>9901.0565239569205</v>
      </c>
      <c r="Z44">
        <v>166629.2237676511</v>
      </c>
      <c r="AC44" t="s">
        <v>27</v>
      </c>
      <c r="AD44" s="3">
        <f t="shared" si="0"/>
        <v>2.8409181395036232E-2</v>
      </c>
      <c r="AE44" s="3">
        <f t="shared" si="1"/>
        <v>3.5729689531219355E-2</v>
      </c>
    </row>
    <row r="45" spans="1:31" x14ac:dyDescent="0.25">
      <c r="A45" t="s">
        <v>32</v>
      </c>
      <c r="B45">
        <v>18566.354628877201</v>
      </c>
      <c r="C45">
        <v>18800.601864840199</v>
      </c>
      <c r="D45">
        <v>19166.913705814299</v>
      </c>
      <c r="E45">
        <v>19855.631798918101</v>
      </c>
      <c r="F45">
        <v>20878.6545002534</v>
      </c>
      <c r="G45">
        <v>21568.947659435598</v>
      </c>
      <c r="H45">
        <v>22921.197588769599</v>
      </c>
      <c r="I45">
        <v>24484.065666375602</v>
      </c>
      <c r="J45">
        <v>25553.905840653399</v>
      </c>
      <c r="K45">
        <v>26204.410367110999</v>
      </c>
      <c r="L45">
        <v>27112.133379738101</v>
      </c>
      <c r="M45">
        <v>28521.6612623568</v>
      </c>
      <c r="N45">
        <v>28952.915730530101</v>
      </c>
      <c r="O45">
        <v>29168.624211074999</v>
      </c>
      <c r="P45">
        <v>30334.878656961799</v>
      </c>
      <c r="Q45">
        <v>31700.368236415401</v>
      </c>
      <c r="R45">
        <v>32675.305225995398</v>
      </c>
      <c r="S45">
        <v>34354.598761631903</v>
      </c>
      <c r="T45">
        <v>36500.411428258398</v>
      </c>
      <c r="U45">
        <v>38181.623033468903</v>
      </c>
      <c r="V45">
        <v>37469.948097779401</v>
      </c>
      <c r="W45">
        <v>41059.584782968202</v>
      </c>
      <c r="X45">
        <v>43405.021579744098</v>
      </c>
      <c r="Y45">
        <v>43624.5074099548</v>
      </c>
      <c r="Z45">
        <v>701062.26541792648</v>
      </c>
      <c r="AC45" t="s">
        <v>32</v>
      </c>
      <c r="AD45" s="3">
        <f t="shared" si="0"/>
        <v>3.8588967822480891E-2</v>
      </c>
      <c r="AE45" s="3">
        <f t="shared" si="1"/>
        <v>3.726507950009128E-2</v>
      </c>
    </row>
    <row r="46" spans="1:31" x14ac:dyDescent="0.25">
      <c r="A46" t="s">
        <v>29</v>
      </c>
      <c r="B46">
        <v>35069.8274884286</v>
      </c>
      <c r="C46">
        <v>35500.226604074698</v>
      </c>
      <c r="D46">
        <v>35578.519989011998</v>
      </c>
      <c r="E46">
        <v>35115.379458462099</v>
      </c>
      <c r="F46">
        <v>35658.129814612199</v>
      </c>
      <c r="G46">
        <v>35870.309330027703</v>
      </c>
      <c r="H46">
        <v>36387.536547066004</v>
      </c>
      <c r="I46">
        <v>37226.470189967396</v>
      </c>
      <c r="J46">
        <v>37291.5047564821</v>
      </c>
      <c r="K46">
        <v>36092.810852332499</v>
      </c>
      <c r="L46">
        <v>36703.114098447702</v>
      </c>
      <c r="M46">
        <v>36127.294871960999</v>
      </c>
      <c r="N46">
        <v>34804.633254095897</v>
      </c>
      <c r="O46">
        <v>34651.771801527102</v>
      </c>
      <c r="P46">
        <v>35097.409697869603</v>
      </c>
      <c r="Q46">
        <v>35803.3575227213</v>
      </c>
      <c r="R46">
        <v>36636.297727992402</v>
      </c>
      <c r="S46">
        <v>37943.115187543801</v>
      </c>
      <c r="T46">
        <v>39123.614882507703</v>
      </c>
      <c r="U46">
        <v>40188.286779917202</v>
      </c>
      <c r="V46">
        <v>36852.228453696902</v>
      </c>
      <c r="W46">
        <v>38657.667722342703</v>
      </c>
      <c r="X46">
        <v>41070.861368903497</v>
      </c>
      <c r="Y46">
        <v>41535.836433238197</v>
      </c>
      <c r="Z46">
        <v>884986.20483323035</v>
      </c>
      <c r="AC46" t="s">
        <v>29</v>
      </c>
      <c r="AD46" s="3">
        <f t="shared" si="0"/>
        <v>4.5624222198592523E-3</v>
      </c>
      <c r="AE46" s="3">
        <f t="shared" si="1"/>
        <v>9.5604098854111808E-3</v>
      </c>
    </row>
    <row r="47" spans="1:31" x14ac:dyDescent="0.25">
      <c r="A47" t="s">
        <v>31</v>
      </c>
      <c r="B47">
        <v>14852.8644783399</v>
      </c>
      <c r="C47">
        <v>15847.519610494001</v>
      </c>
      <c r="D47">
        <v>17060.785020442399</v>
      </c>
      <c r="E47">
        <v>17586.5922461312</v>
      </c>
      <c r="F47">
        <v>19531.513393501398</v>
      </c>
      <c r="G47">
        <v>20569.907496879601</v>
      </c>
      <c r="H47">
        <v>22353.4574991802</v>
      </c>
      <c r="I47">
        <v>24327.189165218599</v>
      </c>
      <c r="J47">
        <v>27038.261945653099</v>
      </c>
      <c r="K47">
        <v>25760.355655339299</v>
      </c>
      <c r="L47">
        <v>24901.6720895611</v>
      </c>
      <c r="M47">
        <v>26149.453470094199</v>
      </c>
      <c r="N47">
        <v>26766.1309758768</v>
      </c>
      <c r="O47">
        <v>26940.5985776056</v>
      </c>
      <c r="P47">
        <v>28154.737388473699</v>
      </c>
      <c r="Q47">
        <v>29180.434014010301</v>
      </c>
      <c r="R47">
        <v>30187.6537168467</v>
      </c>
      <c r="S47">
        <v>32851.009749864599</v>
      </c>
      <c r="T47">
        <v>35067.210592432501</v>
      </c>
      <c r="U47">
        <v>36635.483457838804</v>
      </c>
      <c r="V47">
        <v>35484.2507903109</v>
      </c>
      <c r="W47">
        <v>37732.5554954853</v>
      </c>
      <c r="X47">
        <v>39380.251786309404</v>
      </c>
      <c r="Y47">
        <v>40303.8343457308</v>
      </c>
      <c r="Z47">
        <v>654663.72296162043</v>
      </c>
      <c r="AC47" t="s">
        <v>31</v>
      </c>
      <c r="AD47" s="3">
        <f t="shared" si="0"/>
        <v>5.303263098305E-2</v>
      </c>
      <c r="AE47" s="3">
        <f t="shared" si="1"/>
        <v>3.7733863329418416E-2</v>
      </c>
    </row>
    <row r="48" spans="1:31" x14ac:dyDescent="0.25">
      <c r="A48" t="s">
        <v>33</v>
      </c>
      <c r="B48">
        <v>20309.267578125</v>
      </c>
      <c r="C48">
        <v>21435.765625</v>
      </c>
      <c r="D48">
        <v>22546.7265625</v>
      </c>
      <c r="E48">
        <v>24302.658203125</v>
      </c>
      <c r="F48">
        <v>26157.556640625</v>
      </c>
      <c r="G48">
        <v>27937.998046875</v>
      </c>
      <c r="H48">
        <v>30328.078125</v>
      </c>
      <c r="I48">
        <v>32962.30078125</v>
      </c>
      <c r="J48">
        <v>34691.57421875</v>
      </c>
      <c r="K48">
        <v>31976.005859375</v>
      </c>
      <c r="L48">
        <v>33399.92578125</v>
      </c>
      <c r="M48">
        <v>34795.03515625</v>
      </c>
      <c r="N48">
        <v>36104.2734375</v>
      </c>
      <c r="O48">
        <v>36628.921875</v>
      </c>
      <c r="P48">
        <v>36217.96484375</v>
      </c>
      <c r="Q48">
        <v>35393.5703125</v>
      </c>
      <c r="R48">
        <v>35361.546875</v>
      </c>
      <c r="S48">
        <v>35932.234375</v>
      </c>
      <c r="T48">
        <v>36908.3671875</v>
      </c>
      <c r="U48">
        <v>37698.953125</v>
      </c>
      <c r="V48">
        <v>36746.375</v>
      </c>
      <c r="W48">
        <v>38938.49609375</v>
      </c>
      <c r="X48">
        <v>38263.6171875</v>
      </c>
      <c r="Y48">
        <v>39753.45703125</v>
      </c>
      <c r="Z48">
        <v>784790.669921875</v>
      </c>
      <c r="AC48" t="s">
        <v>33</v>
      </c>
      <c r="AD48" s="3">
        <f t="shared" si="0"/>
        <v>5.1005827401524595E-2</v>
      </c>
      <c r="AE48" s="3">
        <f t="shared" si="1"/>
        <v>1.3485748650472473E-2</v>
      </c>
    </row>
    <row r="49" spans="1:31" x14ac:dyDescent="0.25">
      <c r="A49" t="s">
        <v>23</v>
      </c>
      <c r="B49">
        <v>68019.529565249599</v>
      </c>
      <c r="C49">
        <v>65500.313408000002</v>
      </c>
      <c r="D49">
        <v>67451.718146654894</v>
      </c>
      <c r="E49">
        <v>71567.133330992801</v>
      </c>
      <c r="F49">
        <v>77702.014921437207</v>
      </c>
      <c r="G49">
        <v>81487.7295599192</v>
      </c>
      <c r="H49">
        <v>86090.436267817597</v>
      </c>
      <c r="I49">
        <v>90027.340098959205</v>
      </c>
      <c r="J49">
        <v>86952.462874860095</v>
      </c>
      <c r="K49">
        <v>84477.1245525634</v>
      </c>
      <c r="L49">
        <v>95043.963881918899</v>
      </c>
      <c r="M49">
        <v>98867.945282902103</v>
      </c>
      <c r="N49">
        <v>100750.84796493901</v>
      </c>
      <c r="O49">
        <v>103908.35853259399</v>
      </c>
      <c r="P49">
        <v>106604.49277128201</v>
      </c>
      <c r="Q49">
        <v>108483.21006419</v>
      </c>
      <c r="R49">
        <v>110927.69304636899</v>
      </c>
      <c r="S49">
        <v>115831.11150958799</v>
      </c>
      <c r="T49">
        <v>119343.14552791799</v>
      </c>
      <c r="U49">
        <v>119572.277084107</v>
      </c>
      <c r="V49">
        <v>115304.149458638</v>
      </c>
      <c r="W49">
        <v>131864.092335522</v>
      </c>
      <c r="X49">
        <v>132468.93025264601</v>
      </c>
      <c r="Y49">
        <v>127543.55475210999</v>
      </c>
      <c r="Z49">
        <v>2365789.5751911784</v>
      </c>
      <c r="AC49" t="s">
        <v>23</v>
      </c>
      <c r="AD49" s="3">
        <f t="shared" si="0"/>
        <v>3.4020363585871793E-2</v>
      </c>
      <c r="AE49" s="3">
        <f t="shared" si="1"/>
        <v>2.2882363283201146E-2</v>
      </c>
    </row>
    <row r="50" spans="1:31" x14ac:dyDescent="0.25">
      <c r="A50" t="s">
        <v>24</v>
      </c>
      <c r="B50">
        <v>18335.656131485699</v>
      </c>
      <c r="C50">
        <v>18906.572938659501</v>
      </c>
      <c r="D50">
        <v>19748.902197177398</v>
      </c>
      <c r="E50">
        <v>20721.6816104668</v>
      </c>
      <c r="F50">
        <v>21842.923573066499</v>
      </c>
      <c r="G50">
        <v>23257.140881089901</v>
      </c>
      <c r="H50">
        <v>25331.835910014001</v>
      </c>
      <c r="I50">
        <v>28064.2039151309</v>
      </c>
      <c r="J50">
        <v>29544.046508829899</v>
      </c>
      <c r="K50">
        <v>27880.369365911702</v>
      </c>
      <c r="L50">
        <v>29745.875268212701</v>
      </c>
      <c r="M50">
        <v>30468.780176376698</v>
      </c>
      <c r="N50">
        <v>30894.265669966499</v>
      </c>
      <c r="O50">
        <v>31078.1384435037</v>
      </c>
      <c r="P50">
        <v>31888.757487153998</v>
      </c>
      <c r="Q50">
        <v>33507.741197561903</v>
      </c>
      <c r="R50">
        <v>34116.3993342467</v>
      </c>
      <c r="S50">
        <v>35042.733294501602</v>
      </c>
      <c r="T50">
        <v>36415.737586824798</v>
      </c>
      <c r="U50">
        <v>37194.154854089997</v>
      </c>
      <c r="V50">
        <v>36201.432222226802</v>
      </c>
      <c r="W50">
        <v>38356.050123101799</v>
      </c>
      <c r="X50">
        <v>38638.436462407401</v>
      </c>
      <c r="Y50">
        <v>39207.181783870103</v>
      </c>
      <c r="Z50">
        <v>716389.0169358768</v>
      </c>
      <c r="AC50" t="s">
        <v>24</v>
      </c>
      <c r="AD50" s="3">
        <f t="shared" si="0"/>
        <v>4.9573917473965556E-2</v>
      </c>
      <c r="AE50" s="3">
        <f t="shared" si="1"/>
        <v>2.147106086493844E-2</v>
      </c>
    </row>
    <row r="51" spans="1:31" x14ac:dyDescent="0.25">
      <c r="A51" t="s">
        <v>25</v>
      </c>
      <c r="B51">
        <v>30063.118469167901</v>
      </c>
      <c r="C51">
        <v>30864.859818060399</v>
      </c>
      <c r="D51">
        <v>31838.547272191201</v>
      </c>
      <c r="E51">
        <v>32835.993745464199</v>
      </c>
      <c r="F51">
        <v>34306.738373130698</v>
      </c>
      <c r="G51">
        <v>35567.304443277397</v>
      </c>
      <c r="H51">
        <v>37548.884382659497</v>
      </c>
      <c r="I51">
        <v>40005.247115062703</v>
      </c>
      <c r="J51">
        <v>41288.972889344899</v>
      </c>
      <c r="K51">
        <v>37811.5784460832</v>
      </c>
      <c r="L51">
        <v>38065.735826937198</v>
      </c>
      <c r="M51">
        <v>38235.723194986604</v>
      </c>
      <c r="N51">
        <v>37043.0647295409</v>
      </c>
      <c r="O51">
        <v>36688.083234117199</v>
      </c>
      <c r="P51">
        <v>37664.651076080903</v>
      </c>
      <c r="Q51">
        <v>38537.095252366002</v>
      </c>
      <c r="R51">
        <v>39677.416855345997</v>
      </c>
      <c r="S51">
        <v>41703.3045867771</v>
      </c>
      <c r="T51">
        <v>43371.980893316999</v>
      </c>
      <c r="U51">
        <v>44580.7769847249</v>
      </c>
      <c r="V51">
        <v>42474.225201101297</v>
      </c>
      <c r="W51">
        <v>45914.057239240603</v>
      </c>
      <c r="X51">
        <v>47064.151249834496</v>
      </c>
      <c r="Y51">
        <v>47868.3858574849</v>
      </c>
      <c r="Z51">
        <v>931019.89713629708</v>
      </c>
      <c r="AC51" t="s">
        <v>25</v>
      </c>
      <c r="AD51" s="3">
        <f t="shared" si="0"/>
        <v>2.3882264050567814E-2</v>
      </c>
      <c r="AE51" s="3">
        <f t="shared" si="1"/>
        <v>1.7782468227170556E-2</v>
      </c>
    </row>
    <row r="52" spans="1:31" x14ac:dyDescent="0.25">
      <c r="A52" t="s">
        <v>21</v>
      </c>
      <c r="B52">
        <v>39945.8971232689</v>
      </c>
      <c r="C52">
        <v>41224.2923920662</v>
      </c>
      <c r="D52">
        <v>41766.037820343903</v>
      </c>
      <c r="E52">
        <v>42223.130204048401</v>
      </c>
      <c r="F52">
        <v>42793.3902509502</v>
      </c>
      <c r="G52">
        <v>43570.765246952396</v>
      </c>
      <c r="H52">
        <v>44572.681557217998</v>
      </c>
      <c r="I52">
        <v>45301.2843487805</v>
      </c>
      <c r="J52">
        <v>44926.348970773601</v>
      </c>
      <c r="K52">
        <v>42852.220905472597</v>
      </c>
      <c r="L52">
        <v>42695.5274380958</v>
      </c>
      <c r="M52">
        <v>42271.834674436599</v>
      </c>
      <c r="N52">
        <v>41034.048158065903</v>
      </c>
      <c r="O52">
        <v>40581.114213827401</v>
      </c>
      <c r="P52">
        <v>41321.490912674999</v>
      </c>
      <c r="Q52">
        <v>43032.877345956302</v>
      </c>
      <c r="R52">
        <v>44249.976766047701</v>
      </c>
      <c r="S52">
        <v>45424.788558459499</v>
      </c>
      <c r="T52">
        <v>46309.625920943603</v>
      </c>
      <c r="U52">
        <v>46880.163767128703</v>
      </c>
      <c r="V52">
        <v>41547.981404008598</v>
      </c>
      <c r="W52">
        <v>44277.822537849403</v>
      </c>
      <c r="X52">
        <v>46675.911851511199</v>
      </c>
      <c r="Y52">
        <v>47341.171810558997</v>
      </c>
      <c r="Z52">
        <v>1042820.3841794394</v>
      </c>
      <c r="AC52" t="s">
        <v>21</v>
      </c>
      <c r="AD52" s="3">
        <f t="shared" si="0"/>
        <v>6.6790263018028373E-3</v>
      </c>
      <c r="AE52" s="3">
        <f t="shared" si="1"/>
        <v>7.9767372183527918E-3</v>
      </c>
    </row>
    <row r="53" spans="1:31" x14ac:dyDescent="0.25">
      <c r="A53" t="s">
        <v>20</v>
      </c>
      <c r="B53">
        <v>47875.084465257904</v>
      </c>
      <c r="C53">
        <v>48396.448012862202</v>
      </c>
      <c r="D53">
        <v>49337.933975084401</v>
      </c>
      <c r="E53">
        <v>50079.264421824402</v>
      </c>
      <c r="F53">
        <v>51967.552186466797</v>
      </c>
      <c r="G53">
        <v>53205.878672023202</v>
      </c>
      <c r="H53">
        <v>55381.395687982098</v>
      </c>
      <c r="I53">
        <v>56745.0382580316</v>
      </c>
      <c r="J53">
        <v>55784.931346836704</v>
      </c>
      <c r="K53">
        <v>52957.884744544703</v>
      </c>
      <c r="L53">
        <v>55527.939814593301</v>
      </c>
      <c r="M53">
        <v>56853.837157133297</v>
      </c>
      <c r="N53">
        <v>56200.902261909003</v>
      </c>
      <c r="O53">
        <v>56360.708419996401</v>
      </c>
      <c r="P53">
        <v>57085.385365457303</v>
      </c>
      <c r="Q53">
        <v>58975.9778926613</v>
      </c>
      <c r="R53">
        <v>59608.087457127003</v>
      </c>
      <c r="S53">
        <v>59883.667764724501</v>
      </c>
      <c r="T53">
        <v>60318.460727101701</v>
      </c>
      <c r="U53">
        <v>61232.484850410001</v>
      </c>
      <c r="V53">
        <v>59572.474768632899</v>
      </c>
      <c r="W53">
        <v>62731.700616292903</v>
      </c>
      <c r="X53">
        <v>63215.436309827601</v>
      </c>
      <c r="Y53">
        <v>62721.845525516597</v>
      </c>
      <c r="Z53">
        <v>1352020.3207022976</v>
      </c>
      <c r="AC53" t="s">
        <v>20</v>
      </c>
      <c r="AD53" s="3">
        <f t="shared" si="0"/>
        <v>1.4939607006698052E-2</v>
      </c>
      <c r="AE53" s="3">
        <f t="shared" si="1"/>
        <v>9.4150830541754882E-3</v>
      </c>
    </row>
    <row r="54" spans="1:31" x14ac:dyDescent="0.25">
      <c r="A54" t="s">
        <v>22</v>
      </c>
      <c r="B54">
        <v>67328.309627447103</v>
      </c>
      <c r="C54">
        <v>67957.795424777505</v>
      </c>
      <c r="D54">
        <v>67396.273461768506</v>
      </c>
      <c r="E54">
        <v>66876.4236498393</v>
      </c>
      <c r="F54">
        <v>68212.702908436098</v>
      </c>
      <c r="G54">
        <v>69640.7949210933</v>
      </c>
      <c r="H54">
        <v>72024.286407145497</v>
      </c>
      <c r="I54">
        <v>74179.124869842693</v>
      </c>
      <c r="J54">
        <v>75299.193154646695</v>
      </c>
      <c r="K54">
        <v>72655.770657695699</v>
      </c>
      <c r="L54">
        <v>74235.044217036295</v>
      </c>
      <c r="M54">
        <v>74745.291273183393</v>
      </c>
      <c r="N54">
        <v>74827.957027210199</v>
      </c>
      <c r="O54">
        <v>75298.146483402103</v>
      </c>
      <c r="P54">
        <v>76132.972210165899</v>
      </c>
      <c r="Q54">
        <v>76509.167930530297</v>
      </c>
      <c r="R54">
        <v>77243.7566847165</v>
      </c>
      <c r="S54">
        <v>77569.204840956896</v>
      </c>
      <c r="T54">
        <v>79202.443624086998</v>
      </c>
      <c r="U54">
        <v>79537.541059246505</v>
      </c>
      <c r="V54">
        <v>77267.413711779504</v>
      </c>
      <c r="W54">
        <v>80812.591097403696</v>
      </c>
      <c r="X54">
        <v>82203.0592757056</v>
      </c>
      <c r="Y54">
        <v>81757.687790350596</v>
      </c>
      <c r="Z54">
        <v>1788912.9523084671</v>
      </c>
      <c r="AC54" t="s">
        <v>22</v>
      </c>
      <c r="AD54" s="3">
        <f t="shared" si="0"/>
        <v>9.8133922406593577E-3</v>
      </c>
      <c r="AE54" s="3">
        <f t="shared" si="1"/>
        <v>7.4525184184233151E-3</v>
      </c>
    </row>
    <row r="55" spans="1:31" x14ac:dyDescent="0.25">
      <c r="A55" t="s">
        <v>18</v>
      </c>
      <c r="B55">
        <v>11622.111667101601</v>
      </c>
      <c r="C55">
        <v>11900.8949342988</v>
      </c>
      <c r="D55">
        <v>12511.738130621199</v>
      </c>
      <c r="E55">
        <v>13286.8323292884</v>
      </c>
      <c r="F55">
        <v>13996.5035765712</v>
      </c>
      <c r="G55">
        <v>14457.740966195999</v>
      </c>
      <c r="H55">
        <v>15050.5253765829</v>
      </c>
      <c r="I55">
        <v>15742.095393990499</v>
      </c>
      <c r="J55">
        <v>15891.2171420249</v>
      </c>
      <c r="K55">
        <v>15665.345949885699</v>
      </c>
      <c r="L55">
        <v>16729.774764714999</v>
      </c>
      <c r="M55">
        <v>16765.751402482299</v>
      </c>
      <c r="N55">
        <v>17869.0021183963</v>
      </c>
      <c r="O55">
        <v>18241.7768708</v>
      </c>
      <c r="P55">
        <v>18323.9627436667</v>
      </c>
      <c r="Q55">
        <v>18811.328452170699</v>
      </c>
      <c r="R55">
        <v>19369.919855894601</v>
      </c>
      <c r="S55">
        <v>20093.963199274</v>
      </c>
      <c r="T55">
        <v>20879.1601782531</v>
      </c>
      <c r="U55">
        <v>21277.082511780001</v>
      </c>
      <c r="V55">
        <v>19956.547351365902</v>
      </c>
      <c r="W55">
        <v>20245.242411127099</v>
      </c>
      <c r="X55">
        <v>20741.5235270511</v>
      </c>
      <c r="Y55">
        <v>21142.664333116201</v>
      </c>
      <c r="Z55">
        <v>410572.70518665417</v>
      </c>
      <c r="AC55" t="s">
        <v>18</v>
      </c>
      <c r="AD55" s="3">
        <f t="shared" si="0"/>
        <v>3.709969135454827E-2</v>
      </c>
      <c r="AE55" s="3">
        <f t="shared" si="1"/>
        <v>1.8171039750674023E-2</v>
      </c>
    </row>
    <row r="56" spans="1:31" x14ac:dyDescent="0.25">
      <c r="A56" t="s">
        <v>19</v>
      </c>
      <c r="B56">
        <v>14737.4417410446</v>
      </c>
      <c r="C56">
        <v>13718.277913129899</v>
      </c>
      <c r="D56">
        <v>14427.760862544499</v>
      </c>
      <c r="E56">
        <v>15083.1352817439</v>
      </c>
      <c r="F56">
        <v>16376.964743087699</v>
      </c>
      <c r="G56">
        <v>17659.8983161707</v>
      </c>
      <c r="H56">
        <v>18693.901038526899</v>
      </c>
      <c r="I56">
        <v>19605.167902055699</v>
      </c>
      <c r="J56">
        <v>19516.385175335799</v>
      </c>
      <c r="K56">
        <v>18320.448922056199</v>
      </c>
      <c r="L56">
        <v>19564.788895310699</v>
      </c>
      <c r="M56">
        <v>21439.069055190699</v>
      </c>
      <c r="N56">
        <v>22181.120777088701</v>
      </c>
      <c r="O56">
        <v>23756.273041748598</v>
      </c>
      <c r="P56">
        <v>24595.699058767401</v>
      </c>
      <c r="Q56">
        <v>25746.432449474902</v>
      </c>
      <c r="R56">
        <v>26246.494711835399</v>
      </c>
      <c r="S56">
        <v>27851.982002966601</v>
      </c>
      <c r="T56">
        <v>28305.461248494299</v>
      </c>
      <c r="U56">
        <v>28132.053574535901</v>
      </c>
      <c r="V56">
        <v>28378.552084953899</v>
      </c>
      <c r="W56">
        <v>31338.266519024601</v>
      </c>
      <c r="X56">
        <v>32748.318901018101</v>
      </c>
      <c r="Y56">
        <v>34282.536504254698</v>
      </c>
      <c r="Z56">
        <v>542706.43072036037</v>
      </c>
      <c r="AC56" t="s">
        <v>19</v>
      </c>
      <c r="AD56" s="3">
        <f t="shared" si="0"/>
        <v>2.873924168212505E-2</v>
      </c>
      <c r="AE56" s="3">
        <f t="shared" si="1"/>
        <v>4.4090852513594347E-2</v>
      </c>
    </row>
    <row r="57" spans="1:31" x14ac:dyDescent="0.25">
      <c r="A57" t="s">
        <v>14</v>
      </c>
      <c r="B57">
        <v>43247.636387345803</v>
      </c>
      <c r="C57">
        <v>44189.854889677801</v>
      </c>
      <c r="D57">
        <v>44793.326072707197</v>
      </c>
      <c r="E57">
        <v>45990.715890991298</v>
      </c>
      <c r="F57">
        <v>46853.792539570102</v>
      </c>
      <c r="G57">
        <v>47804.785256968797</v>
      </c>
      <c r="H57">
        <v>48584.435946901198</v>
      </c>
      <c r="I57">
        <v>49472.985996222997</v>
      </c>
      <c r="J57">
        <v>48963.023157871001</v>
      </c>
      <c r="K57">
        <v>46348.753417533502</v>
      </c>
      <c r="L57">
        <v>47013.882412325402</v>
      </c>
      <c r="M57">
        <v>47178.919900106601</v>
      </c>
      <c r="N57">
        <v>47558.993636203697</v>
      </c>
      <c r="O57">
        <v>48091.846596298899</v>
      </c>
      <c r="P57">
        <v>49264.055374122399</v>
      </c>
      <c r="Q57">
        <v>49961.687628765998</v>
      </c>
      <c r="R57">
        <v>50537.341752810797</v>
      </c>
      <c r="S57">
        <v>51528.604674342401</v>
      </c>
      <c r="T57">
        <v>51937.022697729502</v>
      </c>
      <c r="U57">
        <v>52483.812508839197</v>
      </c>
      <c r="V57">
        <v>46907.713926402801</v>
      </c>
      <c r="W57">
        <v>50972.244587998699</v>
      </c>
      <c r="X57">
        <v>52836.0247301829</v>
      </c>
      <c r="Y57">
        <v>52582.061213859401</v>
      </c>
      <c r="Z57">
        <v>1165103.5211957784</v>
      </c>
      <c r="AC57" t="s">
        <v>14</v>
      </c>
      <c r="AD57" s="3">
        <f t="shared" si="0"/>
        <v>8.3849934431523554E-3</v>
      </c>
      <c r="AE57" s="3">
        <f t="shared" si="1"/>
        <v>8.647334930293793E-3</v>
      </c>
    </row>
    <row r="58" spans="1:31" x14ac:dyDescent="0.25">
      <c r="A58" t="s">
        <v>15</v>
      </c>
      <c r="B58">
        <v>55038.622496233598</v>
      </c>
      <c r="C58">
        <v>55017.304977907603</v>
      </c>
      <c r="D58">
        <v>55436.116979088998</v>
      </c>
      <c r="E58">
        <v>56498.207830632702</v>
      </c>
      <c r="F58">
        <v>58131.633682497602</v>
      </c>
      <c r="G58">
        <v>59604.753635908302</v>
      </c>
      <c r="H58">
        <v>60676.565569186001</v>
      </c>
      <c r="I58">
        <v>61306.596938999697</v>
      </c>
      <c r="J58">
        <v>60798.4338395386</v>
      </c>
      <c r="K58">
        <v>58714.973688161197</v>
      </c>
      <c r="L58">
        <v>59799.286862457302</v>
      </c>
      <c r="M58">
        <v>60294.978803065998</v>
      </c>
      <c r="N58">
        <v>61224.405542414002</v>
      </c>
      <c r="O58">
        <v>62089.348236960897</v>
      </c>
      <c r="P58">
        <v>63191.247780592697</v>
      </c>
      <c r="Q58">
        <v>64575.4081869043</v>
      </c>
      <c r="R58">
        <v>65275.571817859898</v>
      </c>
      <c r="S58">
        <v>66458.023373496297</v>
      </c>
      <c r="T58">
        <v>68070.213421811</v>
      </c>
      <c r="U58">
        <v>69511.763440906696</v>
      </c>
      <c r="V58">
        <v>67352.387139280094</v>
      </c>
      <c r="W58">
        <v>71318.307359218306</v>
      </c>
      <c r="X58">
        <v>72841.924312708201</v>
      </c>
      <c r="Y58">
        <v>74577.506539672293</v>
      </c>
      <c r="Z58">
        <v>1507803.5824555026</v>
      </c>
      <c r="AC58" t="s">
        <v>15</v>
      </c>
      <c r="AD58" s="3">
        <f t="shared" si="0"/>
        <v>8.3303629259507961E-3</v>
      </c>
      <c r="AE58" s="3">
        <f t="shared" si="1"/>
        <v>1.7133210959963563E-2</v>
      </c>
    </row>
    <row r="59" spans="1:31" x14ac:dyDescent="0.25">
      <c r="A59" t="s">
        <v>9</v>
      </c>
      <c r="B59">
        <v>18812.981031221701</v>
      </c>
      <c r="C59">
        <v>18045.338074725099</v>
      </c>
      <c r="D59">
        <v>16626.6312064146</v>
      </c>
      <c r="E59">
        <v>16748.6771824629</v>
      </c>
      <c r="F59">
        <v>17576.298019275298</v>
      </c>
      <c r="G59">
        <v>18872.435351566401</v>
      </c>
      <c r="H59">
        <v>19623.630149877801</v>
      </c>
      <c r="I59">
        <v>20871.482572638299</v>
      </c>
      <c r="J59">
        <v>22321.669134420801</v>
      </c>
      <c r="K59">
        <v>23213.254963148702</v>
      </c>
      <c r="L59">
        <v>24960.666663225002</v>
      </c>
      <c r="M59">
        <v>26184.1151409099</v>
      </c>
      <c r="N59">
        <v>27040.849131823001</v>
      </c>
      <c r="O59">
        <v>28210.840212653999</v>
      </c>
      <c r="P59">
        <v>29029.1041532938</v>
      </c>
      <c r="Q59">
        <v>29035.657344665698</v>
      </c>
      <c r="R59">
        <v>29427.8652876993</v>
      </c>
      <c r="S59">
        <v>29859.127942646501</v>
      </c>
      <c r="T59">
        <v>29854.618893091199</v>
      </c>
      <c r="U59">
        <v>30108.0750507886</v>
      </c>
      <c r="V59">
        <v>27871.600478861801</v>
      </c>
      <c r="W59">
        <v>29441.477486965399</v>
      </c>
      <c r="X59">
        <v>30879.928817899399</v>
      </c>
      <c r="Y59">
        <v>31019.311391209802</v>
      </c>
      <c r="Z59">
        <v>595635.63568148506</v>
      </c>
      <c r="AC59" t="s">
        <v>9</v>
      </c>
      <c r="AD59" s="3">
        <f t="shared" si="0"/>
        <v>2.867895804476106E-2</v>
      </c>
      <c r="AE59" s="3">
        <f t="shared" si="1"/>
        <v>1.6856549310273916E-2</v>
      </c>
    </row>
    <row r="60" spans="1:31" x14ac:dyDescent="0.25">
      <c r="A60" t="s">
        <v>17</v>
      </c>
      <c r="B60">
        <v>4349.2234875146196</v>
      </c>
      <c r="C60">
        <v>4570.26846577385</v>
      </c>
      <c r="D60">
        <v>4809.6215111853498</v>
      </c>
      <c r="E60">
        <v>5090.28990869885</v>
      </c>
      <c r="F60">
        <v>5421.0970282912103</v>
      </c>
      <c r="G60">
        <v>5776.3630445126801</v>
      </c>
      <c r="H60">
        <v>6098.2449543651401</v>
      </c>
      <c r="I60">
        <v>6418.5438140287797</v>
      </c>
      <c r="J60">
        <v>6659.1356143206503</v>
      </c>
      <c r="K60">
        <v>6914.3386358954504</v>
      </c>
      <c r="L60">
        <v>7274.7331069801603</v>
      </c>
      <c r="M60">
        <v>7652.6189567227102</v>
      </c>
      <c r="N60">
        <v>7979.8682892685802</v>
      </c>
      <c r="O60">
        <v>8324.1987125004707</v>
      </c>
      <c r="P60">
        <v>8751.8828063437504</v>
      </c>
      <c r="Q60">
        <v>9248.0239606962205</v>
      </c>
      <c r="R60">
        <v>9743.1882231455002</v>
      </c>
      <c r="S60">
        <v>10290.5487142244</v>
      </c>
      <c r="T60">
        <v>10936.893785955799</v>
      </c>
      <c r="U60">
        <v>11628.613914745099</v>
      </c>
      <c r="V60">
        <v>11851.3965685649</v>
      </c>
      <c r="W60">
        <v>12048.9019935536</v>
      </c>
      <c r="X60">
        <v>12930.2562185687</v>
      </c>
      <c r="Y60">
        <v>13491.879417397</v>
      </c>
      <c r="Z60">
        <v>198260.13113325345</v>
      </c>
      <c r="AC60" t="s">
        <v>17</v>
      </c>
      <c r="AD60" s="3">
        <f t="shared" si="0"/>
        <v>5.2787049546949349E-2</v>
      </c>
      <c r="AE60" s="3">
        <f t="shared" si="1"/>
        <v>4.8660789808002702E-2</v>
      </c>
    </row>
    <row r="61" spans="1:31" x14ac:dyDescent="0.25">
      <c r="A61" t="s">
        <v>72</v>
      </c>
      <c r="B61">
        <v>1826715.5743957027</v>
      </c>
      <c r="C61">
        <v>1852201.8489644874</v>
      </c>
      <c r="D61">
        <v>1880578.6142468231</v>
      </c>
      <c r="E61">
        <v>1919464.1162177229</v>
      </c>
      <c r="F61">
        <v>1995186.5778766698</v>
      </c>
      <c r="G61">
        <v>2057668.5411370876</v>
      </c>
      <c r="H61">
        <v>2139839.0453306404</v>
      </c>
      <c r="I61">
        <v>2222912.8011559257</v>
      </c>
      <c r="J61">
        <v>2233619.0977636115</v>
      </c>
      <c r="K61">
        <v>2140096.6183808008</v>
      </c>
      <c r="L61">
        <v>2194715.5475629801</v>
      </c>
      <c r="M61">
        <v>2234474.4697596733</v>
      </c>
      <c r="N61">
        <v>2246606.6981564909</v>
      </c>
      <c r="O61">
        <v>2271013.7374775461</v>
      </c>
      <c r="P61">
        <v>2311472.9287922489</v>
      </c>
      <c r="Q61">
        <v>2361794.9207295622</v>
      </c>
      <c r="R61">
        <v>2404371.8716406659</v>
      </c>
      <c r="S61">
        <v>2465637.5787280928</v>
      </c>
      <c r="T61">
        <v>2517385.3960674834</v>
      </c>
      <c r="U61">
        <v>2554388.526305601</v>
      </c>
      <c r="V61">
        <v>2448929.1460536658</v>
      </c>
      <c r="W61">
        <v>2611045.2576806783</v>
      </c>
      <c r="X61">
        <v>2614168.4266197085</v>
      </c>
      <c r="Y61">
        <v>2610942.7864788454</v>
      </c>
      <c r="Z61">
        <v>54115230.127522729</v>
      </c>
      <c r="AD61" s="3">
        <f t="shared" si="0"/>
        <v>1.8522742743452003E-2</v>
      </c>
      <c r="AE61" s="3">
        <f t="shared" si="1"/>
        <v>1.3448000996581833E-2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6AE2C-0173-47FC-82CB-4821FAB9D648}">
  <sheetPr>
    <tabColor rgb="FFFFC000"/>
  </sheetPr>
  <dimension ref="A1:Z58"/>
  <sheetViews>
    <sheetView workbookViewId="0">
      <selection activeCell="E63" sqref="E63"/>
    </sheetView>
  </sheetViews>
  <sheetFormatPr baseColWidth="10" defaultRowHeight="15" x14ac:dyDescent="0.25"/>
  <sheetData>
    <row r="1" spans="1:26" x14ac:dyDescent="0.25">
      <c r="A1" t="s">
        <v>8</v>
      </c>
      <c r="B1" t="s">
        <v>13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5</v>
      </c>
      <c r="C5">
        <v>8.1999999999999993</v>
      </c>
      <c r="D5">
        <v>12.4</v>
      </c>
      <c r="E5">
        <v>5.4</v>
      </c>
      <c r="F5">
        <v>3.9</v>
      </c>
      <c r="G5">
        <v>2.7</v>
      </c>
      <c r="H5">
        <v>2.2000000000000002</v>
      </c>
      <c r="I5">
        <v>1.8</v>
      </c>
      <c r="J5">
        <v>1.6</v>
      </c>
      <c r="K5">
        <v>1.6</v>
      </c>
      <c r="L5">
        <v>0.7</v>
      </c>
      <c r="M5">
        <v>0.7</v>
      </c>
      <c r="N5">
        <v>0.6</v>
      </c>
      <c r="O5">
        <v>0.7</v>
      </c>
      <c r="P5">
        <v>0.6</v>
      </c>
      <c r="R5">
        <v>0.7</v>
      </c>
      <c r="S5">
        <v>0.6</v>
      </c>
      <c r="T5">
        <v>1</v>
      </c>
      <c r="U5">
        <v>1.1000000000000001</v>
      </c>
      <c r="V5">
        <v>1.2</v>
      </c>
      <c r="W5">
        <v>0.9</v>
      </c>
      <c r="X5">
        <v>0.6</v>
      </c>
      <c r="Z5">
        <v>54.200000000000024</v>
      </c>
    </row>
    <row r="6" spans="1:26" x14ac:dyDescent="0.25">
      <c r="A6" t="s">
        <v>69</v>
      </c>
      <c r="C6">
        <v>0.7</v>
      </c>
      <c r="E6">
        <v>1</v>
      </c>
      <c r="F6">
        <v>0.7</v>
      </c>
      <c r="J6">
        <v>0.4</v>
      </c>
      <c r="L6">
        <v>0.3</v>
      </c>
      <c r="P6">
        <v>0.5</v>
      </c>
      <c r="R6">
        <v>0.5</v>
      </c>
      <c r="T6">
        <v>0.5</v>
      </c>
      <c r="Z6">
        <v>4.5999999999999996</v>
      </c>
    </row>
    <row r="7" spans="1:26" x14ac:dyDescent="0.25">
      <c r="A7" t="s">
        <v>70</v>
      </c>
      <c r="B7">
        <v>0</v>
      </c>
      <c r="E7">
        <v>0.3</v>
      </c>
      <c r="F7">
        <v>0.1</v>
      </c>
      <c r="G7">
        <v>0.2</v>
      </c>
      <c r="H7">
        <v>0.1</v>
      </c>
      <c r="I7">
        <v>0.4</v>
      </c>
      <c r="J7">
        <v>0.5</v>
      </c>
      <c r="K7">
        <v>0.7</v>
      </c>
      <c r="L7">
        <v>0.5</v>
      </c>
      <c r="M7">
        <v>0.4</v>
      </c>
      <c r="N7">
        <v>0.6</v>
      </c>
      <c r="O7">
        <v>0.3</v>
      </c>
      <c r="P7">
        <v>0.2</v>
      </c>
      <c r="Q7">
        <v>0.7</v>
      </c>
      <c r="R7">
        <v>0.7</v>
      </c>
      <c r="S7">
        <v>0.3</v>
      </c>
      <c r="T7">
        <v>0.6</v>
      </c>
      <c r="U7">
        <v>0.6</v>
      </c>
      <c r="V7">
        <v>0.7</v>
      </c>
      <c r="W7">
        <v>0.5</v>
      </c>
      <c r="Z7">
        <v>8.3999999999999986</v>
      </c>
    </row>
    <row r="8" spans="1:26" x14ac:dyDescent="0.25">
      <c r="A8" t="s">
        <v>67</v>
      </c>
      <c r="B8">
        <v>0.3</v>
      </c>
      <c r="E8">
        <v>0.3</v>
      </c>
      <c r="F8">
        <v>0.1</v>
      </c>
      <c r="G8">
        <v>0.2</v>
      </c>
      <c r="H8">
        <v>0.2</v>
      </c>
      <c r="I8">
        <v>0.2</v>
      </c>
      <c r="J8">
        <v>0.1</v>
      </c>
      <c r="K8">
        <v>0.1</v>
      </c>
      <c r="L8">
        <v>0.1</v>
      </c>
      <c r="M8">
        <v>0.2</v>
      </c>
      <c r="N8">
        <v>0.2</v>
      </c>
      <c r="O8">
        <v>0.1</v>
      </c>
      <c r="P8">
        <v>0.1</v>
      </c>
      <c r="Q8">
        <v>0.1</v>
      </c>
      <c r="R8">
        <v>0.1</v>
      </c>
      <c r="S8">
        <v>0.1</v>
      </c>
      <c r="T8">
        <v>0.1</v>
      </c>
      <c r="U8">
        <v>0.1</v>
      </c>
      <c r="V8">
        <v>0.1</v>
      </c>
      <c r="W8">
        <v>0</v>
      </c>
      <c r="Z8">
        <v>2.8000000000000007</v>
      </c>
    </row>
    <row r="9" spans="1:26" x14ac:dyDescent="0.25">
      <c r="A9" t="s">
        <v>62</v>
      </c>
      <c r="C9">
        <v>13</v>
      </c>
      <c r="D9">
        <v>11.7</v>
      </c>
      <c r="E9">
        <v>12.6</v>
      </c>
      <c r="F9">
        <v>11.1</v>
      </c>
      <c r="G9">
        <v>10</v>
      </c>
      <c r="H9">
        <v>8.3000000000000007</v>
      </c>
      <c r="I9">
        <v>7.9</v>
      </c>
      <c r="J9">
        <v>6.5</v>
      </c>
      <c r="K9">
        <v>6.1</v>
      </c>
      <c r="M9">
        <v>5.3</v>
      </c>
      <c r="N9">
        <v>4.5</v>
      </c>
      <c r="O9">
        <v>3.7</v>
      </c>
      <c r="P9">
        <v>3.3</v>
      </c>
      <c r="Q9">
        <v>3.9</v>
      </c>
      <c r="R9">
        <v>4.7</v>
      </c>
      <c r="S9">
        <v>5.3</v>
      </c>
      <c r="T9">
        <v>5.3</v>
      </c>
      <c r="U9">
        <v>5.4</v>
      </c>
      <c r="V9">
        <v>2</v>
      </c>
      <c r="W9">
        <v>5.8</v>
      </c>
      <c r="X9">
        <v>3.5</v>
      </c>
      <c r="Z9">
        <v>139.9</v>
      </c>
    </row>
    <row r="10" spans="1:26" x14ac:dyDescent="0.25">
      <c r="A10" t="s">
        <v>66</v>
      </c>
      <c r="H10">
        <v>5.8</v>
      </c>
      <c r="I10">
        <v>1.8</v>
      </c>
      <c r="J10">
        <v>1.3</v>
      </c>
      <c r="K10">
        <v>1.3</v>
      </c>
      <c r="L10">
        <v>2</v>
      </c>
      <c r="M10">
        <v>2.5</v>
      </c>
      <c r="N10">
        <v>2.2999999999999998</v>
      </c>
      <c r="O10">
        <v>1.8</v>
      </c>
      <c r="P10">
        <v>1.7</v>
      </c>
      <c r="Q10">
        <v>3.4</v>
      </c>
      <c r="R10">
        <v>2</v>
      </c>
      <c r="S10">
        <v>1.4</v>
      </c>
      <c r="T10">
        <v>0.9</v>
      </c>
      <c r="U10">
        <v>0.9</v>
      </c>
      <c r="V10">
        <v>0.2</v>
      </c>
      <c r="W10">
        <v>0.7</v>
      </c>
      <c r="Z10">
        <v>29.999999999999993</v>
      </c>
    </row>
    <row r="11" spans="1:26" x14ac:dyDescent="0.25">
      <c r="A11" t="s">
        <v>64</v>
      </c>
      <c r="B11">
        <v>0.2</v>
      </c>
      <c r="C11">
        <v>0.2</v>
      </c>
      <c r="D11">
        <v>0.2</v>
      </c>
      <c r="E11">
        <v>0.2</v>
      </c>
      <c r="F11">
        <v>0.2</v>
      </c>
      <c r="G11">
        <v>0.2</v>
      </c>
      <c r="H11">
        <v>0.2</v>
      </c>
      <c r="I11">
        <v>0.2</v>
      </c>
      <c r="J11">
        <v>0.2</v>
      </c>
      <c r="K11">
        <v>0.2</v>
      </c>
      <c r="L11">
        <v>0.2</v>
      </c>
      <c r="M11">
        <v>0.2</v>
      </c>
      <c r="N11">
        <v>0.2</v>
      </c>
      <c r="O11">
        <v>0.5</v>
      </c>
      <c r="P11">
        <v>0.2</v>
      </c>
      <c r="Q11">
        <v>0.2</v>
      </c>
      <c r="R11">
        <v>0.2</v>
      </c>
      <c r="S11">
        <v>0.2</v>
      </c>
      <c r="T11">
        <v>0.2</v>
      </c>
      <c r="U11">
        <v>0.2</v>
      </c>
      <c r="Z11">
        <v>4.3000000000000007</v>
      </c>
    </row>
    <row r="12" spans="1:26" x14ac:dyDescent="0.25">
      <c r="A12" t="s">
        <v>63</v>
      </c>
      <c r="B12">
        <v>5.8</v>
      </c>
      <c r="E12">
        <v>5.3</v>
      </c>
      <c r="H12">
        <v>2</v>
      </c>
      <c r="K12">
        <v>1.7</v>
      </c>
      <c r="M12">
        <v>0.9</v>
      </c>
      <c r="O12">
        <v>0.5</v>
      </c>
      <c r="Q12">
        <v>0.4</v>
      </c>
      <c r="S12">
        <v>0.4</v>
      </c>
      <c r="V12">
        <v>1.3</v>
      </c>
      <c r="X12">
        <v>0.4</v>
      </c>
      <c r="Z12">
        <v>18.699999999999996</v>
      </c>
    </row>
    <row r="13" spans="1:26" x14ac:dyDescent="0.25">
      <c r="A13" t="s">
        <v>65</v>
      </c>
      <c r="D13">
        <v>36.9</v>
      </c>
      <c r="G13">
        <v>22.3</v>
      </c>
      <c r="J13">
        <v>17.3</v>
      </c>
      <c r="L13">
        <v>13.4</v>
      </c>
      <c r="M13">
        <v>10</v>
      </c>
      <c r="N13">
        <v>8.3000000000000007</v>
      </c>
      <c r="O13">
        <v>2.7</v>
      </c>
      <c r="P13">
        <v>1.7</v>
      </c>
      <c r="Q13">
        <v>0.6</v>
      </c>
      <c r="R13">
        <v>0.1</v>
      </c>
      <c r="S13">
        <v>0</v>
      </c>
      <c r="T13">
        <v>0</v>
      </c>
      <c r="U13">
        <v>0</v>
      </c>
      <c r="V13">
        <v>0</v>
      </c>
      <c r="W13">
        <v>0</v>
      </c>
      <c r="Z13">
        <v>113.3</v>
      </c>
    </row>
    <row r="14" spans="1:26" x14ac:dyDescent="0.25">
      <c r="A14" t="s">
        <v>60</v>
      </c>
      <c r="B14">
        <v>17.5</v>
      </c>
      <c r="C14">
        <v>21</v>
      </c>
      <c r="D14">
        <v>14.2</v>
      </c>
      <c r="E14">
        <v>13</v>
      </c>
      <c r="F14">
        <v>12</v>
      </c>
      <c r="G14">
        <v>10.7</v>
      </c>
      <c r="J14">
        <v>11</v>
      </c>
      <c r="K14">
        <v>9.6</v>
      </c>
      <c r="L14">
        <v>8.3000000000000007</v>
      </c>
      <c r="M14">
        <v>6.8</v>
      </c>
      <c r="N14">
        <v>6.7</v>
      </c>
      <c r="O14">
        <v>6.1</v>
      </c>
      <c r="P14">
        <v>5.4</v>
      </c>
      <c r="Q14">
        <v>4.9000000000000004</v>
      </c>
      <c r="R14">
        <v>4.9000000000000004</v>
      </c>
      <c r="S14">
        <v>4.3</v>
      </c>
      <c r="T14">
        <v>4.5</v>
      </c>
      <c r="U14">
        <v>5.3</v>
      </c>
      <c r="V14">
        <v>9.4</v>
      </c>
      <c r="W14">
        <v>7.3</v>
      </c>
      <c r="X14">
        <v>6</v>
      </c>
      <c r="Z14">
        <v>188.90000000000003</v>
      </c>
    </row>
    <row r="15" spans="1:26" x14ac:dyDescent="0.25">
      <c r="A15" t="s">
        <v>61</v>
      </c>
      <c r="B15">
        <v>6.9</v>
      </c>
      <c r="C15">
        <v>5.0999999999999996</v>
      </c>
      <c r="D15">
        <v>4.7</v>
      </c>
      <c r="E15">
        <v>4.7</v>
      </c>
      <c r="F15">
        <v>4.7</v>
      </c>
      <c r="G15">
        <v>3.3</v>
      </c>
      <c r="H15">
        <v>3.3</v>
      </c>
      <c r="I15">
        <v>1.8</v>
      </c>
      <c r="J15">
        <v>2.4</v>
      </c>
      <c r="K15">
        <v>2.5</v>
      </c>
      <c r="L15">
        <v>1.5</v>
      </c>
      <c r="M15">
        <v>1.8</v>
      </c>
      <c r="N15">
        <v>1.7</v>
      </c>
      <c r="O15">
        <v>1.6</v>
      </c>
      <c r="P15">
        <v>1.5</v>
      </c>
      <c r="Q15">
        <v>1.6</v>
      </c>
      <c r="R15">
        <v>1.3</v>
      </c>
      <c r="S15">
        <v>1.2</v>
      </c>
      <c r="T15">
        <v>1.5</v>
      </c>
      <c r="U15">
        <v>1.1000000000000001</v>
      </c>
      <c r="V15">
        <v>2.2999999999999998</v>
      </c>
      <c r="W15">
        <v>1.2</v>
      </c>
      <c r="X15">
        <v>0.9</v>
      </c>
      <c r="Y15">
        <v>0.9</v>
      </c>
      <c r="Z15">
        <v>59.499999999999993</v>
      </c>
    </row>
    <row r="16" spans="1:26" x14ac:dyDescent="0.25">
      <c r="A16" t="s">
        <v>58</v>
      </c>
      <c r="K16">
        <v>0.9</v>
      </c>
      <c r="L16">
        <v>1.2</v>
      </c>
      <c r="M16">
        <v>0.6</v>
      </c>
      <c r="N16">
        <v>0.8</v>
      </c>
      <c r="O16">
        <v>0.7</v>
      </c>
      <c r="P16">
        <v>1</v>
      </c>
      <c r="Q16">
        <v>0.6</v>
      </c>
      <c r="R16">
        <v>0.6</v>
      </c>
      <c r="S16">
        <v>0.5</v>
      </c>
      <c r="T16">
        <v>0.4</v>
      </c>
      <c r="U16">
        <v>0.3</v>
      </c>
      <c r="V16">
        <v>0.3</v>
      </c>
      <c r="W16">
        <v>0.3</v>
      </c>
      <c r="Z16">
        <v>8.1999999999999993</v>
      </c>
    </row>
    <row r="17" spans="1:26" x14ac:dyDescent="0.25">
      <c r="A17" t="s">
        <v>55</v>
      </c>
      <c r="D17">
        <v>0</v>
      </c>
      <c r="F17">
        <v>0</v>
      </c>
      <c r="G17">
        <v>0</v>
      </c>
      <c r="H17">
        <v>0.1</v>
      </c>
      <c r="I17">
        <v>0.1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</v>
      </c>
      <c r="Z17">
        <v>0.30000000000000004</v>
      </c>
    </row>
    <row r="18" spans="1:26" x14ac:dyDescent="0.25">
      <c r="A18" t="s">
        <v>51</v>
      </c>
      <c r="B18">
        <v>0</v>
      </c>
      <c r="E18">
        <v>0.3</v>
      </c>
      <c r="F18">
        <v>0.3</v>
      </c>
      <c r="G18">
        <v>0.3</v>
      </c>
      <c r="H18">
        <v>0.1</v>
      </c>
      <c r="I18">
        <v>0</v>
      </c>
      <c r="J18">
        <v>0.1</v>
      </c>
      <c r="K18">
        <v>0.5</v>
      </c>
      <c r="L18">
        <v>0.1</v>
      </c>
      <c r="M18">
        <v>0</v>
      </c>
      <c r="N18">
        <v>0</v>
      </c>
      <c r="O18">
        <v>0.3</v>
      </c>
      <c r="P18">
        <v>0.2</v>
      </c>
      <c r="Q18">
        <v>0.2</v>
      </c>
      <c r="R18">
        <v>0.3</v>
      </c>
      <c r="S18">
        <v>0.1</v>
      </c>
      <c r="T18">
        <v>0.2</v>
      </c>
      <c r="U18">
        <v>0.3</v>
      </c>
      <c r="V18">
        <v>0.2</v>
      </c>
      <c r="W18">
        <v>0.2</v>
      </c>
      <c r="Z18">
        <v>3.7000000000000006</v>
      </c>
    </row>
    <row r="19" spans="1:26" x14ac:dyDescent="0.25">
      <c r="A19" t="s">
        <v>49</v>
      </c>
      <c r="B19">
        <v>28.2</v>
      </c>
      <c r="E19">
        <v>14.8</v>
      </c>
      <c r="F19">
        <v>15.1</v>
      </c>
      <c r="G19">
        <v>11.8</v>
      </c>
      <c r="H19">
        <v>8.1999999999999993</v>
      </c>
      <c r="I19">
        <v>8.5</v>
      </c>
      <c r="J19">
        <v>7.5</v>
      </c>
      <c r="K19">
        <v>7.3</v>
      </c>
      <c r="L19">
        <v>5.7</v>
      </c>
      <c r="M19">
        <v>4.7</v>
      </c>
      <c r="N19">
        <v>4.5</v>
      </c>
      <c r="O19">
        <v>3.2</v>
      </c>
      <c r="P19">
        <v>2.6</v>
      </c>
      <c r="Q19">
        <v>3.4</v>
      </c>
      <c r="R19">
        <v>3.6</v>
      </c>
      <c r="S19">
        <v>3.2</v>
      </c>
      <c r="T19">
        <v>3.3</v>
      </c>
      <c r="U19">
        <v>3.6</v>
      </c>
      <c r="V19">
        <v>6.5</v>
      </c>
      <c r="W19">
        <v>3.6</v>
      </c>
      <c r="X19">
        <v>3.2</v>
      </c>
      <c r="Y19">
        <v>3.8</v>
      </c>
      <c r="Z19">
        <v>156.30000000000001</v>
      </c>
    </row>
    <row r="20" spans="1:26" x14ac:dyDescent="0.25">
      <c r="A20" t="s">
        <v>57</v>
      </c>
      <c r="E20">
        <v>2.5</v>
      </c>
      <c r="F20">
        <v>1.1000000000000001</v>
      </c>
      <c r="G20">
        <v>0.8</v>
      </c>
      <c r="H20">
        <v>0.8</v>
      </c>
      <c r="I20">
        <v>0.4</v>
      </c>
      <c r="J20">
        <v>0.4</v>
      </c>
      <c r="K20">
        <v>0.6</v>
      </c>
      <c r="L20">
        <v>0.8</v>
      </c>
      <c r="M20">
        <v>1</v>
      </c>
      <c r="N20">
        <v>0.7</v>
      </c>
      <c r="O20">
        <v>0.9</v>
      </c>
      <c r="P20">
        <v>0.8</v>
      </c>
      <c r="Q20">
        <v>0.6</v>
      </c>
      <c r="R20">
        <v>0.5</v>
      </c>
      <c r="S20">
        <v>0.3</v>
      </c>
      <c r="T20">
        <v>0.2</v>
      </c>
      <c r="U20">
        <v>0.6</v>
      </c>
      <c r="V20">
        <v>0.3</v>
      </c>
      <c r="W20">
        <v>0.3</v>
      </c>
      <c r="Z20">
        <v>13.600000000000001</v>
      </c>
    </row>
    <row r="21" spans="1:26" x14ac:dyDescent="0.25">
      <c r="A21" t="s">
        <v>53</v>
      </c>
      <c r="B21">
        <v>0</v>
      </c>
      <c r="E21">
        <v>0</v>
      </c>
      <c r="F21">
        <v>0</v>
      </c>
      <c r="G21">
        <v>0.1</v>
      </c>
      <c r="H21">
        <v>0.1</v>
      </c>
      <c r="I21">
        <v>0.1</v>
      </c>
      <c r="J21">
        <v>0.1</v>
      </c>
      <c r="K21">
        <v>0.1</v>
      </c>
      <c r="L21">
        <v>0.1</v>
      </c>
      <c r="M21">
        <v>0</v>
      </c>
      <c r="N21">
        <v>0.1</v>
      </c>
      <c r="O21">
        <v>0.1</v>
      </c>
      <c r="P21">
        <v>0.1</v>
      </c>
      <c r="Q21">
        <v>0.1</v>
      </c>
      <c r="R21">
        <v>0</v>
      </c>
      <c r="S21">
        <v>0.1</v>
      </c>
      <c r="T21">
        <v>0.1</v>
      </c>
      <c r="U21">
        <v>0</v>
      </c>
      <c r="V21">
        <v>0</v>
      </c>
      <c r="W21">
        <v>0</v>
      </c>
      <c r="Z21">
        <v>1.2</v>
      </c>
    </row>
    <row r="22" spans="1:26" x14ac:dyDescent="0.25">
      <c r="A22" t="s">
        <v>50</v>
      </c>
      <c r="B22">
        <v>0</v>
      </c>
      <c r="C22">
        <v>0</v>
      </c>
      <c r="D22">
        <v>0</v>
      </c>
      <c r="E22">
        <v>0.2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0.1</v>
      </c>
      <c r="M22">
        <v>0</v>
      </c>
      <c r="N22">
        <v>0.1</v>
      </c>
      <c r="O22">
        <v>0.1</v>
      </c>
      <c r="P22">
        <v>0</v>
      </c>
      <c r="Q22">
        <v>0.1</v>
      </c>
      <c r="R22">
        <v>0.1</v>
      </c>
      <c r="S22">
        <v>0</v>
      </c>
      <c r="T22">
        <v>0</v>
      </c>
      <c r="U22">
        <v>0.1</v>
      </c>
      <c r="V22">
        <v>0.1</v>
      </c>
      <c r="W22">
        <v>0.1</v>
      </c>
      <c r="Z22">
        <v>0.99999999999999989</v>
      </c>
    </row>
    <row r="23" spans="1:26" x14ac:dyDescent="0.25">
      <c r="A23" t="s">
        <v>54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0.2</v>
      </c>
      <c r="T23">
        <v>0</v>
      </c>
      <c r="U23">
        <v>0.2</v>
      </c>
      <c r="V23">
        <v>0.2</v>
      </c>
      <c r="Z23">
        <v>0.60000000000000009</v>
      </c>
    </row>
    <row r="24" spans="1:26" x14ac:dyDescent="0.25">
      <c r="A24" t="s">
        <v>52</v>
      </c>
      <c r="B24">
        <v>0.5</v>
      </c>
      <c r="E24">
        <v>0.5</v>
      </c>
      <c r="F24">
        <v>0.6</v>
      </c>
      <c r="G24">
        <v>0.3</v>
      </c>
      <c r="H24">
        <v>0.6</v>
      </c>
      <c r="I24">
        <v>0.5</v>
      </c>
      <c r="J24">
        <v>0.3</v>
      </c>
      <c r="K24">
        <v>0.6</v>
      </c>
      <c r="L24">
        <v>1</v>
      </c>
      <c r="M24">
        <v>1.1000000000000001</v>
      </c>
      <c r="N24">
        <v>1.5</v>
      </c>
      <c r="O24">
        <v>1</v>
      </c>
      <c r="P24">
        <v>1.5</v>
      </c>
      <c r="Q24">
        <v>1.4</v>
      </c>
      <c r="R24">
        <v>1</v>
      </c>
      <c r="S24">
        <v>0.9</v>
      </c>
      <c r="T24">
        <v>0.1</v>
      </c>
      <c r="U24">
        <v>0.7</v>
      </c>
      <c r="V24">
        <v>0.8</v>
      </c>
      <c r="W24">
        <v>0.6</v>
      </c>
      <c r="Z24">
        <v>15.5</v>
      </c>
    </row>
    <row r="25" spans="1:26" x14ac:dyDescent="0.25">
      <c r="A25" t="s">
        <v>44</v>
      </c>
      <c r="F25">
        <v>0.1</v>
      </c>
      <c r="G25">
        <v>0.7</v>
      </c>
      <c r="H25">
        <v>0.1</v>
      </c>
      <c r="I25">
        <v>0.1</v>
      </c>
      <c r="J25">
        <v>0</v>
      </c>
      <c r="K25">
        <v>0.1</v>
      </c>
      <c r="L25">
        <v>0.1</v>
      </c>
      <c r="M25">
        <v>0.1</v>
      </c>
      <c r="N25">
        <v>0.3</v>
      </c>
      <c r="O25">
        <v>0.2</v>
      </c>
      <c r="P25">
        <v>0.7</v>
      </c>
      <c r="Q25">
        <v>0.6</v>
      </c>
      <c r="R25">
        <v>1.3</v>
      </c>
      <c r="S25">
        <v>0.6</v>
      </c>
      <c r="T25">
        <v>0.2</v>
      </c>
      <c r="U25">
        <v>0.3</v>
      </c>
      <c r="V25">
        <v>0.4</v>
      </c>
      <c r="W25">
        <v>0.4</v>
      </c>
      <c r="Z25">
        <v>6.3000000000000007</v>
      </c>
    </row>
    <row r="26" spans="1:26" x14ac:dyDescent="0.25">
      <c r="A26" t="s">
        <v>47</v>
      </c>
      <c r="E26">
        <v>0</v>
      </c>
      <c r="F26">
        <v>0.2</v>
      </c>
      <c r="G26">
        <v>0</v>
      </c>
      <c r="H26">
        <v>0.1</v>
      </c>
      <c r="I26">
        <v>0.1</v>
      </c>
      <c r="J26">
        <v>0.1</v>
      </c>
      <c r="K26">
        <v>0.1</v>
      </c>
      <c r="L26">
        <v>0.1</v>
      </c>
      <c r="M26">
        <v>0.1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Z26">
        <v>0.79999999999999993</v>
      </c>
    </row>
    <row r="27" spans="1:26" x14ac:dyDescent="0.25">
      <c r="A27" t="s">
        <v>39</v>
      </c>
      <c r="F27">
        <v>40.6</v>
      </c>
      <c r="K27">
        <v>33.5</v>
      </c>
      <c r="M27">
        <v>22.9</v>
      </c>
      <c r="Q27">
        <v>18.8</v>
      </c>
      <c r="R27">
        <v>18.100000000000001</v>
      </c>
      <c r="S27">
        <v>13.4</v>
      </c>
      <c r="T27">
        <v>11.1</v>
      </c>
      <c r="U27">
        <v>13.2</v>
      </c>
      <c r="V27">
        <v>15.5</v>
      </c>
      <c r="W27">
        <v>12.9</v>
      </c>
      <c r="Z27">
        <v>200</v>
      </c>
    </row>
    <row r="28" spans="1:26" x14ac:dyDescent="0.25">
      <c r="A28" t="s">
        <v>40</v>
      </c>
      <c r="B28">
        <v>43.8</v>
      </c>
      <c r="C28">
        <v>40.299999999999997</v>
      </c>
      <c r="D28">
        <v>23.5</v>
      </c>
      <c r="E28">
        <v>22.8</v>
      </c>
      <c r="F28">
        <v>24.2</v>
      </c>
      <c r="G28">
        <v>20.100000000000001</v>
      </c>
      <c r="H28">
        <v>26.2</v>
      </c>
      <c r="I28">
        <v>21.6</v>
      </c>
      <c r="J28">
        <v>19.2</v>
      </c>
      <c r="K28">
        <v>18.8</v>
      </c>
      <c r="L28">
        <v>16.5</v>
      </c>
      <c r="M28">
        <v>14.1</v>
      </c>
      <c r="N28">
        <v>10.6</v>
      </c>
      <c r="O28">
        <v>10.8</v>
      </c>
      <c r="P28">
        <v>9.6999999999999993</v>
      </c>
      <c r="Q28">
        <v>8.5</v>
      </c>
      <c r="R28">
        <v>6.7</v>
      </c>
      <c r="S28">
        <v>4.3</v>
      </c>
      <c r="T28">
        <v>4.4000000000000004</v>
      </c>
      <c r="U28">
        <v>3.4</v>
      </c>
      <c r="V28">
        <v>2.8</v>
      </c>
      <c r="W28">
        <v>2.9</v>
      </c>
      <c r="X28">
        <v>2.2000000000000002</v>
      </c>
      <c r="Y28">
        <v>1.8</v>
      </c>
      <c r="Z28">
        <v>359.19999999999993</v>
      </c>
    </row>
    <row r="29" spans="1:26" x14ac:dyDescent="0.25">
      <c r="A29" t="s">
        <v>45</v>
      </c>
      <c r="B29">
        <v>0.2</v>
      </c>
      <c r="D29">
        <v>0.2</v>
      </c>
      <c r="E29">
        <v>0.1</v>
      </c>
      <c r="F29">
        <v>0.1</v>
      </c>
      <c r="G29">
        <v>0</v>
      </c>
      <c r="H29">
        <v>0.4</v>
      </c>
      <c r="I29">
        <v>0.1</v>
      </c>
      <c r="J29">
        <v>0.2</v>
      </c>
      <c r="K29">
        <v>0.5</v>
      </c>
      <c r="L29">
        <v>0.5</v>
      </c>
      <c r="M29">
        <v>0.5</v>
      </c>
      <c r="N29">
        <v>0.3</v>
      </c>
      <c r="O29">
        <v>0.7</v>
      </c>
      <c r="P29">
        <v>0.4</v>
      </c>
      <c r="Q29">
        <v>0.4</v>
      </c>
      <c r="R29">
        <v>0.1</v>
      </c>
      <c r="S29">
        <v>0.2</v>
      </c>
      <c r="T29">
        <v>0</v>
      </c>
      <c r="U29">
        <v>0.1</v>
      </c>
      <c r="V29">
        <v>0.1</v>
      </c>
      <c r="W29">
        <v>0.1</v>
      </c>
      <c r="Z29">
        <v>5.1999999999999993</v>
      </c>
    </row>
    <row r="30" spans="1:26" x14ac:dyDescent="0.25">
      <c r="A30" t="s">
        <v>43</v>
      </c>
      <c r="C30">
        <v>0.2</v>
      </c>
      <c r="D30">
        <v>0.5</v>
      </c>
      <c r="E30">
        <v>0.5</v>
      </c>
      <c r="F30">
        <v>0.5</v>
      </c>
      <c r="G30">
        <v>0.5</v>
      </c>
      <c r="H30">
        <v>0.2</v>
      </c>
      <c r="I30">
        <v>0.5</v>
      </c>
      <c r="J30">
        <v>0.5</v>
      </c>
      <c r="K30">
        <v>0.5</v>
      </c>
      <c r="L30">
        <v>0.5</v>
      </c>
      <c r="M30">
        <v>0.2</v>
      </c>
      <c r="N30">
        <v>0.5</v>
      </c>
      <c r="O30">
        <v>0.5</v>
      </c>
      <c r="P30">
        <v>0.5</v>
      </c>
      <c r="Q30">
        <v>0.5</v>
      </c>
      <c r="R30">
        <v>0.2</v>
      </c>
      <c r="S30">
        <v>0.5</v>
      </c>
      <c r="T30">
        <v>0.5</v>
      </c>
      <c r="U30">
        <v>0.7</v>
      </c>
      <c r="V30">
        <v>0.4</v>
      </c>
      <c r="W30">
        <v>0.2</v>
      </c>
      <c r="Z30">
        <v>9.1</v>
      </c>
    </row>
    <row r="31" spans="1:26" x14ac:dyDescent="0.25">
      <c r="A31" t="s">
        <v>42</v>
      </c>
      <c r="B31">
        <v>1.2</v>
      </c>
      <c r="D31">
        <v>1.5</v>
      </c>
      <c r="E31">
        <v>0.8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0.9</v>
      </c>
      <c r="L31">
        <v>1.3</v>
      </c>
      <c r="M31">
        <v>1.2</v>
      </c>
      <c r="N31">
        <v>1.2</v>
      </c>
      <c r="O31">
        <v>1.4</v>
      </c>
      <c r="P31">
        <v>1.2</v>
      </c>
      <c r="Q31">
        <v>1.9</v>
      </c>
      <c r="R31">
        <v>1.6</v>
      </c>
      <c r="S31">
        <v>1.4</v>
      </c>
      <c r="T31">
        <v>1.5</v>
      </c>
      <c r="U31">
        <v>1</v>
      </c>
      <c r="V31">
        <v>0.8</v>
      </c>
      <c r="W31">
        <v>0.8</v>
      </c>
      <c r="Z31">
        <v>23</v>
      </c>
    </row>
    <row r="32" spans="1:26" x14ac:dyDescent="0.25">
      <c r="A32" t="s">
        <v>46</v>
      </c>
      <c r="J32">
        <v>0.5</v>
      </c>
      <c r="L32">
        <v>0</v>
      </c>
      <c r="O32">
        <v>0.7</v>
      </c>
      <c r="Z32">
        <v>1.2</v>
      </c>
    </row>
    <row r="33" spans="1:26" x14ac:dyDescent="0.25">
      <c r="A33" t="s">
        <v>41</v>
      </c>
      <c r="H33">
        <v>0.2</v>
      </c>
      <c r="J33">
        <v>0.2</v>
      </c>
      <c r="L33">
        <v>0.5</v>
      </c>
      <c r="N33">
        <v>0.2</v>
      </c>
      <c r="P33">
        <v>0.2</v>
      </c>
      <c r="R33">
        <v>0.2</v>
      </c>
      <c r="S33">
        <v>0.2</v>
      </c>
      <c r="T33">
        <v>0.2</v>
      </c>
      <c r="U33">
        <v>0</v>
      </c>
      <c r="V33">
        <v>0</v>
      </c>
      <c r="W33">
        <v>0</v>
      </c>
      <c r="Z33">
        <v>1.9</v>
      </c>
    </row>
    <row r="34" spans="1:26" x14ac:dyDescent="0.25">
      <c r="A34" t="s">
        <v>38</v>
      </c>
      <c r="F34">
        <v>2.5</v>
      </c>
      <c r="G34">
        <v>2.4</v>
      </c>
      <c r="H34">
        <v>1.6</v>
      </c>
      <c r="I34">
        <v>0.6</v>
      </c>
      <c r="J34">
        <v>1.3</v>
      </c>
      <c r="K34">
        <v>1.7</v>
      </c>
      <c r="L34">
        <v>1.7</v>
      </c>
      <c r="M34">
        <v>1</v>
      </c>
      <c r="N34">
        <v>1.1000000000000001</v>
      </c>
      <c r="O34">
        <v>1.2</v>
      </c>
      <c r="P34">
        <v>0.8</v>
      </c>
      <c r="Q34">
        <v>0.7</v>
      </c>
      <c r="R34">
        <v>0.6</v>
      </c>
      <c r="S34">
        <v>0.8</v>
      </c>
      <c r="T34">
        <v>0.4</v>
      </c>
      <c r="U34">
        <v>0.2</v>
      </c>
      <c r="V34">
        <v>0.5</v>
      </c>
      <c r="W34">
        <v>0.4</v>
      </c>
      <c r="Z34">
        <v>19.499999999999996</v>
      </c>
    </row>
    <row r="35" spans="1:26" x14ac:dyDescent="0.25">
      <c r="A35" t="s">
        <v>37</v>
      </c>
      <c r="B35">
        <v>0</v>
      </c>
      <c r="C35">
        <v>0</v>
      </c>
      <c r="D35">
        <v>0</v>
      </c>
      <c r="E35">
        <v>0.1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0.1</v>
      </c>
      <c r="N35">
        <v>0</v>
      </c>
      <c r="O35">
        <v>0.1</v>
      </c>
      <c r="P35">
        <v>0.1</v>
      </c>
      <c r="Q35">
        <v>0.3</v>
      </c>
      <c r="R35">
        <v>0.1</v>
      </c>
      <c r="S35">
        <v>0.3</v>
      </c>
      <c r="T35">
        <v>0.3</v>
      </c>
      <c r="U35">
        <v>0.1</v>
      </c>
      <c r="V35">
        <v>0</v>
      </c>
      <c r="W35">
        <v>0.1</v>
      </c>
      <c r="Z35">
        <v>1.6</v>
      </c>
    </row>
    <row r="36" spans="1:26" x14ac:dyDescent="0.25">
      <c r="A36" t="s">
        <v>36</v>
      </c>
      <c r="E36">
        <v>1.6</v>
      </c>
      <c r="H36">
        <v>0.8</v>
      </c>
      <c r="J36">
        <v>0.7</v>
      </c>
      <c r="M36">
        <v>0.1</v>
      </c>
      <c r="O36">
        <v>0</v>
      </c>
      <c r="Q36">
        <v>0</v>
      </c>
      <c r="T36">
        <v>0</v>
      </c>
      <c r="W36">
        <v>0</v>
      </c>
      <c r="Z36">
        <v>3.2000000000000006</v>
      </c>
    </row>
    <row r="37" spans="1:26" x14ac:dyDescent="0.25">
      <c r="A37" t="s">
        <v>35</v>
      </c>
      <c r="B37">
        <v>10.7</v>
      </c>
      <c r="D37">
        <v>7.5</v>
      </c>
      <c r="F37">
        <v>7.2</v>
      </c>
      <c r="G37">
        <v>7.8</v>
      </c>
      <c r="H37">
        <v>5.4</v>
      </c>
      <c r="J37">
        <v>6</v>
      </c>
      <c r="L37">
        <v>4.7</v>
      </c>
      <c r="N37">
        <v>4.2</v>
      </c>
      <c r="P37">
        <v>4</v>
      </c>
      <c r="R37">
        <v>2.2999999999999998</v>
      </c>
      <c r="T37">
        <v>1.9</v>
      </c>
      <c r="V37">
        <v>2.1</v>
      </c>
      <c r="X37">
        <v>1.2</v>
      </c>
      <c r="Z37">
        <v>65</v>
      </c>
    </row>
    <row r="38" spans="1:26" x14ac:dyDescent="0.25">
      <c r="A38" t="s">
        <v>34</v>
      </c>
      <c r="F38">
        <v>0.2</v>
      </c>
      <c r="G38">
        <v>0.1</v>
      </c>
      <c r="H38">
        <v>0</v>
      </c>
      <c r="I38">
        <v>0</v>
      </c>
      <c r="J38">
        <v>0.1</v>
      </c>
      <c r="K38">
        <v>0.1</v>
      </c>
      <c r="L38">
        <v>0</v>
      </c>
      <c r="M38">
        <v>0.1</v>
      </c>
      <c r="N38">
        <v>0.1</v>
      </c>
      <c r="O38">
        <v>0.1</v>
      </c>
      <c r="P38">
        <v>0.1</v>
      </c>
      <c r="Q38">
        <v>0.1</v>
      </c>
      <c r="R38">
        <v>0</v>
      </c>
      <c r="S38">
        <v>0.2</v>
      </c>
      <c r="T38">
        <v>0.1</v>
      </c>
      <c r="U38">
        <v>0.1</v>
      </c>
      <c r="V38">
        <v>0</v>
      </c>
      <c r="W38">
        <v>0.1</v>
      </c>
      <c r="Z38">
        <v>1.5000000000000002</v>
      </c>
    </row>
    <row r="39" spans="1:26" x14ac:dyDescent="0.25">
      <c r="A39" t="s">
        <v>28</v>
      </c>
      <c r="B39">
        <v>0.2</v>
      </c>
      <c r="E39">
        <v>0.2</v>
      </c>
      <c r="F39">
        <v>0.3</v>
      </c>
      <c r="G39">
        <v>0.2</v>
      </c>
      <c r="H39">
        <v>0.1</v>
      </c>
      <c r="I39">
        <v>0.1</v>
      </c>
      <c r="J39">
        <v>0.2</v>
      </c>
      <c r="K39">
        <v>0.1</v>
      </c>
      <c r="L39">
        <v>0.2</v>
      </c>
      <c r="M39">
        <v>0.1</v>
      </c>
      <c r="N39">
        <v>0.1</v>
      </c>
      <c r="O39">
        <v>0.1</v>
      </c>
      <c r="P39">
        <v>0.1</v>
      </c>
      <c r="Q39">
        <v>0.2</v>
      </c>
      <c r="R39">
        <v>0.3</v>
      </c>
      <c r="S39">
        <v>0.3</v>
      </c>
      <c r="T39">
        <v>0.3</v>
      </c>
      <c r="U39">
        <v>0.2</v>
      </c>
      <c r="Z39">
        <v>3.3</v>
      </c>
    </row>
    <row r="40" spans="1:26" x14ac:dyDescent="0.25">
      <c r="A40" t="s">
        <v>26</v>
      </c>
      <c r="B40">
        <v>19.3</v>
      </c>
      <c r="C40">
        <v>20.3</v>
      </c>
      <c r="D40">
        <v>17.5</v>
      </c>
      <c r="E40">
        <v>14.7</v>
      </c>
      <c r="F40">
        <v>16.3</v>
      </c>
      <c r="G40">
        <v>17.8</v>
      </c>
      <c r="H40">
        <v>15.6</v>
      </c>
      <c r="I40">
        <v>13.2</v>
      </c>
      <c r="J40">
        <v>10.9</v>
      </c>
      <c r="K40">
        <v>8.8000000000000007</v>
      </c>
      <c r="L40">
        <v>6.8</v>
      </c>
      <c r="M40">
        <v>6.5</v>
      </c>
      <c r="N40">
        <v>6.1</v>
      </c>
      <c r="O40">
        <v>5.4</v>
      </c>
      <c r="P40">
        <v>4.8</v>
      </c>
      <c r="Q40">
        <v>4.7</v>
      </c>
      <c r="R40">
        <v>4.5999999999999996</v>
      </c>
      <c r="S40">
        <v>4.5</v>
      </c>
      <c r="T40">
        <v>3.6</v>
      </c>
      <c r="U40">
        <v>3</v>
      </c>
      <c r="V40">
        <v>5.8</v>
      </c>
      <c r="W40">
        <v>2.8</v>
      </c>
      <c r="X40">
        <v>2.7</v>
      </c>
      <c r="Z40">
        <v>215.70000000000002</v>
      </c>
    </row>
    <row r="41" spans="1:26" x14ac:dyDescent="0.25">
      <c r="A41" t="s">
        <v>27</v>
      </c>
      <c r="B41">
        <v>14.5</v>
      </c>
      <c r="E41">
        <v>13.6</v>
      </c>
      <c r="H41">
        <v>14.9</v>
      </c>
      <c r="K41">
        <v>11.3</v>
      </c>
      <c r="N41">
        <v>10.9</v>
      </c>
      <c r="Q41">
        <v>6.5</v>
      </c>
      <c r="T41">
        <v>3</v>
      </c>
      <c r="W41">
        <v>3</v>
      </c>
      <c r="Z41">
        <v>77.7</v>
      </c>
    </row>
    <row r="42" spans="1:26" x14ac:dyDescent="0.25">
      <c r="A42" t="s">
        <v>32</v>
      </c>
      <c r="F42">
        <v>2.2000000000000002</v>
      </c>
      <c r="G42">
        <v>0.9</v>
      </c>
      <c r="H42">
        <v>0.7</v>
      </c>
      <c r="I42">
        <v>0.5</v>
      </c>
      <c r="J42">
        <v>0.2</v>
      </c>
      <c r="K42">
        <v>0.4</v>
      </c>
      <c r="L42">
        <v>0.3</v>
      </c>
      <c r="M42">
        <v>0.3</v>
      </c>
      <c r="N42">
        <v>0.2</v>
      </c>
      <c r="O42">
        <v>0.4</v>
      </c>
      <c r="P42">
        <v>0.4</v>
      </c>
      <c r="Q42">
        <v>0.4</v>
      </c>
      <c r="R42">
        <v>0.2</v>
      </c>
      <c r="S42">
        <v>0.3</v>
      </c>
      <c r="T42">
        <v>0.2</v>
      </c>
      <c r="U42">
        <v>0.1</v>
      </c>
      <c r="V42">
        <v>0.1</v>
      </c>
      <c r="W42">
        <v>0.1</v>
      </c>
      <c r="Z42">
        <v>7.9</v>
      </c>
    </row>
    <row r="43" spans="1:26" x14ac:dyDescent="0.25">
      <c r="A43" t="s">
        <v>29</v>
      </c>
      <c r="E43">
        <v>0.9</v>
      </c>
      <c r="F43">
        <v>0.5</v>
      </c>
      <c r="G43">
        <v>0.5</v>
      </c>
      <c r="H43">
        <v>0.1</v>
      </c>
      <c r="I43">
        <v>0.3</v>
      </c>
      <c r="J43">
        <v>0.1</v>
      </c>
      <c r="K43">
        <v>0.2</v>
      </c>
      <c r="L43">
        <v>0.1</v>
      </c>
      <c r="M43">
        <v>0.5</v>
      </c>
      <c r="N43">
        <v>0.7</v>
      </c>
      <c r="O43">
        <v>0.9</v>
      </c>
      <c r="P43">
        <v>0.5</v>
      </c>
      <c r="Q43">
        <v>0.5</v>
      </c>
      <c r="R43">
        <v>0.4</v>
      </c>
      <c r="S43">
        <v>0.4</v>
      </c>
      <c r="T43">
        <v>0.3</v>
      </c>
      <c r="U43">
        <v>0.1</v>
      </c>
      <c r="V43">
        <v>0.5</v>
      </c>
      <c r="W43">
        <v>0.2</v>
      </c>
      <c r="Z43">
        <v>7.7000000000000011</v>
      </c>
    </row>
    <row r="44" spans="1:26" x14ac:dyDescent="0.25">
      <c r="A44" t="s">
        <v>31</v>
      </c>
      <c r="H44">
        <v>7.4</v>
      </c>
      <c r="I44">
        <v>5.3</v>
      </c>
      <c r="J44">
        <v>4.0999999999999996</v>
      </c>
      <c r="K44">
        <v>3.1</v>
      </c>
      <c r="L44">
        <v>4.2</v>
      </c>
      <c r="M44">
        <v>5.4</v>
      </c>
      <c r="N44">
        <v>6.2</v>
      </c>
      <c r="O44">
        <v>6.6</v>
      </c>
      <c r="P44">
        <v>7</v>
      </c>
      <c r="Q44">
        <v>5.3</v>
      </c>
      <c r="R44">
        <v>3.2</v>
      </c>
      <c r="S44">
        <v>3.3</v>
      </c>
      <c r="T44">
        <v>2.7</v>
      </c>
      <c r="U44">
        <v>2.2000000000000002</v>
      </c>
      <c r="V44">
        <v>1.4</v>
      </c>
      <c r="W44">
        <v>1.8</v>
      </c>
      <c r="Z44">
        <v>69.2</v>
      </c>
    </row>
    <row r="45" spans="1:26" x14ac:dyDescent="0.25">
      <c r="A45" t="s">
        <v>33</v>
      </c>
      <c r="P45">
        <v>0.3</v>
      </c>
      <c r="Q45">
        <v>0.3</v>
      </c>
      <c r="R45">
        <v>0.3</v>
      </c>
      <c r="S45">
        <v>0.3</v>
      </c>
      <c r="T45">
        <v>0.1</v>
      </c>
      <c r="U45">
        <v>0.2</v>
      </c>
      <c r="V45">
        <v>0.1</v>
      </c>
      <c r="W45">
        <v>0.2</v>
      </c>
      <c r="Z45">
        <v>1.8</v>
      </c>
    </row>
    <row r="46" spans="1:26" x14ac:dyDescent="0.25">
      <c r="A46" t="s">
        <v>24</v>
      </c>
      <c r="F46">
        <v>0.1</v>
      </c>
      <c r="G46">
        <v>0.2</v>
      </c>
      <c r="H46">
        <v>0.2</v>
      </c>
      <c r="I46">
        <v>0.4</v>
      </c>
      <c r="J46">
        <v>0.4</v>
      </c>
      <c r="K46">
        <v>0.4</v>
      </c>
      <c r="L46">
        <v>0.5</v>
      </c>
      <c r="M46">
        <v>0.4</v>
      </c>
      <c r="N46">
        <v>0.4</v>
      </c>
      <c r="O46">
        <v>0.3</v>
      </c>
      <c r="P46">
        <v>0.7</v>
      </c>
      <c r="Q46">
        <v>0.7</v>
      </c>
      <c r="R46">
        <v>1.4</v>
      </c>
      <c r="S46">
        <v>0.2</v>
      </c>
      <c r="T46">
        <v>0.2</v>
      </c>
      <c r="U46">
        <v>0.1</v>
      </c>
      <c r="V46">
        <v>0.2</v>
      </c>
      <c r="W46">
        <v>0.1</v>
      </c>
      <c r="Z46">
        <v>6.8999999999999995</v>
      </c>
    </row>
    <row r="47" spans="1:26" x14ac:dyDescent="0.25">
      <c r="A47" t="s">
        <v>25</v>
      </c>
      <c r="F47">
        <v>0</v>
      </c>
      <c r="G47">
        <v>0.1</v>
      </c>
      <c r="H47">
        <v>0.1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Z47">
        <v>0.2</v>
      </c>
    </row>
    <row r="48" spans="1:26" x14ac:dyDescent="0.25">
      <c r="A48" t="s">
        <v>21</v>
      </c>
      <c r="B48">
        <v>0.7</v>
      </c>
      <c r="E48">
        <v>0.8</v>
      </c>
      <c r="F48">
        <v>0.8</v>
      </c>
      <c r="G48">
        <v>0.7</v>
      </c>
      <c r="H48">
        <v>0.8</v>
      </c>
      <c r="I48">
        <v>0.4</v>
      </c>
      <c r="J48">
        <v>0.5</v>
      </c>
      <c r="K48">
        <v>0.8</v>
      </c>
      <c r="L48">
        <v>0.7</v>
      </c>
      <c r="M48">
        <v>1.1000000000000001</v>
      </c>
      <c r="N48">
        <v>0.9</v>
      </c>
      <c r="O48">
        <v>1.1000000000000001</v>
      </c>
      <c r="P48">
        <v>0.8</v>
      </c>
      <c r="Q48">
        <v>0.9</v>
      </c>
      <c r="R48">
        <v>1.1000000000000001</v>
      </c>
      <c r="S48">
        <v>0.7</v>
      </c>
      <c r="T48">
        <v>0.8</v>
      </c>
      <c r="U48">
        <v>0.8</v>
      </c>
      <c r="V48">
        <v>0.9</v>
      </c>
      <c r="W48">
        <v>0.6</v>
      </c>
      <c r="Z48">
        <v>15.900000000000002</v>
      </c>
    </row>
    <row r="49" spans="1:26" x14ac:dyDescent="0.25">
      <c r="A49" t="s">
        <v>20</v>
      </c>
      <c r="B49">
        <v>0</v>
      </c>
      <c r="C49">
        <v>0.2</v>
      </c>
      <c r="D49">
        <v>0</v>
      </c>
      <c r="E49">
        <v>0.3</v>
      </c>
      <c r="F49">
        <v>0.4</v>
      </c>
      <c r="G49">
        <v>1.1000000000000001</v>
      </c>
      <c r="H49">
        <v>0.4</v>
      </c>
      <c r="I49">
        <v>0.4</v>
      </c>
      <c r="J49">
        <v>0.6</v>
      </c>
      <c r="K49">
        <v>0.5</v>
      </c>
      <c r="L49">
        <v>0.5</v>
      </c>
      <c r="M49">
        <v>0.6</v>
      </c>
      <c r="N49">
        <v>0.5</v>
      </c>
      <c r="O49">
        <v>0.7</v>
      </c>
      <c r="P49">
        <v>0.5</v>
      </c>
      <c r="Q49">
        <v>0.6</v>
      </c>
      <c r="R49">
        <v>0.3</v>
      </c>
      <c r="S49">
        <v>0.2</v>
      </c>
      <c r="T49">
        <v>0.7</v>
      </c>
      <c r="U49">
        <v>0.3</v>
      </c>
      <c r="V49">
        <v>0.4</v>
      </c>
      <c r="W49">
        <v>0.6</v>
      </c>
      <c r="Z49">
        <v>9.8000000000000007</v>
      </c>
    </row>
    <row r="50" spans="1:26" x14ac:dyDescent="0.25">
      <c r="A50" t="s">
        <v>22</v>
      </c>
      <c r="B50">
        <v>0</v>
      </c>
      <c r="D50">
        <v>0</v>
      </c>
      <c r="F50">
        <v>0</v>
      </c>
      <c r="H50">
        <v>0</v>
      </c>
      <c r="I50">
        <v>0</v>
      </c>
      <c r="J50">
        <v>0.1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Z50">
        <v>0.1</v>
      </c>
    </row>
    <row r="51" spans="1:26" x14ac:dyDescent="0.25">
      <c r="A51" t="s">
        <v>18</v>
      </c>
      <c r="B51">
        <v>4</v>
      </c>
      <c r="D51">
        <v>1.8</v>
      </c>
      <c r="F51">
        <v>1.2</v>
      </c>
      <c r="H51">
        <v>0.9</v>
      </c>
      <c r="I51">
        <v>0.5</v>
      </c>
      <c r="J51">
        <v>0.3</v>
      </c>
      <c r="K51">
        <v>0.2</v>
      </c>
      <c r="L51">
        <v>0.3</v>
      </c>
      <c r="M51">
        <v>0.1</v>
      </c>
      <c r="N51">
        <v>0.1</v>
      </c>
      <c r="O51">
        <v>0.1</v>
      </c>
      <c r="P51">
        <v>0.1</v>
      </c>
      <c r="Q51">
        <v>0</v>
      </c>
      <c r="R51">
        <v>0</v>
      </c>
      <c r="S51">
        <v>0</v>
      </c>
      <c r="T51">
        <v>0</v>
      </c>
      <c r="U51">
        <v>0.1</v>
      </c>
      <c r="V51">
        <v>0</v>
      </c>
      <c r="W51">
        <v>0</v>
      </c>
      <c r="Z51">
        <v>9.6999999999999993</v>
      </c>
    </row>
    <row r="52" spans="1:26" x14ac:dyDescent="0.25">
      <c r="A52" t="s">
        <v>19</v>
      </c>
      <c r="S52">
        <v>0.3</v>
      </c>
      <c r="T52">
        <v>0.4</v>
      </c>
      <c r="U52">
        <v>0.5</v>
      </c>
      <c r="V52">
        <v>0.5</v>
      </c>
      <c r="W52">
        <v>0.4</v>
      </c>
      <c r="Z52">
        <v>2.1</v>
      </c>
    </row>
    <row r="53" spans="1:26" x14ac:dyDescent="0.25">
      <c r="A53" t="s">
        <v>14</v>
      </c>
      <c r="B53">
        <v>0.2</v>
      </c>
      <c r="C53">
        <v>0.2</v>
      </c>
      <c r="D53">
        <v>0.2</v>
      </c>
      <c r="E53">
        <v>0.2</v>
      </c>
      <c r="F53">
        <v>0.2</v>
      </c>
      <c r="G53">
        <v>0.2</v>
      </c>
      <c r="H53">
        <v>0.2</v>
      </c>
      <c r="I53">
        <v>0.2</v>
      </c>
      <c r="J53">
        <v>0.2</v>
      </c>
      <c r="K53">
        <v>0.2</v>
      </c>
      <c r="L53">
        <v>0.2</v>
      </c>
      <c r="M53">
        <v>0.2</v>
      </c>
      <c r="N53">
        <v>0.2</v>
      </c>
      <c r="O53">
        <v>0.2</v>
      </c>
      <c r="P53">
        <v>0.2</v>
      </c>
      <c r="Q53">
        <v>0.2</v>
      </c>
      <c r="R53">
        <v>0.2</v>
      </c>
      <c r="S53">
        <v>0.2</v>
      </c>
      <c r="T53">
        <v>0.5</v>
      </c>
      <c r="U53">
        <v>0.5</v>
      </c>
      <c r="V53">
        <v>0.5</v>
      </c>
      <c r="W53">
        <v>0.2</v>
      </c>
      <c r="Z53">
        <v>5.3000000000000016</v>
      </c>
    </row>
    <row r="54" spans="1:26" x14ac:dyDescent="0.25">
      <c r="A54" t="s">
        <v>15</v>
      </c>
      <c r="B54">
        <v>0.7</v>
      </c>
      <c r="C54">
        <v>0.7</v>
      </c>
      <c r="D54">
        <v>0.7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1.2</v>
      </c>
      <c r="Q54">
        <v>1.2</v>
      </c>
      <c r="R54">
        <v>1</v>
      </c>
      <c r="S54">
        <v>1.2</v>
      </c>
      <c r="T54">
        <v>1</v>
      </c>
      <c r="U54">
        <v>1</v>
      </c>
      <c r="V54">
        <v>0.2</v>
      </c>
      <c r="W54">
        <v>0.2</v>
      </c>
      <c r="X54">
        <v>1.2</v>
      </c>
      <c r="Z54">
        <v>21.299999999999997</v>
      </c>
    </row>
    <row r="55" spans="1:26" x14ac:dyDescent="0.25">
      <c r="A55" t="s">
        <v>9</v>
      </c>
      <c r="B55">
        <v>0.7</v>
      </c>
      <c r="C55">
        <v>0.5</v>
      </c>
      <c r="D55">
        <v>0.6</v>
      </c>
      <c r="E55">
        <v>0.8</v>
      </c>
      <c r="F55">
        <v>1</v>
      </c>
      <c r="G55">
        <v>0.9</v>
      </c>
      <c r="H55">
        <v>0.6</v>
      </c>
      <c r="I55">
        <v>0.4</v>
      </c>
      <c r="J55">
        <v>0.2</v>
      </c>
      <c r="K55">
        <v>0.3</v>
      </c>
      <c r="L55">
        <v>0.2</v>
      </c>
      <c r="M55">
        <v>0.1</v>
      </c>
      <c r="N55">
        <v>0.2</v>
      </c>
      <c r="O55">
        <v>0.2</v>
      </c>
      <c r="P55">
        <v>0.2</v>
      </c>
      <c r="Q55">
        <v>0.1</v>
      </c>
      <c r="R55">
        <v>0.1</v>
      </c>
      <c r="S55">
        <v>0.1</v>
      </c>
      <c r="T55">
        <v>0.1</v>
      </c>
      <c r="U55">
        <v>0.1</v>
      </c>
      <c r="V55">
        <v>0.2</v>
      </c>
      <c r="W55">
        <v>0.1</v>
      </c>
      <c r="X55">
        <v>0.2</v>
      </c>
      <c r="Z55">
        <v>7.8999999999999986</v>
      </c>
    </row>
    <row r="56" spans="1:26" x14ac:dyDescent="0.25">
      <c r="A56" t="s">
        <v>16</v>
      </c>
      <c r="C56">
        <v>10.3</v>
      </c>
      <c r="D56">
        <v>16.399999999999999</v>
      </c>
      <c r="E56">
        <v>19.7</v>
      </c>
      <c r="F56">
        <v>16.600000000000001</v>
      </c>
      <c r="G56">
        <v>14.4</v>
      </c>
      <c r="H56">
        <v>7.1</v>
      </c>
      <c r="Z56">
        <v>84.5</v>
      </c>
    </row>
    <row r="57" spans="1:26" x14ac:dyDescent="0.25">
      <c r="A57" t="s">
        <v>17</v>
      </c>
      <c r="D57">
        <v>29.9</v>
      </c>
      <c r="F57">
        <v>20.100000000000001</v>
      </c>
      <c r="H57">
        <v>14.9</v>
      </c>
      <c r="J57">
        <v>11.1</v>
      </c>
      <c r="L57">
        <v>2.9</v>
      </c>
      <c r="N57">
        <v>1.7</v>
      </c>
      <c r="P57">
        <v>1.9</v>
      </c>
      <c r="R57">
        <v>1.3</v>
      </c>
      <c r="T57">
        <v>1.2</v>
      </c>
      <c r="V57">
        <v>0.7</v>
      </c>
      <c r="X57">
        <v>1</v>
      </c>
      <c r="Z57">
        <v>86.700000000000017</v>
      </c>
    </row>
    <row r="58" spans="1:26" x14ac:dyDescent="0.25">
      <c r="A58" t="s">
        <v>72</v>
      </c>
      <c r="B58">
        <v>160.59999999999997</v>
      </c>
      <c r="C58">
        <v>120.9</v>
      </c>
      <c r="D58">
        <v>180.4</v>
      </c>
      <c r="E58">
        <v>139.19999999999999</v>
      </c>
      <c r="F58">
        <v>186.79999999999998</v>
      </c>
      <c r="G58">
        <v>133.1</v>
      </c>
      <c r="H58">
        <v>132.70000000000002</v>
      </c>
      <c r="I58">
        <v>70.100000000000037</v>
      </c>
      <c r="J58">
        <v>109.1</v>
      </c>
      <c r="K58">
        <v>117.3</v>
      </c>
      <c r="L58">
        <v>79.800000000000011</v>
      </c>
      <c r="M58">
        <v>92.899999999999977</v>
      </c>
      <c r="N58">
        <v>80.500000000000028</v>
      </c>
      <c r="O58">
        <v>57.000000000000014</v>
      </c>
      <c r="P58">
        <v>57.800000000000011</v>
      </c>
      <c r="Q58">
        <v>75.600000000000009</v>
      </c>
      <c r="R58">
        <v>66.900000000000006</v>
      </c>
      <c r="S58">
        <v>53</v>
      </c>
      <c r="T58">
        <v>54.600000000000009</v>
      </c>
      <c r="U58">
        <v>48.800000000000018</v>
      </c>
      <c r="V58">
        <v>59.7</v>
      </c>
      <c r="W58">
        <v>49.800000000000018</v>
      </c>
      <c r="X58">
        <v>23.099999999999998</v>
      </c>
      <c r="Y58">
        <v>6.5</v>
      </c>
      <c r="Z58">
        <v>2156.2000000000003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1221-8DE1-4F35-895D-C25B29FC4764}">
  <sheetPr>
    <tabColor rgb="FFFFC000"/>
  </sheetPr>
  <dimension ref="A1:Z58"/>
  <sheetViews>
    <sheetView workbookViewId="0">
      <selection activeCell="C17" sqref="C17"/>
    </sheetView>
  </sheetViews>
  <sheetFormatPr baseColWidth="10" defaultRowHeight="15" x14ac:dyDescent="0.25"/>
  <sheetData>
    <row r="1" spans="1:26" x14ac:dyDescent="0.25">
      <c r="A1" t="s">
        <v>8</v>
      </c>
      <c r="B1" t="s">
        <v>12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10.7</v>
      </c>
      <c r="C5">
        <v>15.4</v>
      </c>
      <c r="D5">
        <v>24</v>
      </c>
      <c r="E5">
        <v>12.7</v>
      </c>
      <c r="F5">
        <v>9.8000000000000007</v>
      </c>
      <c r="G5">
        <v>8</v>
      </c>
      <c r="H5">
        <v>6</v>
      </c>
      <c r="I5">
        <v>5</v>
      </c>
      <c r="J5">
        <v>4.8</v>
      </c>
      <c r="K5">
        <v>4.0999999999999996</v>
      </c>
      <c r="L5">
        <v>3.1</v>
      </c>
      <c r="M5">
        <v>2.1</v>
      </c>
      <c r="N5">
        <v>2.2999999999999998</v>
      </c>
      <c r="O5">
        <v>2.1</v>
      </c>
      <c r="P5">
        <v>2.1</v>
      </c>
      <c r="R5">
        <v>2.2999999999999998</v>
      </c>
      <c r="S5">
        <v>2.4</v>
      </c>
      <c r="T5">
        <v>2.9</v>
      </c>
      <c r="U5">
        <v>3.4</v>
      </c>
      <c r="V5">
        <v>4</v>
      </c>
      <c r="W5">
        <v>2.8</v>
      </c>
      <c r="X5">
        <v>2.5</v>
      </c>
      <c r="Z5">
        <v>132.49999999999997</v>
      </c>
    </row>
    <row r="6" spans="1:26" x14ac:dyDescent="0.25">
      <c r="A6" t="s">
        <v>69</v>
      </c>
      <c r="C6">
        <v>1</v>
      </c>
      <c r="E6">
        <v>1.2</v>
      </c>
      <c r="F6">
        <v>0.7</v>
      </c>
      <c r="J6">
        <v>0.7</v>
      </c>
      <c r="L6">
        <v>0.7</v>
      </c>
      <c r="P6">
        <v>0.7</v>
      </c>
      <c r="R6">
        <v>0.5</v>
      </c>
      <c r="T6">
        <v>0.7</v>
      </c>
      <c r="Z6">
        <v>6.2000000000000011</v>
      </c>
    </row>
    <row r="7" spans="1:26" x14ac:dyDescent="0.25">
      <c r="A7" t="s">
        <v>70</v>
      </c>
      <c r="B7">
        <v>0.2</v>
      </c>
      <c r="E7">
        <v>0.4</v>
      </c>
      <c r="F7">
        <v>0.1</v>
      </c>
      <c r="G7">
        <v>0.2</v>
      </c>
      <c r="H7">
        <v>0.2</v>
      </c>
      <c r="I7">
        <v>0.6</v>
      </c>
      <c r="J7">
        <v>0.6</v>
      </c>
      <c r="K7">
        <v>0.7</v>
      </c>
      <c r="L7">
        <v>0.6</v>
      </c>
      <c r="M7">
        <v>0.6</v>
      </c>
      <c r="N7">
        <v>0.7</v>
      </c>
      <c r="O7">
        <v>0.4</v>
      </c>
      <c r="P7">
        <v>0.3</v>
      </c>
      <c r="Q7">
        <v>0.7</v>
      </c>
      <c r="R7">
        <v>0.9</v>
      </c>
      <c r="S7">
        <v>0.4</v>
      </c>
      <c r="T7">
        <v>0.7</v>
      </c>
      <c r="U7">
        <v>0.7</v>
      </c>
      <c r="V7">
        <v>0.9</v>
      </c>
      <c r="W7">
        <v>0.5</v>
      </c>
      <c r="Z7">
        <v>10.4</v>
      </c>
    </row>
    <row r="8" spans="1:26" x14ac:dyDescent="0.25">
      <c r="A8" t="s">
        <v>67</v>
      </c>
      <c r="B8">
        <v>0.7</v>
      </c>
      <c r="E8">
        <v>0.5</v>
      </c>
      <c r="F8">
        <v>0.1</v>
      </c>
      <c r="G8">
        <v>0.3</v>
      </c>
      <c r="H8">
        <v>0.2</v>
      </c>
      <c r="I8">
        <v>0.2</v>
      </c>
      <c r="J8">
        <v>0.1</v>
      </c>
      <c r="K8">
        <v>0.2</v>
      </c>
      <c r="L8">
        <v>0.2</v>
      </c>
      <c r="M8">
        <v>0.3</v>
      </c>
      <c r="N8">
        <v>0.2</v>
      </c>
      <c r="O8">
        <v>0.2</v>
      </c>
      <c r="P8">
        <v>0.1</v>
      </c>
      <c r="Q8">
        <v>0.2</v>
      </c>
      <c r="R8">
        <v>0.1</v>
      </c>
      <c r="S8">
        <v>0.2</v>
      </c>
      <c r="T8">
        <v>0.1</v>
      </c>
      <c r="U8">
        <v>0.1</v>
      </c>
      <c r="V8">
        <v>0.1</v>
      </c>
      <c r="W8">
        <v>0.1</v>
      </c>
      <c r="Z8">
        <v>4.2</v>
      </c>
    </row>
    <row r="9" spans="1:26" x14ac:dyDescent="0.25">
      <c r="A9" t="s">
        <v>62</v>
      </c>
      <c r="C9">
        <v>26.2</v>
      </c>
      <c r="D9">
        <v>25.3</v>
      </c>
      <c r="E9">
        <v>26.1</v>
      </c>
      <c r="F9">
        <v>24.4</v>
      </c>
      <c r="G9">
        <v>22.3</v>
      </c>
      <c r="H9">
        <v>19.399999999999999</v>
      </c>
      <c r="I9">
        <v>18</v>
      </c>
      <c r="J9">
        <v>15.7</v>
      </c>
      <c r="K9">
        <v>14.6</v>
      </c>
      <c r="M9">
        <v>12</v>
      </c>
      <c r="N9">
        <v>10.6</v>
      </c>
      <c r="O9">
        <v>9.5</v>
      </c>
      <c r="P9">
        <v>8.6</v>
      </c>
      <c r="Q9">
        <v>9.3000000000000007</v>
      </c>
      <c r="R9">
        <v>10.6</v>
      </c>
      <c r="S9">
        <v>11</v>
      </c>
      <c r="T9">
        <v>10.9</v>
      </c>
      <c r="U9">
        <v>10.8</v>
      </c>
      <c r="V9">
        <v>5.3</v>
      </c>
      <c r="W9">
        <v>11.3</v>
      </c>
      <c r="X9">
        <v>8.4</v>
      </c>
      <c r="Z9">
        <v>310.29999999999995</v>
      </c>
    </row>
    <row r="10" spans="1:26" x14ac:dyDescent="0.25">
      <c r="A10" t="s">
        <v>66</v>
      </c>
      <c r="H10">
        <v>11.5</v>
      </c>
      <c r="I10">
        <v>4.9000000000000004</v>
      </c>
      <c r="J10">
        <v>3.5</v>
      </c>
      <c r="K10">
        <v>3</v>
      </c>
      <c r="L10">
        <v>4.5999999999999996</v>
      </c>
      <c r="M10">
        <v>5.0999999999999996</v>
      </c>
      <c r="N10">
        <v>5.5</v>
      </c>
      <c r="O10">
        <v>5</v>
      </c>
      <c r="P10">
        <v>3.9</v>
      </c>
      <c r="Q10">
        <v>6.1</v>
      </c>
      <c r="R10">
        <v>4.8</v>
      </c>
      <c r="S10">
        <v>3.5</v>
      </c>
      <c r="T10">
        <v>2.2999999999999998</v>
      </c>
      <c r="U10">
        <v>2.8</v>
      </c>
      <c r="V10">
        <v>1.4</v>
      </c>
      <c r="W10">
        <v>2</v>
      </c>
      <c r="Z10">
        <v>69.900000000000006</v>
      </c>
    </row>
    <row r="11" spans="1:26" x14ac:dyDescent="0.25">
      <c r="A11" t="s">
        <v>64</v>
      </c>
      <c r="B11">
        <v>0.5</v>
      </c>
      <c r="C11">
        <v>0.5</v>
      </c>
      <c r="D11">
        <v>0.5</v>
      </c>
      <c r="E11">
        <v>0.5</v>
      </c>
      <c r="F11">
        <v>0.2</v>
      </c>
      <c r="G11">
        <v>0.5</v>
      </c>
      <c r="H11">
        <v>0.5</v>
      </c>
      <c r="I11">
        <v>0.2</v>
      </c>
      <c r="J11">
        <v>0.2</v>
      </c>
      <c r="K11">
        <v>0.2</v>
      </c>
      <c r="L11">
        <v>0.2</v>
      </c>
      <c r="M11">
        <v>0.5</v>
      </c>
      <c r="N11">
        <v>0.5</v>
      </c>
      <c r="O11">
        <v>0.5</v>
      </c>
      <c r="P11">
        <v>0.5</v>
      </c>
      <c r="Q11">
        <v>0.5</v>
      </c>
      <c r="R11">
        <v>0.5</v>
      </c>
      <c r="S11">
        <v>0.5</v>
      </c>
      <c r="T11">
        <v>0.5</v>
      </c>
      <c r="U11">
        <v>0.5</v>
      </c>
      <c r="Z11">
        <v>8.5</v>
      </c>
    </row>
    <row r="12" spans="1:26" x14ac:dyDescent="0.25">
      <c r="A12" t="s">
        <v>63</v>
      </c>
      <c r="B12">
        <v>16</v>
      </c>
      <c r="E12">
        <v>15.3</v>
      </c>
      <c r="H12">
        <v>7.6</v>
      </c>
      <c r="K12">
        <v>5.5</v>
      </c>
      <c r="M12">
        <v>3.9</v>
      </c>
      <c r="O12">
        <v>2</v>
      </c>
      <c r="Q12">
        <v>1.5</v>
      </c>
      <c r="S12">
        <v>1</v>
      </c>
      <c r="V12">
        <v>2.7</v>
      </c>
      <c r="X12">
        <v>0.9</v>
      </c>
      <c r="Z12">
        <v>56.4</v>
      </c>
    </row>
    <row r="13" spans="1:26" x14ac:dyDescent="0.25">
      <c r="A13" t="s">
        <v>65</v>
      </c>
      <c r="D13">
        <v>62.6</v>
      </c>
      <c r="G13">
        <v>49.1</v>
      </c>
      <c r="J13">
        <v>40.1</v>
      </c>
      <c r="L13">
        <v>33.5</v>
      </c>
      <c r="M13">
        <v>28.3</v>
      </c>
      <c r="N13">
        <v>24.3</v>
      </c>
      <c r="O13">
        <v>15.8</v>
      </c>
      <c r="P13">
        <v>12.9</v>
      </c>
      <c r="Q13">
        <v>9.9</v>
      </c>
      <c r="R13">
        <v>7.8</v>
      </c>
      <c r="S13">
        <v>6.9</v>
      </c>
      <c r="T13">
        <v>4.9000000000000004</v>
      </c>
      <c r="U13">
        <v>2.5</v>
      </c>
      <c r="V13">
        <v>1</v>
      </c>
      <c r="W13">
        <v>0</v>
      </c>
      <c r="Z13">
        <v>299.59999999999997</v>
      </c>
    </row>
    <row r="14" spans="1:26" x14ac:dyDescent="0.25">
      <c r="A14" t="s">
        <v>60</v>
      </c>
      <c r="B14">
        <v>33.200000000000003</v>
      </c>
      <c r="C14">
        <v>39.5</v>
      </c>
      <c r="D14">
        <v>30.9</v>
      </c>
      <c r="E14">
        <v>29.3</v>
      </c>
      <c r="F14">
        <v>28.8</v>
      </c>
      <c r="G14">
        <v>25.6</v>
      </c>
      <c r="J14">
        <v>24.1</v>
      </c>
      <c r="K14">
        <v>22.2</v>
      </c>
      <c r="L14">
        <v>20</v>
      </c>
      <c r="M14">
        <v>17.899999999999999</v>
      </c>
      <c r="N14">
        <v>16.8</v>
      </c>
      <c r="O14">
        <v>15.3</v>
      </c>
      <c r="P14">
        <v>14.3</v>
      </c>
      <c r="Q14">
        <v>13</v>
      </c>
      <c r="R14">
        <v>12.9</v>
      </c>
      <c r="S14">
        <v>12.1</v>
      </c>
      <c r="T14">
        <v>12.2</v>
      </c>
      <c r="U14">
        <v>13.7</v>
      </c>
      <c r="V14">
        <v>19.3</v>
      </c>
      <c r="W14">
        <v>16.399999999999999</v>
      </c>
      <c r="X14">
        <v>14</v>
      </c>
      <c r="Z14">
        <v>431.5</v>
      </c>
    </row>
    <row r="15" spans="1:26" x14ac:dyDescent="0.25">
      <c r="A15" t="s">
        <v>61</v>
      </c>
      <c r="B15">
        <v>14.8</v>
      </c>
      <c r="C15">
        <v>11.5</v>
      </c>
      <c r="D15">
        <v>10.5</v>
      </c>
      <c r="E15">
        <v>10.5</v>
      </c>
      <c r="F15">
        <v>9.8000000000000007</v>
      </c>
      <c r="G15">
        <v>8.5</v>
      </c>
      <c r="H15">
        <v>8.1999999999999993</v>
      </c>
      <c r="I15">
        <v>5.9</v>
      </c>
      <c r="J15">
        <v>5.7</v>
      </c>
      <c r="K15">
        <v>6.1</v>
      </c>
      <c r="L15">
        <v>4.0999999999999996</v>
      </c>
      <c r="M15">
        <v>4.8</v>
      </c>
      <c r="N15">
        <v>4.4000000000000004</v>
      </c>
      <c r="O15">
        <v>4.3</v>
      </c>
      <c r="P15">
        <v>4.3</v>
      </c>
      <c r="Q15">
        <v>4.4000000000000004</v>
      </c>
      <c r="R15">
        <v>4.0999999999999996</v>
      </c>
      <c r="S15">
        <v>3.1</v>
      </c>
      <c r="T15">
        <v>4</v>
      </c>
      <c r="U15">
        <v>3.5</v>
      </c>
      <c r="V15">
        <v>6</v>
      </c>
      <c r="W15">
        <v>3.7</v>
      </c>
      <c r="X15">
        <v>3.3</v>
      </c>
      <c r="Y15">
        <v>3</v>
      </c>
      <c r="Z15">
        <v>148.5</v>
      </c>
    </row>
    <row r="16" spans="1:26" x14ac:dyDescent="0.25">
      <c r="A16" t="s">
        <v>58</v>
      </c>
      <c r="K16">
        <v>1.6</v>
      </c>
      <c r="L16">
        <v>2.2000000000000002</v>
      </c>
      <c r="M16">
        <v>1.8</v>
      </c>
      <c r="N16">
        <v>2</v>
      </c>
      <c r="O16">
        <v>2</v>
      </c>
      <c r="P16">
        <v>1.7</v>
      </c>
      <c r="Q16">
        <v>1.3</v>
      </c>
      <c r="R16">
        <v>1.3</v>
      </c>
      <c r="S16">
        <v>1.1000000000000001</v>
      </c>
      <c r="T16">
        <v>0.7</v>
      </c>
      <c r="U16">
        <v>0.6</v>
      </c>
      <c r="V16">
        <v>0.7</v>
      </c>
      <c r="W16">
        <v>0.4</v>
      </c>
      <c r="Z16">
        <v>17.399999999999999</v>
      </c>
    </row>
    <row r="17" spans="1:26" x14ac:dyDescent="0.25">
      <c r="A17" t="s">
        <v>55</v>
      </c>
      <c r="D17">
        <v>0</v>
      </c>
      <c r="F17">
        <v>0</v>
      </c>
      <c r="G17">
        <v>0.1</v>
      </c>
      <c r="H17">
        <v>0.1</v>
      </c>
      <c r="I17">
        <v>0.2</v>
      </c>
      <c r="J17">
        <v>0.1</v>
      </c>
      <c r="K17">
        <v>0.1</v>
      </c>
      <c r="L17">
        <v>0.1</v>
      </c>
      <c r="M17">
        <v>0.1</v>
      </c>
      <c r="N17">
        <v>0.1</v>
      </c>
      <c r="O17">
        <v>0.1</v>
      </c>
      <c r="P17">
        <v>0.1</v>
      </c>
      <c r="Q17">
        <v>0</v>
      </c>
      <c r="R17">
        <v>0.1</v>
      </c>
      <c r="S17">
        <v>0.1</v>
      </c>
      <c r="T17">
        <v>0</v>
      </c>
      <c r="U17">
        <v>0</v>
      </c>
      <c r="V17">
        <v>0</v>
      </c>
      <c r="W17">
        <v>0.1</v>
      </c>
      <c r="Z17">
        <v>1.4000000000000001</v>
      </c>
    </row>
    <row r="18" spans="1:26" x14ac:dyDescent="0.25">
      <c r="A18" t="s">
        <v>51</v>
      </c>
      <c r="B18">
        <v>0</v>
      </c>
      <c r="E18">
        <v>0.4</v>
      </c>
      <c r="F18">
        <v>0.3</v>
      </c>
      <c r="G18">
        <v>0.3</v>
      </c>
      <c r="H18">
        <v>0.2</v>
      </c>
      <c r="I18">
        <v>0.3</v>
      </c>
      <c r="J18">
        <v>0.4</v>
      </c>
      <c r="K18">
        <v>0.6</v>
      </c>
      <c r="L18">
        <v>0.1</v>
      </c>
      <c r="M18">
        <v>0</v>
      </c>
      <c r="N18">
        <v>0</v>
      </c>
      <c r="O18">
        <v>0.3</v>
      </c>
      <c r="P18">
        <v>0.2</v>
      </c>
      <c r="Q18">
        <v>0.3</v>
      </c>
      <c r="R18">
        <v>0.3</v>
      </c>
      <c r="S18">
        <v>0.2</v>
      </c>
      <c r="T18">
        <v>0.2</v>
      </c>
      <c r="U18">
        <v>0.3</v>
      </c>
      <c r="V18">
        <v>0.2</v>
      </c>
      <c r="W18">
        <v>0.2</v>
      </c>
      <c r="Z18">
        <v>4.8</v>
      </c>
    </row>
    <row r="19" spans="1:26" x14ac:dyDescent="0.25">
      <c r="A19" t="s">
        <v>49</v>
      </c>
      <c r="B19">
        <v>50.2</v>
      </c>
      <c r="E19">
        <v>30.7</v>
      </c>
      <c r="F19">
        <v>32.4</v>
      </c>
      <c r="G19">
        <v>25.5</v>
      </c>
      <c r="H19">
        <v>20.100000000000001</v>
      </c>
      <c r="I19">
        <v>19.600000000000001</v>
      </c>
      <c r="J19">
        <v>18.5</v>
      </c>
      <c r="K19">
        <v>17.7</v>
      </c>
      <c r="L19">
        <v>15.1</v>
      </c>
      <c r="M19">
        <v>12.3</v>
      </c>
      <c r="N19">
        <v>11.7</v>
      </c>
      <c r="O19">
        <v>10.199999999999999</v>
      </c>
      <c r="P19">
        <v>8.6999999999999993</v>
      </c>
      <c r="Q19">
        <v>9.5</v>
      </c>
      <c r="R19">
        <v>9.5</v>
      </c>
      <c r="S19">
        <v>8.9</v>
      </c>
      <c r="T19">
        <v>9.6999999999999993</v>
      </c>
      <c r="U19">
        <v>9.9</v>
      </c>
      <c r="V19">
        <v>14.4</v>
      </c>
      <c r="W19">
        <v>10.9</v>
      </c>
      <c r="X19">
        <v>9.5</v>
      </c>
      <c r="Y19">
        <v>10.3</v>
      </c>
      <c r="Z19">
        <v>365.2999999999999</v>
      </c>
    </row>
    <row r="20" spans="1:26" x14ac:dyDescent="0.25">
      <c r="A20" t="s">
        <v>57</v>
      </c>
      <c r="E20">
        <v>5.5</v>
      </c>
      <c r="F20">
        <v>3.2</v>
      </c>
      <c r="G20">
        <v>1.9</v>
      </c>
      <c r="H20">
        <v>1.4</v>
      </c>
      <c r="I20">
        <v>0.9</v>
      </c>
      <c r="J20">
        <v>0.9</v>
      </c>
      <c r="K20">
        <v>1.2</v>
      </c>
      <c r="L20">
        <v>1.8</v>
      </c>
      <c r="M20">
        <v>1.6</v>
      </c>
      <c r="N20">
        <v>1.5</v>
      </c>
      <c r="O20">
        <v>1.6</v>
      </c>
      <c r="P20">
        <v>1.4</v>
      </c>
      <c r="Q20">
        <v>0.9</v>
      </c>
      <c r="R20">
        <v>0.7</v>
      </c>
      <c r="S20">
        <v>0.6</v>
      </c>
      <c r="T20">
        <v>0.5</v>
      </c>
      <c r="U20">
        <v>0.9</v>
      </c>
      <c r="V20">
        <v>0.5</v>
      </c>
      <c r="W20">
        <v>0.4</v>
      </c>
      <c r="Z20">
        <v>27.4</v>
      </c>
    </row>
    <row r="21" spans="1:26" x14ac:dyDescent="0.25">
      <c r="A21" t="s">
        <v>53</v>
      </c>
      <c r="B21">
        <v>0</v>
      </c>
      <c r="E21">
        <v>0.1</v>
      </c>
      <c r="F21">
        <v>0.1</v>
      </c>
      <c r="G21">
        <v>0.1</v>
      </c>
      <c r="H21">
        <v>0.1</v>
      </c>
      <c r="I21">
        <v>0.1</v>
      </c>
      <c r="J21">
        <v>0.1</v>
      </c>
      <c r="K21">
        <v>0.1</v>
      </c>
      <c r="L21">
        <v>0.1</v>
      </c>
      <c r="M21">
        <v>0.1</v>
      </c>
      <c r="N21">
        <v>0.1</v>
      </c>
      <c r="O21">
        <v>0.1</v>
      </c>
      <c r="P21">
        <v>0.1</v>
      </c>
      <c r="Q21">
        <v>0.1</v>
      </c>
      <c r="R21">
        <v>0.1</v>
      </c>
      <c r="S21">
        <v>0.1</v>
      </c>
      <c r="T21">
        <v>0.1</v>
      </c>
      <c r="U21">
        <v>0.1</v>
      </c>
      <c r="V21">
        <v>0</v>
      </c>
      <c r="W21">
        <v>0</v>
      </c>
      <c r="Z21">
        <v>1.7000000000000004</v>
      </c>
    </row>
    <row r="22" spans="1:26" x14ac:dyDescent="0.25">
      <c r="A22" t="s">
        <v>50</v>
      </c>
      <c r="B22">
        <v>0.2</v>
      </c>
      <c r="C22">
        <v>0.2</v>
      </c>
      <c r="D22">
        <v>0</v>
      </c>
      <c r="E22">
        <v>0.2</v>
      </c>
      <c r="F22">
        <v>0.1</v>
      </c>
      <c r="G22">
        <v>0.1</v>
      </c>
      <c r="H22">
        <v>0.1</v>
      </c>
      <c r="I22">
        <v>0</v>
      </c>
      <c r="J22">
        <v>0</v>
      </c>
      <c r="K22">
        <v>0.1</v>
      </c>
      <c r="L22">
        <v>0.1</v>
      </c>
      <c r="M22">
        <v>0.1</v>
      </c>
      <c r="N22">
        <v>0.1</v>
      </c>
      <c r="O22">
        <v>0.1</v>
      </c>
      <c r="P22">
        <v>0</v>
      </c>
      <c r="Q22">
        <v>0.2</v>
      </c>
      <c r="R22">
        <v>0.1</v>
      </c>
      <c r="S22">
        <v>0</v>
      </c>
      <c r="T22">
        <v>0.1</v>
      </c>
      <c r="U22">
        <v>0.1</v>
      </c>
      <c r="V22">
        <v>0.2</v>
      </c>
      <c r="W22">
        <v>0.2</v>
      </c>
      <c r="Z22">
        <v>2.3000000000000007</v>
      </c>
    </row>
    <row r="23" spans="1:26" x14ac:dyDescent="0.25">
      <c r="A23" t="s">
        <v>54</v>
      </c>
      <c r="B23">
        <v>0.2</v>
      </c>
      <c r="C23">
        <v>0.2</v>
      </c>
      <c r="D23">
        <v>0</v>
      </c>
      <c r="E23">
        <v>0.2</v>
      </c>
      <c r="F23">
        <v>0</v>
      </c>
      <c r="G23">
        <v>0.2</v>
      </c>
      <c r="H23">
        <v>0</v>
      </c>
      <c r="I23">
        <v>0</v>
      </c>
      <c r="J23">
        <v>0.2</v>
      </c>
      <c r="K23">
        <v>0</v>
      </c>
      <c r="L23">
        <v>0.2</v>
      </c>
      <c r="M23">
        <v>0</v>
      </c>
      <c r="N23">
        <v>0</v>
      </c>
      <c r="O23">
        <v>0</v>
      </c>
      <c r="P23">
        <v>0.2</v>
      </c>
      <c r="Q23">
        <v>0</v>
      </c>
      <c r="R23">
        <v>0.2</v>
      </c>
      <c r="S23">
        <v>0.2</v>
      </c>
      <c r="T23">
        <v>0.2</v>
      </c>
      <c r="U23">
        <v>0.2</v>
      </c>
      <c r="V23">
        <v>0.2</v>
      </c>
      <c r="Z23">
        <v>2.4</v>
      </c>
    </row>
    <row r="24" spans="1:26" x14ac:dyDescent="0.25">
      <c r="A24" t="s">
        <v>52</v>
      </c>
      <c r="B24">
        <v>1</v>
      </c>
      <c r="E24">
        <v>0.7</v>
      </c>
      <c r="F24">
        <v>1</v>
      </c>
      <c r="G24">
        <v>0.5</v>
      </c>
      <c r="H24">
        <v>0.9</v>
      </c>
      <c r="I24">
        <v>0.7</v>
      </c>
      <c r="J24">
        <v>0.5</v>
      </c>
      <c r="K24">
        <v>0.7</v>
      </c>
      <c r="L24">
        <v>1.3</v>
      </c>
      <c r="M24">
        <v>2</v>
      </c>
      <c r="N24">
        <v>2.8</v>
      </c>
      <c r="O24">
        <v>2.6</v>
      </c>
      <c r="P24">
        <v>2.9</v>
      </c>
      <c r="Q24">
        <v>2.8</v>
      </c>
      <c r="R24">
        <v>2</v>
      </c>
      <c r="S24">
        <v>1.6</v>
      </c>
      <c r="T24">
        <v>0.3</v>
      </c>
      <c r="U24">
        <v>1.3</v>
      </c>
      <c r="V24">
        <v>1.6</v>
      </c>
      <c r="W24">
        <v>1.1000000000000001</v>
      </c>
      <c r="Z24">
        <v>28.300000000000008</v>
      </c>
    </row>
    <row r="25" spans="1:26" x14ac:dyDescent="0.25">
      <c r="A25" t="s">
        <v>44</v>
      </c>
      <c r="F25">
        <v>0.4</v>
      </c>
      <c r="G25">
        <v>1.5</v>
      </c>
      <c r="H25">
        <v>0.3</v>
      </c>
      <c r="I25">
        <v>0.4</v>
      </c>
      <c r="J25">
        <v>0.2</v>
      </c>
      <c r="K25">
        <v>0.2</v>
      </c>
      <c r="L25">
        <v>0.3</v>
      </c>
      <c r="M25">
        <v>0.3</v>
      </c>
      <c r="N25">
        <v>1</v>
      </c>
      <c r="O25">
        <v>0.9</v>
      </c>
      <c r="P25">
        <v>1.1000000000000001</v>
      </c>
      <c r="Q25">
        <v>1.3</v>
      </c>
      <c r="R25">
        <v>1.9</v>
      </c>
      <c r="S25">
        <v>1.5</v>
      </c>
      <c r="T25">
        <v>0.7</v>
      </c>
      <c r="U25">
        <v>0.9</v>
      </c>
      <c r="V25">
        <v>0.8</v>
      </c>
      <c r="W25">
        <v>0.8</v>
      </c>
      <c r="Z25">
        <v>14.5</v>
      </c>
    </row>
    <row r="26" spans="1:26" x14ac:dyDescent="0.25">
      <c r="A26" t="s">
        <v>47</v>
      </c>
      <c r="E26">
        <v>0.1</v>
      </c>
      <c r="F26">
        <v>0.2</v>
      </c>
      <c r="G26">
        <v>0.1</v>
      </c>
      <c r="H26">
        <v>0.3</v>
      </c>
      <c r="I26">
        <v>0.1</v>
      </c>
      <c r="J26">
        <v>0.1</v>
      </c>
      <c r="K26">
        <v>0.1</v>
      </c>
      <c r="L26">
        <v>0.2</v>
      </c>
      <c r="M26">
        <v>0.2</v>
      </c>
      <c r="N26">
        <v>0.1</v>
      </c>
      <c r="O26">
        <v>0.1</v>
      </c>
      <c r="P26">
        <v>0.1</v>
      </c>
      <c r="Q26">
        <v>0</v>
      </c>
      <c r="R26">
        <v>0.1</v>
      </c>
      <c r="S26">
        <v>0</v>
      </c>
      <c r="Z26">
        <v>1.8000000000000003</v>
      </c>
    </row>
    <row r="27" spans="1:26" x14ac:dyDescent="0.25">
      <c r="A27" t="s">
        <v>39</v>
      </c>
      <c r="F27">
        <v>77.5</v>
      </c>
      <c r="K27">
        <v>72.5</v>
      </c>
      <c r="M27">
        <v>63</v>
      </c>
      <c r="Q27">
        <v>61</v>
      </c>
      <c r="R27">
        <v>59.9</v>
      </c>
      <c r="S27">
        <v>54.4</v>
      </c>
      <c r="T27">
        <v>46.9</v>
      </c>
      <c r="U27">
        <v>44</v>
      </c>
      <c r="V27">
        <v>48.2</v>
      </c>
      <c r="W27">
        <v>44</v>
      </c>
      <c r="Z27">
        <v>571.4</v>
      </c>
    </row>
    <row r="28" spans="1:26" x14ac:dyDescent="0.25">
      <c r="A28" t="s">
        <v>40</v>
      </c>
      <c r="B28">
        <v>81</v>
      </c>
      <c r="C28">
        <v>78.3</v>
      </c>
      <c r="D28">
        <v>68.3</v>
      </c>
      <c r="E28">
        <v>66.5</v>
      </c>
      <c r="F28">
        <v>66.7</v>
      </c>
      <c r="G28">
        <v>63</v>
      </c>
      <c r="H28">
        <v>67.5</v>
      </c>
      <c r="I28">
        <v>60.9</v>
      </c>
      <c r="J28">
        <v>58</v>
      </c>
      <c r="K28">
        <v>58.4</v>
      </c>
      <c r="L28">
        <v>52</v>
      </c>
      <c r="M28">
        <v>48.7</v>
      </c>
      <c r="N28">
        <v>44.8</v>
      </c>
      <c r="O28">
        <v>44.9</v>
      </c>
      <c r="P28">
        <v>42.8</v>
      </c>
      <c r="Q28">
        <v>38.4</v>
      </c>
      <c r="R28">
        <v>34.1</v>
      </c>
      <c r="S28">
        <v>26.3</v>
      </c>
      <c r="T28">
        <v>25.4</v>
      </c>
      <c r="U28">
        <v>23.4</v>
      </c>
      <c r="V28">
        <v>21.8</v>
      </c>
      <c r="W28">
        <v>21.3</v>
      </c>
      <c r="X28">
        <v>19.100000000000001</v>
      </c>
      <c r="Y28">
        <v>17.5</v>
      </c>
      <c r="Z28">
        <v>1129.0999999999999</v>
      </c>
    </row>
    <row r="29" spans="1:26" x14ac:dyDescent="0.25">
      <c r="A29" t="s">
        <v>45</v>
      </c>
      <c r="B29">
        <v>0.2</v>
      </c>
      <c r="D29">
        <v>0.5</v>
      </c>
      <c r="E29">
        <v>0.2</v>
      </c>
      <c r="F29">
        <v>0.1</v>
      </c>
      <c r="G29">
        <v>0.1</v>
      </c>
      <c r="H29">
        <v>0.5</v>
      </c>
      <c r="I29">
        <v>0.1</v>
      </c>
      <c r="J29">
        <v>0.3</v>
      </c>
      <c r="K29">
        <v>0.7</v>
      </c>
      <c r="L29">
        <v>0.9</v>
      </c>
      <c r="M29">
        <v>0.9</v>
      </c>
      <c r="N29">
        <v>0.7</v>
      </c>
      <c r="O29">
        <v>1</v>
      </c>
      <c r="P29">
        <v>0.5</v>
      </c>
      <c r="Q29">
        <v>0.5</v>
      </c>
      <c r="R29">
        <v>0.4</v>
      </c>
      <c r="S29">
        <v>0.3</v>
      </c>
      <c r="T29">
        <v>0.1</v>
      </c>
      <c r="U29">
        <v>0.1</v>
      </c>
      <c r="V29">
        <v>0.2</v>
      </c>
      <c r="W29">
        <v>0.1</v>
      </c>
      <c r="Z29">
        <v>8.3999999999999986</v>
      </c>
    </row>
    <row r="30" spans="1:26" x14ac:dyDescent="0.25">
      <c r="A30" t="s">
        <v>43</v>
      </c>
      <c r="C30">
        <v>0.5</v>
      </c>
      <c r="D30">
        <v>1.7</v>
      </c>
      <c r="E30">
        <v>2</v>
      </c>
      <c r="F30">
        <v>2</v>
      </c>
      <c r="G30">
        <v>1.5</v>
      </c>
      <c r="H30">
        <v>1.2</v>
      </c>
      <c r="I30">
        <v>1</v>
      </c>
      <c r="J30">
        <v>1.5</v>
      </c>
      <c r="K30">
        <v>1.7</v>
      </c>
      <c r="L30">
        <v>1.2</v>
      </c>
      <c r="M30">
        <v>1.5</v>
      </c>
      <c r="N30">
        <v>1.2</v>
      </c>
      <c r="O30">
        <v>1</v>
      </c>
      <c r="P30">
        <v>1.2</v>
      </c>
      <c r="Q30">
        <v>0.7</v>
      </c>
      <c r="R30">
        <v>1</v>
      </c>
      <c r="S30">
        <v>1.2</v>
      </c>
      <c r="T30">
        <v>1</v>
      </c>
      <c r="U30">
        <v>1.2</v>
      </c>
      <c r="V30">
        <v>1</v>
      </c>
      <c r="W30">
        <v>1</v>
      </c>
      <c r="Z30">
        <v>26.299999999999997</v>
      </c>
    </row>
    <row r="31" spans="1:26" x14ac:dyDescent="0.25">
      <c r="A31" t="s">
        <v>42</v>
      </c>
      <c r="B31">
        <v>1.7</v>
      </c>
      <c r="D31">
        <v>1.7</v>
      </c>
      <c r="E31">
        <v>1.1000000000000001</v>
      </c>
      <c r="F31">
        <v>0.9</v>
      </c>
      <c r="G31">
        <v>1</v>
      </c>
      <c r="H31">
        <v>0.9</v>
      </c>
      <c r="I31">
        <v>1.1000000000000001</v>
      </c>
      <c r="J31">
        <v>1</v>
      </c>
      <c r="K31">
        <v>1.3</v>
      </c>
      <c r="L31">
        <v>1.6</v>
      </c>
      <c r="M31">
        <v>1.5</v>
      </c>
      <c r="N31">
        <v>1.8</v>
      </c>
      <c r="O31">
        <v>2</v>
      </c>
      <c r="P31">
        <v>1.8</v>
      </c>
      <c r="Q31">
        <v>2.6</v>
      </c>
      <c r="R31">
        <v>2.2999999999999998</v>
      </c>
      <c r="S31">
        <v>1.8</v>
      </c>
      <c r="T31">
        <v>2.1</v>
      </c>
      <c r="U31">
        <v>1.3</v>
      </c>
      <c r="V31">
        <v>1.2</v>
      </c>
      <c r="W31">
        <v>1</v>
      </c>
      <c r="Z31">
        <v>31.700000000000006</v>
      </c>
    </row>
    <row r="32" spans="1:26" x14ac:dyDescent="0.25">
      <c r="A32" t="s">
        <v>46</v>
      </c>
      <c r="J32">
        <v>1</v>
      </c>
      <c r="L32">
        <v>0.2</v>
      </c>
      <c r="O32">
        <v>0.9</v>
      </c>
      <c r="Z32">
        <v>2.1</v>
      </c>
    </row>
    <row r="33" spans="1:26" x14ac:dyDescent="0.25">
      <c r="A33" t="s">
        <v>41</v>
      </c>
      <c r="H33">
        <v>0.7</v>
      </c>
      <c r="J33">
        <v>0.7</v>
      </c>
      <c r="L33">
        <v>0.7</v>
      </c>
      <c r="N33">
        <v>0.7</v>
      </c>
      <c r="P33">
        <v>0.5</v>
      </c>
      <c r="R33">
        <v>0.2</v>
      </c>
      <c r="S33">
        <v>0.2</v>
      </c>
      <c r="T33">
        <v>0.2</v>
      </c>
      <c r="U33">
        <v>0.2</v>
      </c>
      <c r="V33">
        <v>0.2</v>
      </c>
      <c r="W33">
        <v>0.2</v>
      </c>
      <c r="Z33">
        <v>4.5000000000000009</v>
      </c>
    </row>
    <row r="34" spans="1:26" x14ac:dyDescent="0.25">
      <c r="A34" t="s">
        <v>38</v>
      </c>
      <c r="F34">
        <v>5.8</v>
      </c>
      <c r="G34">
        <v>5.2</v>
      </c>
      <c r="H34">
        <v>2.7</v>
      </c>
      <c r="I34">
        <v>1.7</v>
      </c>
      <c r="J34">
        <v>2.4</v>
      </c>
      <c r="K34">
        <v>3.9</v>
      </c>
      <c r="L34">
        <v>3.8</v>
      </c>
      <c r="M34">
        <v>3.1</v>
      </c>
      <c r="N34">
        <v>2.8</v>
      </c>
      <c r="O34">
        <v>2.5</v>
      </c>
      <c r="P34">
        <v>1.9</v>
      </c>
      <c r="Q34">
        <v>1.6</v>
      </c>
      <c r="R34">
        <v>1.5</v>
      </c>
      <c r="S34">
        <v>1.5</v>
      </c>
      <c r="T34">
        <v>0.9</v>
      </c>
      <c r="U34">
        <v>0.8</v>
      </c>
      <c r="V34">
        <v>0.8</v>
      </c>
      <c r="W34">
        <v>0.7</v>
      </c>
      <c r="Z34">
        <v>43.599999999999994</v>
      </c>
    </row>
    <row r="35" spans="1:26" x14ac:dyDescent="0.25">
      <c r="A35" t="s">
        <v>37</v>
      </c>
      <c r="B35">
        <v>0</v>
      </c>
      <c r="C35">
        <v>0</v>
      </c>
      <c r="D35">
        <v>0</v>
      </c>
      <c r="E35">
        <v>0.1</v>
      </c>
      <c r="F35">
        <v>0</v>
      </c>
      <c r="G35">
        <v>0.1</v>
      </c>
      <c r="H35">
        <v>0</v>
      </c>
      <c r="I35">
        <v>0</v>
      </c>
      <c r="J35">
        <v>0</v>
      </c>
      <c r="K35">
        <v>0.1</v>
      </c>
      <c r="L35">
        <v>0</v>
      </c>
      <c r="M35">
        <v>0.1</v>
      </c>
      <c r="N35">
        <v>0.1</v>
      </c>
      <c r="O35">
        <v>0.1</v>
      </c>
      <c r="P35">
        <v>0.2</v>
      </c>
      <c r="Q35">
        <v>0.4</v>
      </c>
      <c r="R35">
        <v>0.1</v>
      </c>
      <c r="S35">
        <v>0.4</v>
      </c>
      <c r="T35">
        <v>0.4</v>
      </c>
      <c r="U35">
        <v>0.1</v>
      </c>
      <c r="V35">
        <v>0</v>
      </c>
      <c r="W35">
        <v>0.1</v>
      </c>
      <c r="Z35">
        <v>2.3000000000000003</v>
      </c>
    </row>
    <row r="36" spans="1:26" x14ac:dyDescent="0.25">
      <c r="A36" t="s">
        <v>36</v>
      </c>
      <c r="E36">
        <v>8.1999999999999993</v>
      </c>
      <c r="H36">
        <v>4.9000000000000004</v>
      </c>
      <c r="J36">
        <v>5.3</v>
      </c>
      <c r="M36">
        <v>1.8</v>
      </c>
      <c r="O36">
        <v>0.6</v>
      </c>
      <c r="Q36">
        <v>0.4</v>
      </c>
      <c r="T36">
        <v>0.2</v>
      </c>
      <c r="W36">
        <v>0.1</v>
      </c>
      <c r="Z36">
        <v>21.5</v>
      </c>
    </row>
    <row r="37" spans="1:26" x14ac:dyDescent="0.25">
      <c r="A37" t="s">
        <v>35</v>
      </c>
      <c r="B37">
        <v>23.6</v>
      </c>
      <c r="D37">
        <v>20.6</v>
      </c>
      <c r="F37">
        <v>17.7</v>
      </c>
      <c r="G37">
        <v>17.8</v>
      </c>
      <c r="H37">
        <v>15</v>
      </c>
      <c r="J37">
        <v>16.600000000000001</v>
      </c>
      <c r="L37">
        <v>14.3</v>
      </c>
      <c r="N37">
        <v>13.5</v>
      </c>
      <c r="P37">
        <v>13.1</v>
      </c>
      <c r="R37">
        <v>8.9</v>
      </c>
      <c r="T37">
        <v>7.8</v>
      </c>
      <c r="V37">
        <v>8.1999999999999993</v>
      </c>
      <c r="X37">
        <v>4.7</v>
      </c>
      <c r="Z37">
        <v>181.8</v>
      </c>
    </row>
    <row r="38" spans="1:26" x14ac:dyDescent="0.25">
      <c r="A38" t="s">
        <v>34</v>
      </c>
      <c r="F38">
        <v>0.4</v>
      </c>
      <c r="G38">
        <v>0.2</v>
      </c>
      <c r="H38">
        <v>0.1</v>
      </c>
      <c r="I38">
        <v>0.1</v>
      </c>
      <c r="J38">
        <v>0.2</v>
      </c>
      <c r="K38">
        <v>0.2</v>
      </c>
      <c r="L38">
        <v>0.1</v>
      </c>
      <c r="M38">
        <v>0.2</v>
      </c>
      <c r="N38">
        <v>0.1</v>
      </c>
      <c r="O38">
        <v>0.2</v>
      </c>
      <c r="P38">
        <v>0.2</v>
      </c>
      <c r="Q38">
        <v>0.1</v>
      </c>
      <c r="R38">
        <v>0.2</v>
      </c>
      <c r="S38">
        <v>0.3</v>
      </c>
      <c r="T38">
        <v>0.2</v>
      </c>
      <c r="U38">
        <v>0.1</v>
      </c>
      <c r="V38">
        <v>0.1</v>
      </c>
      <c r="W38">
        <v>0.1</v>
      </c>
      <c r="Z38">
        <v>3.1000000000000005</v>
      </c>
    </row>
    <row r="39" spans="1:26" x14ac:dyDescent="0.25">
      <c r="A39" t="s">
        <v>28</v>
      </c>
      <c r="B39">
        <v>0.2</v>
      </c>
      <c r="E39">
        <v>0.2</v>
      </c>
      <c r="F39">
        <v>0.3</v>
      </c>
      <c r="G39">
        <v>0.3</v>
      </c>
      <c r="H39">
        <v>0.3</v>
      </c>
      <c r="I39">
        <v>0.3</v>
      </c>
      <c r="J39">
        <v>0.3</v>
      </c>
      <c r="K39">
        <v>0.1</v>
      </c>
      <c r="L39">
        <v>0.2</v>
      </c>
      <c r="M39">
        <v>0.1</v>
      </c>
      <c r="N39">
        <v>0.2</v>
      </c>
      <c r="O39">
        <v>0.2</v>
      </c>
      <c r="P39">
        <v>0.1</v>
      </c>
      <c r="Q39">
        <v>0.2</v>
      </c>
      <c r="R39">
        <v>0.4</v>
      </c>
      <c r="S39">
        <v>0.3</v>
      </c>
      <c r="T39">
        <v>0.3</v>
      </c>
      <c r="U39">
        <v>0.3</v>
      </c>
      <c r="Z39">
        <v>4.3000000000000007</v>
      </c>
    </row>
    <row r="40" spans="1:26" x14ac:dyDescent="0.25">
      <c r="A40" t="s">
        <v>26</v>
      </c>
      <c r="B40">
        <v>35.4</v>
      </c>
      <c r="C40">
        <v>37.5</v>
      </c>
      <c r="D40">
        <v>34.200000000000003</v>
      </c>
      <c r="E40">
        <v>32.299999999999997</v>
      </c>
      <c r="F40">
        <v>32.799999999999997</v>
      </c>
      <c r="G40">
        <v>35.200000000000003</v>
      </c>
      <c r="H40">
        <v>30.4</v>
      </c>
      <c r="I40">
        <v>26.5</v>
      </c>
      <c r="J40">
        <v>22.7</v>
      </c>
      <c r="K40">
        <v>20.5</v>
      </c>
      <c r="L40">
        <v>17.8</v>
      </c>
      <c r="M40">
        <v>16.3</v>
      </c>
      <c r="N40">
        <v>14.8</v>
      </c>
      <c r="O40">
        <v>14</v>
      </c>
      <c r="P40">
        <v>13.1</v>
      </c>
      <c r="Q40">
        <v>12.8</v>
      </c>
      <c r="R40">
        <v>12.4</v>
      </c>
      <c r="S40">
        <v>12.4</v>
      </c>
      <c r="T40">
        <v>10.7</v>
      </c>
      <c r="U40">
        <v>9.6</v>
      </c>
      <c r="V40">
        <v>17.399999999999999</v>
      </c>
      <c r="W40">
        <v>10</v>
      </c>
      <c r="X40">
        <v>9.5</v>
      </c>
      <c r="Z40">
        <v>478.29999999999995</v>
      </c>
    </row>
    <row r="41" spans="1:26" x14ac:dyDescent="0.25">
      <c r="A41" t="s">
        <v>27</v>
      </c>
      <c r="B41">
        <v>39.200000000000003</v>
      </c>
      <c r="E41">
        <v>37.299999999999997</v>
      </c>
      <c r="H41">
        <v>39.4</v>
      </c>
      <c r="K41">
        <v>35.299999999999997</v>
      </c>
      <c r="N41">
        <v>34.6</v>
      </c>
      <c r="Q41">
        <v>27.1</v>
      </c>
      <c r="T41">
        <v>18.3</v>
      </c>
      <c r="W41">
        <v>17.8</v>
      </c>
      <c r="Z41">
        <v>249</v>
      </c>
    </row>
    <row r="42" spans="1:26" x14ac:dyDescent="0.25">
      <c r="A42" t="s">
        <v>32</v>
      </c>
      <c r="F42">
        <v>5</v>
      </c>
      <c r="G42">
        <v>2.8</v>
      </c>
      <c r="H42">
        <v>1.8</v>
      </c>
      <c r="I42">
        <v>1.3</v>
      </c>
      <c r="J42">
        <v>0.7</v>
      </c>
      <c r="K42">
        <v>0.9</v>
      </c>
      <c r="L42">
        <v>1.1000000000000001</v>
      </c>
      <c r="M42">
        <v>0.9</v>
      </c>
      <c r="N42">
        <v>0.7</v>
      </c>
      <c r="O42">
        <v>0.9</v>
      </c>
      <c r="P42">
        <v>1.1000000000000001</v>
      </c>
      <c r="Q42">
        <v>0.9</v>
      </c>
      <c r="R42">
        <v>0.6</v>
      </c>
      <c r="S42">
        <v>0.6</v>
      </c>
      <c r="T42">
        <v>0.4</v>
      </c>
      <c r="U42">
        <v>0.2</v>
      </c>
      <c r="V42">
        <v>0.3</v>
      </c>
      <c r="W42">
        <v>0.2</v>
      </c>
      <c r="Z42">
        <v>20.399999999999999</v>
      </c>
    </row>
    <row r="43" spans="1:26" x14ac:dyDescent="0.25">
      <c r="A43" t="s">
        <v>29</v>
      </c>
      <c r="E43">
        <v>1.5</v>
      </c>
      <c r="F43">
        <v>1.1000000000000001</v>
      </c>
      <c r="G43">
        <v>1.1000000000000001</v>
      </c>
      <c r="H43">
        <v>0.6</v>
      </c>
      <c r="I43">
        <v>0.9</v>
      </c>
      <c r="J43">
        <v>0.9</v>
      </c>
      <c r="K43">
        <v>0.5</v>
      </c>
      <c r="L43">
        <v>0.5</v>
      </c>
      <c r="M43">
        <v>0.9</v>
      </c>
      <c r="N43">
        <v>1.5</v>
      </c>
      <c r="O43">
        <v>1.8</v>
      </c>
      <c r="P43">
        <v>1.5</v>
      </c>
      <c r="Q43">
        <v>1.2</v>
      </c>
      <c r="R43">
        <v>0.7</v>
      </c>
      <c r="S43">
        <v>0.7</v>
      </c>
      <c r="T43">
        <v>0.7</v>
      </c>
      <c r="U43">
        <v>0.2</v>
      </c>
      <c r="V43">
        <v>1</v>
      </c>
      <c r="W43">
        <v>0.4</v>
      </c>
      <c r="Z43">
        <v>17.699999999999996</v>
      </c>
    </row>
    <row r="44" spans="1:26" x14ac:dyDescent="0.25">
      <c r="A44" t="s">
        <v>31</v>
      </c>
      <c r="H44">
        <v>18</v>
      </c>
      <c r="I44">
        <v>13.9</v>
      </c>
      <c r="J44">
        <v>10.3</v>
      </c>
      <c r="K44">
        <v>9.9</v>
      </c>
      <c r="L44">
        <v>11</v>
      </c>
      <c r="M44">
        <v>12.6</v>
      </c>
      <c r="N44">
        <v>12.8</v>
      </c>
      <c r="O44">
        <v>15.1</v>
      </c>
      <c r="P44">
        <v>13.9</v>
      </c>
      <c r="Q44">
        <v>12.2</v>
      </c>
      <c r="R44">
        <v>8.9</v>
      </c>
      <c r="S44">
        <v>6.7</v>
      </c>
      <c r="T44">
        <v>5.7</v>
      </c>
      <c r="U44">
        <v>4.7</v>
      </c>
      <c r="V44">
        <v>3.9</v>
      </c>
      <c r="W44">
        <v>3</v>
      </c>
      <c r="Z44">
        <v>162.59999999999997</v>
      </c>
    </row>
    <row r="45" spans="1:26" x14ac:dyDescent="0.25">
      <c r="A45" t="s">
        <v>33</v>
      </c>
      <c r="P45">
        <v>0.8</v>
      </c>
      <c r="Q45">
        <v>0.8</v>
      </c>
      <c r="R45">
        <v>0.8</v>
      </c>
      <c r="S45">
        <v>0.8</v>
      </c>
      <c r="T45">
        <v>0.4</v>
      </c>
      <c r="U45">
        <v>0.5</v>
      </c>
      <c r="V45">
        <v>0.3</v>
      </c>
      <c r="W45">
        <v>0.4</v>
      </c>
      <c r="Z45">
        <v>4.8</v>
      </c>
    </row>
    <row r="46" spans="1:26" x14ac:dyDescent="0.25">
      <c r="A46" t="s">
        <v>24</v>
      </c>
      <c r="F46">
        <v>1</v>
      </c>
      <c r="G46">
        <v>0.9</v>
      </c>
      <c r="H46">
        <v>0.8</v>
      </c>
      <c r="I46">
        <v>1</v>
      </c>
      <c r="J46">
        <v>1.1000000000000001</v>
      </c>
      <c r="K46">
        <v>1.1000000000000001</v>
      </c>
      <c r="L46">
        <v>1.2</v>
      </c>
      <c r="M46">
        <v>0.9</v>
      </c>
      <c r="N46">
        <v>1.1000000000000001</v>
      </c>
      <c r="O46">
        <v>1.2</v>
      </c>
      <c r="P46">
        <v>1.8</v>
      </c>
      <c r="Q46">
        <v>1.2</v>
      </c>
      <c r="R46">
        <v>2.1</v>
      </c>
      <c r="S46">
        <v>1.3</v>
      </c>
      <c r="T46">
        <v>1.3</v>
      </c>
      <c r="U46">
        <v>0.5</v>
      </c>
      <c r="V46">
        <v>0.4</v>
      </c>
      <c r="W46">
        <v>0.7</v>
      </c>
      <c r="Z46">
        <v>19.599999999999998</v>
      </c>
    </row>
    <row r="47" spans="1:26" x14ac:dyDescent="0.25">
      <c r="A47" t="s">
        <v>25</v>
      </c>
      <c r="F47">
        <v>0.2</v>
      </c>
      <c r="G47">
        <v>0.2</v>
      </c>
      <c r="H47">
        <v>0.1</v>
      </c>
      <c r="I47">
        <v>0.1</v>
      </c>
      <c r="J47">
        <v>0</v>
      </c>
      <c r="K47">
        <v>0</v>
      </c>
      <c r="L47">
        <v>0</v>
      </c>
      <c r="M47">
        <v>0</v>
      </c>
      <c r="N47">
        <v>0</v>
      </c>
      <c r="O47">
        <v>0.1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Z47">
        <v>0.7</v>
      </c>
    </row>
    <row r="48" spans="1:26" x14ac:dyDescent="0.25">
      <c r="A48" t="s">
        <v>21</v>
      </c>
      <c r="B48">
        <v>1.1000000000000001</v>
      </c>
      <c r="E48">
        <v>1.2</v>
      </c>
      <c r="F48">
        <v>1.3</v>
      </c>
      <c r="G48">
        <v>1.1000000000000001</v>
      </c>
      <c r="H48">
        <v>1.1000000000000001</v>
      </c>
      <c r="I48">
        <v>0.7</v>
      </c>
      <c r="J48">
        <v>0.9</v>
      </c>
      <c r="K48">
        <v>1.1000000000000001</v>
      </c>
      <c r="L48">
        <v>1.1000000000000001</v>
      </c>
      <c r="M48">
        <v>1.6</v>
      </c>
      <c r="N48">
        <v>1.5</v>
      </c>
      <c r="O48">
        <v>1.7</v>
      </c>
      <c r="P48">
        <v>1.5</v>
      </c>
      <c r="Q48">
        <v>1.5</v>
      </c>
      <c r="R48">
        <v>1.7</v>
      </c>
      <c r="S48">
        <v>1.1000000000000001</v>
      </c>
      <c r="T48">
        <v>1.2</v>
      </c>
      <c r="U48">
        <v>1.1000000000000001</v>
      </c>
      <c r="V48">
        <v>1.4</v>
      </c>
      <c r="W48">
        <v>0.9</v>
      </c>
      <c r="Z48">
        <v>24.799999999999997</v>
      </c>
    </row>
    <row r="49" spans="1:26" x14ac:dyDescent="0.25">
      <c r="A49" t="s">
        <v>20</v>
      </c>
      <c r="B49">
        <v>0.2</v>
      </c>
      <c r="C49">
        <v>0.2</v>
      </c>
      <c r="D49">
        <v>0.2</v>
      </c>
      <c r="E49">
        <v>0.5</v>
      </c>
      <c r="F49">
        <v>0.6</v>
      </c>
      <c r="G49">
        <v>1.3</v>
      </c>
      <c r="H49">
        <v>0.5</v>
      </c>
      <c r="I49">
        <v>0.6</v>
      </c>
      <c r="J49">
        <v>0.8</v>
      </c>
      <c r="K49">
        <v>0.8</v>
      </c>
      <c r="L49">
        <v>0.8</v>
      </c>
      <c r="M49">
        <v>0.8</v>
      </c>
      <c r="N49">
        <v>0.6</v>
      </c>
      <c r="O49">
        <v>0.8</v>
      </c>
      <c r="P49">
        <v>0.7</v>
      </c>
      <c r="Q49">
        <v>0.8</v>
      </c>
      <c r="R49">
        <v>0.5</v>
      </c>
      <c r="S49">
        <v>0.3</v>
      </c>
      <c r="T49">
        <v>0.9</v>
      </c>
      <c r="U49">
        <v>0.4</v>
      </c>
      <c r="V49">
        <v>0.5</v>
      </c>
      <c r="W49">
        <v>0.8</v>
      </c>
      <c r="Z49">
        <v>13.600000000000001</v>
      </c>
    </row>
    <row r="50" spans="1:26" x14ac:dyDescent="0.25">
      <c r="A50" t="s">
        <v>22</v>
      </c>
      <c r="B50">
        <v>0.2</v>
      </c>
      <c r="D50">
        <v>0</v>
      </c>
      <c r="F50">
        <v>0.2</v>
      </c>
      <c r="H50">
        <v>0.2</v>
      </c>
      <c r="I50">
        <v>0.1</v>
      </c>
      <c r="J50">
        <v>0.1</v>
      </c>
      <c r="K50">
        <v>0.1</v>
      </c>
      <c r="L50">
        <v>0.1</v>
      </c>
      <c r="M50">
        <v>0</v>
      </c>
      <c r="N50">
        <v>0</v>
      </c>
      <c r="O50">
        <v>0</v>
      </c>
      <c r="P50">
        <v>0</v>
      </c>
      <c r="Q50">
        <v>0</v>
      </c>
      <c r="R50">
        <v>0.1</v>
      </c>
      <c r="S50">
        <v>0</v>
      </c>
      <c r="T50">
        <v>0</v>
      </c>
      <c r="U50">
        <v>0</v>
      </c>
      <c r="V50">
        <v>0.1</v>
      </c>
      <c r="Z50">
        <v>1.2000000000000002</v>
      </c>
    </row>
    <row r="51" spans="1:26" x14ac:dyDescent="0.25">
      <c r="A51" t="s">
        <v>18</v>
      </c>
      <c r="B51">
        <v>23.5</v>
      </c>
      <c r="D51">
        <v>16.399999999999999</v>
      </c>
      <c r="F51">
        <v>12.2</v>
      </c>
      <c r="H51">
        <v>8.6999999999999993</v>
      </c>
      <c r="I51">
        <v>6.7</v>
      </c>
      <c r="J51">
        <v>5.3</v>
      </c>
      <c r="K51">
        <v>4.5</v>
      </c>
      <c r="L51">
        <v>3.9</v>
      </c>
      <c r="M51">
        <v>2.1</v>
      </c>
      <c r="N51">
        <v>2.2999999999999998</v>
      </c>
      <c r="O51">
        <v>1.8</v>
      </c>
      <c r="P51">
        <v>1.4</v>
      </c>
      <c r="Q51">
        <v>0.8</v>
      </c>
      <c r="R51">
        <v>1</v>
      </c>
      <c r="S51">
        <v>0.8</v>
      </c>
      <c r="T51">
        <v>0.9</v>
      </c>
      <c r="U51">
        <v>0.6</v>
      </c>
      <c r="V51">
        <v>0.7</v>
      </c>
      <c r="W51">
        <v>0.6</v>
      </c>
      <c r="Z51">
        <v>94.199999999999989</v>
      </c>
    </row>
    <row r="52" spans="1:26" x14ac:dyDescent="0.25">
      <c r="A52" t="s">
        <v>19</v>
      </c>
      <c r="S52">
        <v>1.8</v>
      </c>
      <c r="T52">
        <v>1.8</v>
      </c>
      <c r="U52">
        <v>2</v>
      </c>
      <c r="V52">
        <v>2</v>
      </c>
      <c r="W52">
        <v>1.4</v>
      </c>
      <c r="Z52">
        <v>9</v>
      </c>
    </row>
    <row r="53" spans="1:26" x14ac:dyDescent="0.25">
      <c r="A53" t="s">
        <v>14</v>
      </c>
      <c r="B53">
        <v>0.2</v>
      </c>
      <c r="C53">
        <v>0.5</v>
      </c>
      <c r="D53">
        <v>0.5</v>
      </c>
      <c r="E53">
        <v>0.2</v>
      </c>
      <c r="F53">
        <v>0.2</v>
      </c>
      <c r="G53">
        <v>0.5</v>
      </c>
      <c r="H53">
        <v>0.2</v>
      </c>
      <c r="I53">
        <v>0.5</v>
      </c>
      <c r="J53">
        <v>0.5</v>
      </c>
      <c r="K53">
        <v>0.5</v>
      </c>
      <c r="L53">
        <v>0.5</v>
      </c>
      <c r="M53">
        <v>0.5</v>
      </c>
      <c r="N53">
        <v>0.5</v>
      </c>
      <c r="O53">
        <v>0.2</v>
      </c>
      <c r="P53">
        <v>0.5</v>
      </c>
      <c r="Q53">
        <v>0.5</v>
      </c>
      <c r="R53">
        <v>0.5</v>
      </c>
      <c r="S53">
        <v>0.5</v>
      </c>
      <c r="T53">
        <v>0.5</v>
      </c>
      <c r="U53">
        <v>0.5</v>
      </c>
      <c r="V53">
        <v>0.5</v>
      </c>
      <c r="W53">
        <v>0.5</v>
      </c>
      <c r="Z53">
        <v>9.5</v>
      </c>
    </row>
    <row r="54" spans="1:26" x14ac:dyDescent="0.25">
      <c r="A54" t="s">
        <v>15</v>
      </c>
      <c r="B54">
        <v>1</v>
      </c>
      <c r="C54">
        <v>1</v>
      </c>
      <c r="D54">
        <v>1</v>
      </c>
      <c r="E54">
        <v>1.2</v>
      </c>
      <c r="F54">
        <v>1.2</v>
      </c>
      <c r="G54">
        <v>1.2</v>
      </c>
      <c r="H54">
        <v>1.2</v>
      </c>
      <c r="I54">
        <v>1.2</v>
      </c>
      <c r="J54">
        <v>1.2</v>
      </c>
      <c r="K54">
        <v>1.2</v>
      </c>
      <c r="L54">
        <v>1.2</v>
      </c>
      <c r="M54">
        <v>1.2</v>
      </c>
      <c r="N54">
        <v>1.2</v>
      </c>
      <c r="O54">
        <v>1.2</v>
      </c>
      <c r="P54">
        <v>1.5</v>
      </c>
      <c r="Q54">
        <v>1.2</v>
      </c>
      <c r="R54">
        <v>1.2</v>
      </c>
      <c r="S54">
        <v>1.5</v>
      </c>
      <c r="T54">
        <v>1.2</v>
      </c>
      <c r="U54">
        <v>1.2</v>
      </c>
      <c r="V54">
        <v>0.5</v>
      </c>
      <c r="W54">
        <v>0.5</v>
      </c>
      <c r="X54">
        <v>1.5</v>
      </c>
      <c r="Z54">
        <v>26.499999999999993</v>
      </c>
    </row>
    <row r="55" spans="1:26" x14ac:dyDescent="0.25">
      <c r="A55" t="s">
        <v>9</v>
      </c>
      <c r="B55">
        <v>2.4</v>
      </c>
      <c r="C55">
        <v>2.8</v>
      </c>
      <c r="D55">
        <v>3.9</v>
      </c>
      <c r="E55">
        <v>5.0999999999999996</v>
      </c>
      <c r="F55">
        <v>6.5</v>
      </c>
      <c r="G55">
        <v>5.8</v>
      </c>
      <c r="H55">
        <v>4.5</v>
      </c>
      <c r="I55">
        <v>3.6</v>
      </c>
      <c r="J55">
        <v>2.2000000000000002</v>
      </c>
      <c r="K55">
        <v>2.2000000000000002</v>
      </c>
      <c r="L55">
        <v>1.6</v>
      </c>
      <c r="M55">
        <v>1.3</v>
      </c>
      <c r="N55">
        <v>1.3</v>
      </c>
      <c r="O55">
        <v>1.1000000000000001</v>
      </c>
      <c r="P55">
        <v>0.8</v>
      </c>
      <c r="Q55">
        <v>0.8</v>
      </c>
      <c r="R55">
        <v>0.7</v>
      </c>
      <c r="S55">
        <v>0.5</v>
      </c>
      <c r="T55">
        <v>0.4</v>
      </c>
      <c r="U55">
        <v>0.5</v>
      </c>
      <c r="V55">
        <v>0.9</v>
      </c>
      <c r="W55">
        <v>0.8</v>
      </c>
      <c r="X55">
        <v>0.8</v>
      </c>
      <c r="Z55">
        <v>50.499999999999993</v>
      </c>
    </row>
    <row r="56" spans="1:26" x14ac:dyDescent="0.25">
      <c r="A56" t="s">
        <v>16</v>
      </c>
      <c r="C56">
        <v>23.7</v>
      </c>
      <c r="D56">
        <v>32.6</v>
      </c>
      <c r="E56">
        <v>38.1</v>
      </c>
      <c r="F56">
        <v>32.5</v>
      </c>
      <c r="G56">
        <v>25.7</v>
      </c>
      <c r="H56">
        <v>15.5</v>
      </c>
      <c r="Z56">
        <v>168.1</v>
      </c>
    </row>
    <row r="57" spans="1:26" x14ac:dyDescent="0.25">
      <c r="A57" t="s">
        <v>17</v>
      </c>
      <c r="D57">
        <v>65.599999999999994</v>
      </c>
      <c r="F57">
        <v>54.1</v>
      </c>
      <c r="H57">
        <v>44.6</v>
      </c>
      <c r="J57">
        <v>39.700000000000003</v>
      </c>
      <c r="L57">
        <v>14</v>
      </c>
      <c r="N57">
        <v>10.199999999999999</v>
      </c>
      <c r="P57">
        <v>8.8000000000000007</v>
      </c>
      <c r="R57">
        <v>6.4</v>
      </c>
      <c r="T57">
        <v>5.3</v>
      </c>
      <c r="V57">
        <v>3.8</v>
      </c>
      <c r="X57">
        <v>4.2</v>
      </c>
      <c r="Z57">
        <v>256.70000000000005</v>
      </c>
    </row>
    <row r="58" spans="1:26" x14ac:dyDescent="0.25">
      <c r="A58" t="s">
        <v>72</v>
      </c>
      <c r="B58">
        <v>337.59999999999991</v>
      </c>
      <c r="C58">
        <v>239</v>
      </c>
      <c r="D58">
        <v>401</v>
      </c>
      <c r="E58">
        <v>330.09999999999997</v>
      </c>
      <c r="F58">
        <v>431.9</v>
      </c>
      <c r="G58">
        <v>309.79999999999995</v>
      </c>
      <c r="H58">
        <v>338.50000000000006</v>
      </c>
      <c r="I58">
        <v>179.39999999999995</v>
      </c>
      <c r="J58">
        <v>290.2</v>
      </c>
      <c r="K58">
        <v>296.5</v>
      </c>
      <c r="L58">
        <v>218.29999999999993</v>
      </c>
      <c r="M58">
        <v>253.99999999999994</v>
      </c>
      <c r="N58">
        <v>233.69999999999996</v>
      </c>
      <c r="O58">
        <v>166.39999999999995</v>
      </c>
      <c r="P58">
        <v>173.90000000000003</v>
      </c>
      <c r="Q58">
        <v>229.7</v>
      </c>
      <c r="R58">
        <v>207.39999999999998</v>
      </c>
      <c r="S58">
        <v>171.10000000000008</v>
      </c>
      <c r="T58">
        <v>186.90000000000003</v>
      </c>
      <c r="U58">
        <v>145.79999999999993</v>
      </c>
      <c r="V58">
        <v>174.70000000000002</v>
      </c>
      <c r="W58">
        <v>157.50000000000003</v>
      </c>
      <c r="X58">
        <v>78.400000000000006</v>
      </c>
      <c r="Y58">
        <v>30.8</v>
      </c>
      <c r="Z58">
        <v>5582.6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80065-44AC-4DB9-B3ED-6D74E0C08E3C}">
  <sheetPr>
    <tabColor rgb="FFFFC000"/>
  </sheetPr>
  <dimension ref="A1:Z58"/>
  <sheetViews>
    <sheetView workbookViewId="0">
      <selection activeCell="D17" sqref="D17"/>
    </sheetView>
  </sheetViews>
  <sheetFormatPr baseColWidth="10" defaultRowHeight="15" x14ac:dyDescent="0.25"/>
  <sheetData>
    <row r="1" spans="1:26" x14ac:dyDescent="0.25">
      <c r="A1" t="s">
        <v>8</v>
      </c>
      <c r="B1" t="s">
        <v>11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26.3</v>
      </c>
      <c r="C5">
        <v>31.1</v>
      </c>
      <c r="D5">
        <v>44.4</v>
      </c>
      <c r="E5">
        <v>29.7</v>
      </c>
      <c r="F5">
        <v>24.9</v>
      </c>
      <c r="G5">
        <v>21</v>
      </c>
      <c r="H5">
        <v>16.899999999999999</v>
      </c>
      <c r="I5">
        <v>15.6</v>
      </c>
      <c r="J5">
        <v>14.2</v>
      </c>
      <c r="K5">
        <v>12.9</v>
      </c>
      <c r="L5">
        <v>11.4</v>
      </c>
      <c r="M5">
        <v>9.1</v>
      </c>
      <c r="N5">
        <v>8.6</v>
      </c>
      <c r="O5">
        <v>8.6</v>
      </c>
      <c r="P5">
        <v>9.5</v>
      </c>
      <c r="R5">
        <v>9.1999999999999993</v>
      </c>
      <c r="S5">
        <v>8.1999999999999993</v>
      </c>
      <c r="T5">
        <v>10.4</v>
      </c>
      <c r="U5">
        <v>12</v>
      </c>
      <c r="V5">
        <v>15.4</v>
      </c>
      <c r="W5">
        <v>11.4</v>
      </c>
      <c r="X5">
        <v>10.9</v>
      </c>
      <c r="Z5">
        <v>361.69999999999993</v>
      </c>
    </row>
    <row r="6" spans="1:26" x14ac:dyDescent="0.25">
      <c r="A6" t="s">
        <v>69</v>
      </c>
      <c r="C6">
        <v>1.5</v>
      </c>
      <c r="E6">
        <v>1.7</v>
      </c>
      <c r="F6">
        <v>1.2</v>
      </c>
      <c r="J6">
        <v>0.7</v>
      </c>
      <c r="L6">
        <v>1</v>
      </c>
      <c r="P6">
        <v>1</v>
      </c>
      <c r="R6">
        <v>1</v>
      </c>
      <c r="T6">
        <v>1</v>
      </c>
      <c r="Z6">
        <v>9.1000000000000014</v>
      </c>
    </row>
    <row r="7" spans="1:26" x14ac:dyDescent="0.25">
      <c r="A7" t="s">
        <v>70</v>
      </c>
      <c r="B7">
        <v>0.6</v>
      </c>
      <c r="E7">
        <v>0.7</v>
      </c>
      <c r="F7">
        <v>0.4</v>
      </c>
      <c r="G7">
        <v>0.5</v>
      </c>
      <c r="H7">
        <v>0.5</v>
      </c>
      <c r="I7">
        <v>0.8</v>
      </c>
      <c r="J7">
        <v>1</v>
      </c>
      <c r="K7">
        <v>1</v>
      </c>
      <c r="L7">
        <v>0.8</v>
      </c>
      <c r="M7">
        <v>1</v>
      </c>
      <c r="N7">
        <v>1.1000000000000001</v>
      </c>
      <c r="O7">
        <v>0.7</v>
      </c>
      <c r="P7">
        <v>0.7</v>
      </c>
      <c r="Q7">
        <v>1</v>
      </c>
      <c r="R7">
        <v>1.3</v>
      </c>
      <c r="S7">
        <v>0.7</v>
      </c>
      <c r="T7">
        <v>1.2</v>
      </c>
      <c r="U7">
        <v>0.8</v>
      </c>
      <c r="V7">
        <v>1</v>
      </c>
      <c r="W7">
        <v>1.1000000000000001</v>
      </c>
      <c r="Z7">
        <v>16.899999999999999</v>
      </c>
    </row>
    <row r="8" spans="1:26" x14ac:dyDescent="0.25">
      <c r="A8" t="s">
        <v>67</v>
      </c>
      <c r="B8">
        <v>1</v>
      </c>
      <c r="E8">
        <v>0.9</v>
      </c>
      <c r="F8">
        <v>0.4</v>
      </c>
      <c r="G8">
        <v>0.5</v>
      </c>
      <c r="H8">
        <v>0.4</v>
      </c>
      <c r="I8">
        <v>0.4</v>
      </c>
      <c r="J8">
        <v>0.3</v>
      </c>
      <c r="K8">
        <v>0.3</v>
      </c>
      <c r="L8">
        <v>0.5</v>
      </c>
      <c r="M8">
        <v>0.6</v>
      </c>
      <c r="N8">
        <v>0.5</v>
      </c>
      <c r="O8">
        <v>0.5</v>
      </c>
      <c r="P8">
        <v>0.3</v>
      </c>
      <c r="Q8">
        <v>0.2</v>
      </c>
      <c r="R8">
        <v>0.3</v>
      </c>
      <c r="S8">
        <v>0.4</v>
      </c>
      <c r="T8">
        <v>0.2</v>
      </c>
      <c r="U8">
        <v>0.2</v>
      </c>
      <c r="V8">
        <v>0.3</v>
      </c>
      <c r="W8">
        <v>0.2</v>
      </c>
      <c r="Z8">
        <v>8.3999999999999986</v>
      </c>
    </row>
    <row r="9" spans="1:26" x14ac:dyDescent="0.25">
      <c r="A9" t="s">
        <v>62</v>
      </c>
      <c r="C9">
        <v>48</v>
      </c>
      <c r="D9">
        <v>47.3</v>
      </c>
      <c r="E9">
        <v>48.7</v>
      </c>
      <c r="F9">
        <v>47.3</v>
      </c>
      <c r="G9">
        <v>45</v>
      </c>
      <c r="H9">
        <v>41.4</v>
      </c>
      <c r="I9">
        <v>39</v>
      </c>
      <c r="J9">
        <v>35.799999999999997</v>
      </c>
      <c r="K9">
        <v>33.799999999999997</v>
      </c>
      <c r="M9">
        <v>29.9</v>
      </c>
      <c r="N9">
        <v>28.2</v>
      </c>
      <c r="O9">
        <v>25.7</v>
      </c>
      <c r="P9">
        <v>24.3</v>
      </c>
      <c r="Q9">
        <v>25.3</v>
      </c>
      <c r="R9">
        <v>27</v>
      </c>
      <c r="S9">
        <v>27.1</v>
      </c>
      <c r="T9">
        <v>26.7</v>
      </c>
      <c r="U9">
        <v>26.2</v>
      </c>
      <c r="V9">
        <v>18.7</v>
      </c>
      <c r="W9">
        <v>28.4</v>
      </c>
      <c r="X9">
        <v>23.5</v>
      </c>
      <c r="Z9">
        <v>697.30000000000007</v>
      </c>
    </row>
    <row r="10" spans="1:26" x14ac:dyDescent="0.25">
      <c r="A10" t="s">
        <v>66</v>
      </c>
      <c r="H10">
        <v>28.5</v>
      </c>
      <c r="I10">
        <v>15</v>
      </c>
      <c r="J10">
        <v>11.3</v>
      </c>
      <c r="K10">
        <v>11</v>
      </c>
      <c r="L10">
        <v>13.4</v>
      </c>
      <c r="M10">
        <v>14.1</v>
      </c>
      <c r="N10">
        <v>14.1</v>
      </c>
      <c r="O10">
        <v>13.2</v>
      </c>
      <c r="P10">
        <v>11</v>
      </c>
      <c r="Q10">
        <v>14.1</v>
      </c>
      <c r="R10">
        <v>10.4</v>
      </c>
      <c r="S10">
        <v>9.4</v>
      </c>
      <c r="T10">
        <v>8</v>
      </c>
      <c r="U10">
        <v>7.2</v>
      </c>
      <c r="V10">
        <v>4.5</v>
      </c>
      <c r="W10">
        <v>5.8</v>
      </c>
      <c r="Z10">
        <v>191</v>
      </c>
    </row>
    <row r="11" spans="1:26" x14ac:dyDescent="0.25">
      <c r="A11" t="s">
        <v>64</v>
      </c>
      <c r="B11">
        <v>1</v>
      </c>
      <c r="C11">
        <v>0.7</v>
      </c>
      <c r="D11">
        <v>0.7</v>
      </c>
      <c r="E11">
        <v>0.7</v>
      </c>
      <c r="F11">
        <v>0.7</v>
      </c>
      <c r="G11">
        <v>1</v>
      </c>
      <c r="H11">
        <v>0.7</v>
      </c>
      <c r="I11">
        <v>0.5</v>
      </c>
      <c r="J11">
        <v>0.7</v>
      </c>
      <c r="K11">
        <v>0.7</v>
      </c>
      <c r="L11">
        <v>0.5</v>
      </c>
      <c r="M11">
        <v>0.7</v>
      </c>
      <c r="N11">
        <v>0.7</v>
      </c>
      <c r="O11">
        <v>1</v>
      </c>
      <c r="P11">
        <v>1</v>
      </c>
      <c r="Q11">
        <v>1</v>
      </c>
      <c r="R11">
        <v>1</v>
      </c>
      <c r="S11">
        <v>0.7</v>
      </c>
      <c r="T11">
        <v>0.7</v>
      </c>
      <c r="U11">
        <v>0.7</v>
      </c>
      <c r="Z11">
        <v>15.399999999999997</v>
      </c>
    </row>
    <row r="12" spans="1:26" x14ac:dyDescent="0.25">
      <c r="A12" t="s">
        <v>63</v>
      </c>
      <c r="B12">
        <v>41.4</v>
      </c>
      <c r="E12">
        <v>40.6</v>
      </c>
      <c r="H12">
        <v>29.1</v>
      </c>
      <c r="K12">
        <v>24.4</v>
      </c>
      <c r="M12">
        <v>20.9</v>
      </c>
      <c r="O12">
        <v>12.5</v>
      </c>
      <c r="Q12">
        <v>9.6999999999999993</v>
      </c>
      <c r="S12">
        <v>7.5</v>
      </c>
      <c r="V12">
        <v>9.9</v>
      </c>
      <c r="X12">
        <v>4.7</v>
      </c>
      <c r="Z12">
        <v>200.7</v>
      </c>
    </row>
    <row r="13" spans="1:26" x14ac:dyDescent="0.25">
      <c r="A13" t="s">
        <v>65</v>
      </c>
      <c r="D13">
        <v>87.1</v>
      </c>
      <c r="G13">
        <v>78.599999999999994</v>
      </c>
      <c r="J13">
        <v>69.3</v>
      </c>
      <c r="L13">
        <v>62.3</v>
      </c>
      <c r="M13">
        <v>58.7</v>
      </c>
      <c r="N13">
        <v>54</v>
      </c>
      <c r="O13">
        <v>47.1</v>
      </c>
      <c r="P13">
        <v>42.1</v>
      </c>
      <c r="Q13">
        <v>37.700000000000003</v>
      </c>
      <c r="R13">
        <v>34.1</v>
      </c>
      <c r="S13">
        <v>31.9</v>
      </c>
      <c r="T13">
        <v>27.9</v>
      </c>
      <c r="U13">
        <v>24.6</v>
      </c>
      <c r="V13">
        <v>24.8</v>
      </c>
      <c r="W13">
        <v>17</v>
      </c>
      <c r="Z13">
        <v>697.2</v>
      </c>
    </row>
    <row r="14" spans="1:26" x14ac:dyDescent="0.25">
      <c r="A14" t="s">
        <v>60</v>
      </c>
      <c r="B14">
        <v>59.5</v>
      </c>
      <c r="C14">
        <v>67</v>
      </c>
      <c r="D14">
        <v>57.7</v>
      </c>
      <c r="E14">
        <v>58</v>
      </c>
      <c r="F14">
        <v>57.3</v>
      </c>
      <c r="G14">
        <v>53.5</v>
      </c>
      <c r="J14">
        <v>48.5</v>
      </c>
      <c r="K14">
        <v>47.3</v>
      </c>
      <c r="L14">
        <v>44.6</v>
      </c>
      <c r="M14">
        <v>41.6</v>
      </c>
      <c r="N14">
        <v>39.799999999999997</v>
      </c>
      <c r="O14">
        <v>37.6</v>
      </c>
      <c r="P14">
        <v>35.4</v>
      </c>
      <c r="Q14">
        <v>34.6</v>
      </c>
      <c r="R14">
        <v>34.299999999999997</v>
      </c>
      <c r="S14">
        <v>33.700000000000003</v>
      </c>
      <c r="T14">
        <v>33.9</v>
      </c>
      <c r="U14">
        <v>34.799999999999997</v>
      </c>
      <c r="V14">
        <v>42.2</v>
      </c>
      <c r="W14">
        <v>38.799999999999997</v>
      </c>
      <c r="X14">
        <v>34.799999999999997</v>
      </c>
      <c r="Z14">
        <v>934.89999999999986</v>
      </c>
    </row>
    <row r="15" spans="1:26" x14ac:dyDescent="0.25">
      <c r="A15" t="s">
        <v>61</v>
      </c>
      <c r="B15">
        <v>36.1</v>
      </c>
      <c r="C15">
        <v>28</v>
      </c>
      <c r="D15">
        <v>27.8</v>
      </c>
      <c r="E15">
        <v>26.5</v>
      </c>
      <c r="F15">
        <v>27.9</v>
      </c>
      <c r="G15">
        <v>25.4</v>
      </c>
      <c r="H15">
        <v>25.1</v>
      </c>
      <c r="I15">
        <v>20.3</v>
      </c>
      <c r="J15">
        <v>20</v>
      </c>
      <c r="K15">
        <v>19.399999999999999</v>
      </c>
      <c r="L15">
        <v>15.6</v>
      </c>
      <c r="M15">
        <v>16.399999999999999</v>
      </c>
      <c r="N15">
        <v>15.6</v>
      </c>
      <c r="O15">
        <v>15.6</v>
      </c>
      <c r="P15">
        <v>15.1</v>
      </c>
      <c r="Q15">
        <v>14.8</v>
      </c>
      <c r="R15">
        <v>14.2</v>
      </c>
      <c r="S15">
        <v>12.9</v>
      </c>
      <c r="T15">
        <v>13.9</v>
      </c>
      <c r="U15">
        <v>13.7</v>
      </c>
      <c r="V15">
        <v>19.899999999999999</v>
      </c>
      <c r="W15">
        <v>14.5</v>
      </c>
      <c r="X15">
        <v>14.1</v>
      </c>
      <c r="Y15">
        <v>12.7</v>
      </c>
      <c r="Z15">
        <v>465.5</v>
      </c>
    </row>
    <row r="16" spans="1:26" x14ac:dyDescent="0.25">
      <c r="A16" t="s">
        <v>58</v>
      </c>
      <c r="K16">
        <v>5.0999999999999996</v>
      </c>
      <c r="L16">
        <v>6.6</v>
      </c>
      <c r="M16">
        <v>7.5</v>
      </c>
      <c r="N16">
        <v>8.1</v>
      </c>
      <c r="O16">
        <v>7.8</v>
      </c>
      <c r="P16">
        <v>6.6</v>
      </c>
      <c r="Q16">
        <v>5.8</v>
      </c>
      <c r="R16">
        <v>4.7</v>
      </c>
      <c r="S16">
        <v>4.2</v>
      </c>
      <c r="T16">
        <v>2.7</v>
      </c>
      <c r="U16">
        <v>2.4</v>
      </c>
      <c r="V16">
        <v>2.1</v>
      </c>
      <c r="W16">
        <v>1.8</v>
      </c>
      <c r="Z16">
        <v>65.400000000000006</v>
      </c>
    </row>
    <row r="17" spans="1:26" x14ac:dyDescent="0.25">
      <c r="A17" t="s">
        <v>55</v>
      </c>
      <c r="D17">
        <v>0.7</v>
      </c>
      <c r="F17">
        <v>1.3</v>
      </c>
      <c r="G17">
        <v>0.8</v>
      </c>
      <c r="H17">
        <v>0.8</v>
      </c>
      <c r="I17">
        <v>0.7</v>
      </c>
      <c r="J17">
        <v>0.5</v>
      </c>
      <c r="K17">
        <v>0.8</v>
      </c>
      <c r="L17">
        <v>0.9</v>
      </c>
      <c r="M17">
        <v>0.8</v>
      </c>
      <c r="N17">
        <v>0.9</v>
      </c>
      <c r="O17">
        <v>0.7</v>
      </c>
      <c r="P17">
        <v>0.8</v>
      </c>
      <c r="Q17">
        <v>0.4</v>
      </c>
      <c r="R17">
        <v>0.7</v>
      </c>
      <c r="S17">
        <v>0.5</v>
      </c>
      <c r="T17">
        <v>0.2</v>
      </c>
      <c r="U17">
        <v>0.3</v>
      </c>
      <c r="V17">
        <v>0.4</v>
      </c>
      <c r="W17">
        <v>0.3</v>
      </c>
      <c r="Z17">
        <v>12.5</v>
      </c>
    </row>
    <row r="18" spans="1:26" x14ac:dyDescent="0.25">
      <c r="A18" t="s">
        <v>51</v>
      </c>
      <c r="B18">
        <v>0.2</v>
      </c>
      <c r="E18">
        <v>0.4</v>
      </c>
      <c r="F18">
        <v>0.4</v>
      </c>
      <c r="G18">
        <v>0.5</v>
      </c>
      <c r="H18">
        <v>0.3</v>
      </c>
      <c r="I18">
        <v>0.6</v>
      </c>
      <c r="J18">
        <v>0.8</v>
      </c>
      <c r="K18">
        <v>1</v>
      </c>
      <c r="L18">
        <v>0.2</v>
      </c>
      <c r="M18">
        <v>0.6</v>
      </c>
      <c r="N18">
        <v>0.4</v>
      </c>
      <c r="O18">
        <v>0.6</v>
      </c>
      <c r="P18">
        <v>0.7</v>
      </c>
      <c r="Q18">
        <v>0.4</v>
      </c>
      <c r="R18">
        <v>0.5</v>
      </c>
      <c r="S18">
        <v>0.3</v>
      </c>
      <c r="T18">
        <v>0.3</v>
      </c>
      <c r="U18">
        <v>0.4</v>
      </c>
      <c r="V18">
        <v>0.4</v>
      </c>
      <c r="W18">
        <v>0.3</v>
      </c>
      <c r="Z18">
        <v>9.3000000000000025</v>
      </c>
    </row>
    <row r="19" spans="1:26" x14ac:dyDescent="0.25">
      <c r="A19" t="s">
        <v>49</v>
      </c>
      <c r="B19">
        <v>75.900000000000006</v>
      </c>
      <c r="E19">
        <v>57.7</v>
      </c>
      <c r="F19">
        <v>59</v>
      </c>
      <c r="G19">
        <v>50.6</v>
      </c>
      <c r="H19">
        <v>45.8</v>
      </c>
      <c r="I19">
        <v>44.9</v>
      </c>
      <c r="J19">
        <v>42.3</v>
      </c>
      <c r="K19">
        <v>43.2</v>
      </c>
      <c r="L19">
        <v>38.799999999999997</v>
      </c>
      <c r="M19">
        <v>34.700000000000003</v>
      </c>
      <c r="N19">
        <v>31.4</v>
      </c>
      <c r="O19">
        <v>31.2</v>
      </c>
      <c r="P19">
        <v>27.6</v>
      </c>
      <c r="Q19">
        <v>28.8</v>
      </c>
      <c r="R19">
        <v>28.2</v>
      </c>
      <c r="S19">
        <v>27.1</v>
      </c>
      <c r="T19">
        <v>27.8</v>
      </c>
      <c r="U19">
        <v>29.7</v>
      </c>
      <c r="V19">
        <v>34.6</v>
      </c>
      <c r="W19">
        <v>31.7</v>
      </c>
      <c r="X19">
        <v>29.9</v>
      </c>
      <c r="Y19">
        <v>29.6</v>
      </c>
      <c r="Z19">
        <v>850.50000000000011</v>
      </c>
    </row>
    <row r="20" spans="1:26" x14ac:dyDescent="0.25">
      <c r="A20" t="s">
        <v>57</v>
      </c>
      <c r="E20">
        <v>16.899999999999999</v>
      </c>
      <c r="F20">
        <v>10.9</v>
      </c>
      <c r="G20">
        <v>7.6</v>
      </c>
      <c r="H20">
        <v>4.5999999999999996</v>
      </c>
      <c r="I20">
        <v>3</v>
      </c>
      <c r="J20">
        <v>3</v>
      </c>
      <c r="K20">
        <v>4</v>
      </c>
      <c r="L20">
        <v>5.8</v>
      </c>
      <c r="M20">
        <v>4.7</v>
      </c>
      <c r="N20">
        <v>4.0999999999999996</v>
      </c>
      <c r="O20">
        <v>4.2</v>
      </c>
      <c r="P20">
        <v>4</v>
      </c>
      <c r="Q20">
        <v>2.2999999999999998</v>
      </c>
      <c r="R20">
        <v>1.8</v>
      </c>
      <c r="S20">
        <v>1.3</v>
      </c>
      <c r="T20">
        <v>1.1000000000000001</v>
      </c>
      <c r="U20">
        <v>1.4</v>
      </c>
      <c r="V20">
        <v>1.3</v>
      </c>
      <c r="W20">
        <v>0.7</v>
      </c>
      <c r="Z20">
        <v>82.699999999999989</v>
      </c>
    </row>
    <row r="21" spans="1:26" x14ac:dyDescent="0.25">
      <c r="A21" t="s">
        <v>53</v>
      </c>
      <c r="B21">
        <v>0.2</v>
      </c>
      <c r="E21">
        <v>0.2</v>
      </c>
      <c r="F21">
        <v>0.2</v>
      </c>
      <c r="G21">
        <v>0.2</v>
      </c>
      <c r="H21">
        <v>0.2</v>
      </c>
      <c r="I21">
        <v>0.1</v>
      </c>
      <c r="J21">
        <v>0.2</v>
      </c>
      <c r="K21">
        <v>0.1</v>
      </c>
      <c r="L21">
        <v>0.2</v>
      </c>
      <c r="M21">
        <v>0.1</v>
      </c>
      <c r="N21">
        <v>0.2</v>
      </c>
      <c r="O21">
        <v>0.2</v>
      </c>
      <c r="P21">
        <v>0.2</v>
      </c>
      <c r="Q21">
        <v>0.2</v>
      </c>
      <c r="R21">
        <v>0.2</v>
      </c>
      <c r="S21">
        <v>0.1</v>
      </c>
      <c r="T21">
        <v>0.2</v>
      </c>
      <c r="U21">
        <v>0.2</v>
      </c>
      <c r="V21">
        <v>0.1</v>
      </c>
      <c r="W21">
        <v>0.1</v>
      </c>
      <c r="Z21">
        <v>3.4000000000000012</v>
      </c>
    </row>
    <row r="22" spans="1:26" x14ac:dyDescent="0.25">
      <c r="A22" t="s">
        <v>50</v>
      </c>
      <c r="B22">
        <v>0.5</v>
      </c>
      <c r="C22">
        <v>0.2</v>
      </c>
      <c r="D22">
        <v>0.2</v>
      </c>
      <c r="E22">
        <v>0.4</v>
      </c>
      <c r="F22">
        <v>0.3</v>
      </c>
      <c r="G22">
        <v>0.3</v>
      </c>
      <c r="H22">
        <v>0.2</v>
      </c>
      <c r="I22">
        <v>0.1</v>
      </c>
      <c r="J22">
        <v>0.1</v>
      </c>
      <c r="K22">
        <v>0.4</v>
      </c>
      <c r="L22">
        <v>0.3</v>
      </c>
      <c r="M22">
        <v>0.2</v>
      </c>
      <c r="N22">
        <v>0.3</v>
      </c>
      <c r="O22">
        <v>0.2</v>
      </c>
      <c r="P22">
        <v>0.2</v>
      </c>
      <c r="Q22">
        <v>0.3</v>
      </c>
      <c r="R22">
        <v>0.3</v>
      </c>
      <c r="S22">
        <v>0.1</v>
      </c>
      <c r="T22">
        <v>0.1</v>
      </c>
      <c r="U22">
        <v>0.4</v>
      </c>
      <c r="V22">
        <v>0.4</v>
      </c>
      <c r="W22">
        <v>0.5</v>
      </c>
      <c r="Z22">
        <v>6</v>
      </c>
    </row>
    <row r="23" spans="1:26" x14ac:dyDescent="0.25">
      <c r="A23" t="s">
        <v>54</v>
      </c>
      <c r="B23">
        <v>0.2</v>
      </c>
      <c r="C23">
        <v>0.2</v>
      </c>
      <c r="D23">
        <v>0.2</v>
      </c>
      <c r="E23">
        <v>0.5</v>
      </c>
      <c r="F23">
        <v>0.2</v>
      </c>
      <c r="G23">
        <v>0.2</v>
      </c>
      <c r="H23">
        <v>0.2</v>
      </c>
      <c r="I23">
        <v>0.2</v>
      </c>
      <c r="J23">
        <v>0.2</v>
      </c>
      <c r="K23">
        <v>0.2</v>
      </c>
      <c r="L23">
        <v>0.2</v>
      </c>
      <c r="M23">
        <v>0.2</v>
      </c>
      <c r="N23">
        <v>0.2</v>
      </c>
      <c r="O23">
        <v>0.2</v>
      </c>
      <c r="P23">
        <v>0.2</v>
      </c>
      <c r="Q23">
        <v>0.2</v>
      </c>
      <c r="R23">
        <v>0.2</v>
      </c>
      <c r="S23">
        <v>0.5</v>
      </c>
      <c r="T23">
        <v>0.2</v>
      </c>
      <c r="U23">
        <v>0.5</v>
      </c>
      <c r="V23">
        <v>0.5</v>
      </c>
      <c r="Z23">
        <v>5.4000000000000012</v>
      </c>
    </row>
    <row r="24" spans="1:26" x14ac:dyDescent="0.25">
      <c r="A24" t="s">
        <v>52</v>
      </c>
      <c r="B24">
        <v>2.7</v>
      </c>
      <c r="E24">
        <v>1.9</v>
      </c>
      <c r="F24">
        <v>1.9</v>
      </c>
      <c r="G24">
        <v>1.7</v>
      </c>
      <c r="H24">
        <v>2.2000000000000002</v>
      </c>
      <c r="I24">
        <v>1.7</v>
      </c>
      <c r="J24">
        <v>1.6</v>
      </c>
      <c r="K24">
        <v>1.8</v>
      </c>
      <c r="L24">
        <v>2.6</v>
      </c>
      <c r="M24">
        <v>5.2</v>
      </c>
      <c r="N24">
        <v>7.2</v>
      </c>
      <c r="O24">
        <v>8.3000000000000007</v>
      </c>
      <c r="P24">
        <v>7.7</v>
      </c>
      <c r="Q24">
        <v>7.8</v>
      </c>
      <c r="R24">
        <v>6.4</v>
      </c>
      <c r="S24">
        <v>5.3</v>
      </c>
      <c r="T24">
        <v>3.7</v>
      </c>
      <c r="U24">
        <v>3.9</v>
      </c>
      <c r="V24">
        <v>3.9</v>
      </c>
      <c r="W24">
        <v>2.9</v>
      </c>
      <c r="Z24">
        <v>80.40000000000002</v>
      </c>
    </row>
    <row r="25" spans="1:26" x14ac:dyDescent="0.25">
      <c r="A25" t="s">
        <v>44</v>
      </c>
      <c r="F25">
        <v>5.7</v>
      </c>
      <c r="G25">
        <v>7.4</v>
      </c>
      <c r="H25">
        <v>4</v>
      </c>
      <c r="I25">
        <v>4</v>
      </c>
      <c r="J25">
        <v>3.3</v>
      </c>
      <c r="K25">
        <v>4</v>
      </c>
      <c r="L25">
        <v>5.4</v>
      </c>
      <c r="M25">
        <v>5.8</v>
      </c>
      <c r="N25">
        <v>7.8</v>
      </c>
      <c r="O25">
        <v>7.3</v>
      </c>
      <c r="P25">
        <v>5.4</v>
      </c>
      <c r="Q25">
        <v>3.9</v>
      </c>
      <c r="R25">
        <v>3.3</v>
      </c>
      <c r="S25">
        <v>4</v>
      </c>
      <c r="T25">
        <v>2.8</v>
      </c>
      <c r="U25">
        <v>2.5</v>
      </c>
      <c r="V25">
        <v>2.5</v>
      </c>
      <c r="W25">
        <v>2.2000000000000002</v>
      </c>
      <c r="Z25">
        <v>81.3</v>
      </c>
    </row>
    <row r="26" spans="1:26" x14ac:dyDescent="0.25">
      <c r="A26" t="s">
        <v>47</v>
      </c>
      <c r="E26">
        <v>0.4</v>
      </c>
      <c r="F26">
        <v>0.4</v>
      </c>
      <c r="G26">
        <v>0.2</v>
      </c>
      <c r="H26">
        <v>0.4</v>
      </c>
      <c r="I26">
        <v>0.3</v>
      </c>
      <c r="J26">
        <v>0.2</v>
      </c>
      <c r="K26">
        <v>0.3</v>
      </c>
      <c r="L26">
        <v>0.5</v>
      </c>
      <c r="M26">
        <v>0.8</v>
      </c>
      <c r="N26">
        <v>0.3</v>
      </c>
      <c r="O26">
        <v>0.2</v>
      </c>
      <c r="P26">
        <v>0.1</v>
      </c>
      <c r="Q26">
        <v>0.1</v>
      </c>
      <c r="R26">
        <v>0.2</v>
      </c>
      <c r="S26">
        <v>0</v>
      </c>
      <c r="Z26">
        <v>4.3999999999999995</v>
      </c>
    </row>
    <row r="27" spans="1:26" x14ac:dyDescent="0.25">
      <c r="A27" t="s">
        <v>39</v>
      </c>
      <c r="F27">
        <v>94.7</v>
      </c>
      <c r="K27">
        <v>93.3</v>
      </c>
      <c r="M27">
        <v>90.3</v>
      </c>
      <c r="Q27">
        <v>88.9</v>
      </c>
      <c r="R27">
        <v>88.7</v>
      </c>
      <c r="S27">
        <v>85.4</v>
      </c>
      <c r="T27">
        <v>82.7</v>
      </c>
      <c r="U27">
        <v>80.7</v>
      </c>
      <c r="V27">
        <v>83</v>
      </c>
      <c r="W27">
        <v>81.8</v>
      </c>
      <c r="Z27">
        <v>869.50000000000011</v>
      </c>
    </row>
    <row r="28" spans="1:26" x14ac:dyDescent="0.25">
      <c r="A28" t="s">
        <v>40</v>
      </c>
      <c r="B28">
        <v>96.5</v>
      </c>
      <c r="C28">
        <v>95.6</v>
      </c>
      <c r="D28">
        <v>93.3</v>
      </c>
      <c r="E28">
        <v>93.2</v>
      </c>
      <c r="F28">
        <v>92.7</v>
      </c>
      <c r="G28">
        <v>92.4</v>
      </c>
      <c r="H28">
        <v>93.3</v>
      </c>
      <c r="I28">
        <v>89.7</v>
      </c>
      <c r="J28">
        <v>89.2</v>
      </c>
      <c r="K28">
        <v>89.1</v>
      </c>
      <c r="L28">
        <v>85.1</v>
      </c>
      <c r="M28">
        <v>81.7</v>
      </c>
      <c r="N28">
        <v>80</v>
      </c>
      <c r="O28">
        <v>78.099999999999994</v>
      </c>
      <c r="P28">
        <v>77.5</v>
      </c>
      <c r="Q28">
        <v>76.900000000000006</v>
      </c>
      <c r="R28">
        <v>71.5</v>
      </c>
      <c r="S28">
        <v>65.2</v>
      </c>
      <c r="T28">
        <v>64.599999999999994</v>
      </c>
      <c r="U28">
        <v>63.7</v>
      </c>
      <c r="V28">
        <v>62.5</v>
      </c>
      <c r="W28">
        <v>62.7</v>
      </c>
      <c r="X28">
        <v>62.6</v>
      </c>
      <c r="Y28">
        <v>61.8</v>
      </c>
      <c r="Z28">
        <v>1918.8999999999999</v>
      </c>
    </row>
    <row r="29" spans="1:26" x14ac:dyDescent="0.25">
      <c r="A29" t="s">
        <v>45</v>
      </c>
      <c r="B29">
        <v>0.5</v>
      </c>
      <c r="D29">
        <v>1.2</v>
      </c>
      <c r="E29">
        <v>0.5</v>
      </c>
      <c r="F29">
        <v>0.4</v>
      </c>
      <c r="G29">
        <v>0.3</v>
      </c>
      <c r="H29">
        <v>0.6</v>
      </c>
      <c r="I29">
        <v>0.5</v>
      </c>
      <c r="J29">
        <v>0.8</v>
      </c>
      <c r="K29">
        <v>1.4</v>
      </c>
      <c r="L29">
        <v>1.7</v>
      </c>
      <c r="M29">
        <v>1.4</v>
      </c>
      <c r="N29">
        <v>1.3</v>
      </c>
      <c r="O29">
        <v>1.5</v>
      </c>
      <c r="P29">
        <v>1.2</v>
      </c>
      <c r="Q29">
        <v>0.8</v>
      </c>
      <c r="R29">
        <v>0.8</v>
      </c>
      <c r="S29">
        <v>0.5</v>
      </c>
      <c r="T29">
        <v>0.1</v>
      </c>
      <c r="U29">
        <v>0.2</v>
      </c>
      <c r="V29">
        <v>0.2</v>
      </c>
      <c r="W29">
        <v>0.3</v>
      </c>
      <c r="Z29">
        <v>16.2</v>
      </c>
    </row>
    <row r="30" spans="1:26" x14ac:dyDescent="0.25">
      <c r="A30" t="s">
        <v>43</v>
      </c>
      <c r="C30">
        <v>4.2</v>
      </c>
      <c r="D30">
        <v>8.5</v>
      </c>
      <c r="E30">
        <v>9</v>
      </c>
      <c r="F30">
        <v>9.6999999999999993</v>
      </c>
      <c r="G30">
        <v>9.4</v>
      </c>
      <c r="H30">
        <v>9</v>
      </c>
      <c r="I30">
        <v>7.2</v>
      </c>
      <c r="J30">
        <v>7.2</v>
      </c>
      <c r="K30">
        <v>8.1999999999999993</v>
      </c>
      <c r="L30">
        <v>7.5</v>
      </c>
      <c r="M30">
        <v>7</v>
      </c>
      <c r="N30">
        <v>6.7</v>
      </c>
      <c r="O30">
        <v>5.2</v>
      </c>
      <c r="P30">
        <v>5.5</v>
      </c>
      <c r="Q30">
        <v>5</v>
      </c>
      <c r="R30">
        <v>4</v>
      </c>
      <c r="S30">
        <v>4.2</v>
      </c>
      <c r="T30">
        <v>3.2</v>
      </c>
      <c r="U30">
        <v>4</v>
      </c>
      <c r="V30">
        <v>3.2</v>
      </c>
      <c r="W30">
        <v>3.5</v>
      </c>
      <c r="Z30">
        <v>131.40000000000003</v>
      </c>
    </row>
    <row r="31" spans="1:26" x14ac:dyDescent="0.25">
      <c r="A31" t="s">
        <v>42</v>
      </c>
      <c r="B31">
        <v>3.5</v>
      </c>
      <c r="D31">
        <v>2.7</v>
      </c>
      <c r="E31">
        <v>2.1</v>
      </c>
      <c r="F31">
        <v>1.7</v>
      </c>
      <c r="G31">
        <v>1.9</v>
      </c>
      <c r="H31">
        <v>1.6</v>
      </c>
      <c r="I31">
        <v>1.7</v>
      </c>
      <c r="J31">
        <v>1.8</v>
      </c>
      <c r="K31">
        <v>2.1</v>
      </c>
      <c r="L31">
        <v>2.7</v>
      </c>
      <c r="M31">
        <v>2.7</v>
      </c>
      <c r="N31">
        <v>3.1</v>
      </c>
      <c r="O31">
        <v>3.2</v>
      </c>
      <c r="P31">
        <v>3.1</v>
      </c>
      <c r="Q31">
        <v>3.9</v>
      </c>
      <c r="R31">
        <v>3.4</v>
      </c>
      <c r="S31">
        <v>3.3</v>
      </c>
      <c r="T31">
        <v>3.2</v>
      </c>
      <c r="U31">
        <v>2.6</v>
      </c>
      <c r="V31">
        <v>2.2000000000000002</v>
      </c>
      <c r="W31">
        <v>1.7</v>
      </c>
      <c r="Z31">
        <v>54.2</v>
      </c>
    </row>
    <row r="32" spans="1:26" x14ac:dyDescent="0.25">
      <c r="A32" t="s">
        <v>46</v>
      </c>
      <c r="J32">
        <v>2.2000000000000002</v>
      </c>
      <c r="L32">
        <v>0.5</v>
      </c>
      <c r="O32">
        <v>1.4</v>
      </c>
      <c r="Z32">
        <v>4.0999999999999996</v>
      </c>
    </row>
    <row r="33" spans="1:26" x14ac:dyDescent="0.25">
      <c r="A33" t="s">
        <v>41</v>
      </c>
      <c r="H33">
        <v>2</v>
      </c>
      <c r="J33">
        <v>1.7</v>
      </c>
      <c r="L33">
        <v>2.2000000000000002</v>
      </c>
      <c r="N33">
        <v>1.7</v>
      </c>
      <c r="P33">
        <v>1.5</v>
      </c>
      <c r="R33">
        <v>1</v>
      </c>
      <c r="S33">
        <v>1</v>
      </c>
      <c r="T33">
        <v>0.7</v>
      </c>
      <c r="U33">
        <v>0.5</v>
      </c>
      <c r="V33">
        <v>0.5</v>
      </c>
      <c r="W33">
        <v>0.5</v>
      </c>
      <c r="Z33">
        <v>13.3</v>
      </c>
    </row>
    <row r="34" spans="1:26" x14ac:dyDescent="0.25">
      <c r="A34" t="s">
        <v>38</v>
      </c>
      <c r="F34">
        <v>19.3</v>
      </c>
      <c r="G34">
        <v>17.3</v>
      </c>
      <c r="H34">
        <v>9.4</v>
      </c>
      <c r="I34">
        <v>6.1</v>
      </c>
      <c r="J34">
        <v>7.9</v>
      </c>
      <c r="K34">
        <v>11.7</v>
      </c>
      <c r="L34">
        <v>11.9</v>
      </c>
      <c r="M34">
        <v>11.2</v>
      </c>
      <c r="N34">
        <v>10.4</v>
      </c>
      <c r="O34">
        <v>8.1</v>
      </c>
      <c r="P34">
        <v>7.1</v>
      </c>
      <c r="Q34">
        <v>4.9000000000000004</v>
      </c>
      <c r="R34">
        <v>4.5999999999999996</v>
      </c>
      <c r="S34">
        <v>4.5</v>
      </c>
      <c r="T34">
        <v>3</v>
      </c>
      <c r="U34">
        <v>2.6</v>
      </c>
      <c r="V34">
        <v>2.5</v>
      </c>
      <c r="W34">
        <v>2.1</v>
      </c>
      <c r="Z34">
        <v>144.6</v>
      </c>
    </row>
    <row r="35" spans="1:26" x14ac:dyDescent="0.25">
      <c r="A35" t="s">
        <v>37</v>
      </c>
      <c r="B35">
        <v>0</v>
      </c>
      <c r="C35">
        <v>0</v>
      </c>
      <c r="D35">
        <v>0</v>
      </c>
      <c r="E35">
        <v>0.5</v>
      </c>
      <c r="F35">
        <v>0.1</v>
      </c>
      <c r="G35">
        <v>0.1</v>
      </c>
      <c r="H35">
        <v>0</v>
      </c>
      <c r="I35">
        <v>0</v>
      </c>
      <c r="J35">
        <v>0.1</v>
      </c>
      <c r="K35">
        <v>0.2</v>
      </c>
      <c r="L35">
        <v>0.3</v>
      </c>
      <c r="M35">
        <v>0.2</v>
      </c>
      <c r="N35">
        <v>0.3</v>
      </c>
      <c r="O35">
        <v>0.3</v>
      </c>
      <c r="P35">
        <v>0.3</v>
      </c>
      <c r="Q35">
        <v>0.7</v>
      </c>
      <c r="R35">
        <v>0.5</v>
      </c>
      <c r="S35">
        <v>0.9</v>
      </c>
      <c r="T35">
        <v>0.7</v>
      </c>
      <c r="U35">
        <v>0.3</v>
      </c>
      <c r="V35">
        <v>0</v>
      </c>
      <c r="W35">
        <v>0.3</v>
      </c>
      <c r="Z35">
        <v>5.8</v>
      </c>
    </row>
    <row r="36" spans="1:26" x14ac:dyDescent="0.25">
      <c r="A36" t="s">
        <v>36</v>
      </c>
      <c r="E36">
        <v>27.8</v>
      </c>
      <c r="H36">
        <v>22.4</v>
      </c>
      <c r="J36">
        <v>22.1</v>
      </c>
      <c r="M36">
        <v>12.9</v>
      </c>
      <c r="O36">
        <v>6.6</v>
      </c>
      <c r="Q36">
        <v>4.8</v>
      </c>
      <c r="T36">
        <v>3.4</v>
      </c>
      <c r="W36">
        <v>2.2999999999999998</v>
      </c>
      <c r="Z36">
        <v>102.30000000000001</v>
      </c>
    </row>
    <row r="37" spans="1:26" x14ac:dyDescent="0.25">
      <c r="A37" t="s">
        <v>35</v>
      </c>
      <c r="B37">
        <v>49.9</v>
      </c>
      <c r="D37">
        <v>47</v>
      </c>
      <c r="F37">
        <v>44.2</v>
      </c>
      <c r="G37">
        <v>42.9</v>
      </c>
      <c r="H37">
        <v>39.700000000000003</v>
      </c>
      <c r="J37">
        <v>40.200000000000003</v>
      </c>
      <c r="L37">
        <v>40.200000000000003</v>
      </c>
      <c r="N37">
        <v>37.299999999999997</v>
      </c>
      <c r="P37">
        <v>40.299999999999997</v>
      </c>
      <c r="R37">
        <v>31.4</v>
      </c>
      <c r="T37">
        <v>28.8</v>
      </c>
      <c r="V37">
        <v>30.3</v>
      </c>
      <c r="X37">
        <v>21.8</v>
      </c>
      <c r="Z37">
        <v>494.00000000000006</v>
      </c>
    </row>
    <row r="38" spans="1:26" x14ac:dyDescent="0.25">
      <c r="A38" t="s">
        <v>34</v>
      </c>
      <c r="F38">
        <v>0.8</v>
      </c>
      <c r="G38">
        <v>0.5</v>
      </c>
      <c r="H38">
        <v>0.2</v>
      </c>
      <c r="I38">
        <v>0.4</v>
      </c>
      <c r="J38">
        <v>0.6</v>
      </c>
      <c r="K38">
        <v>0.4</v>
      </c>
      <c r="L38">
        <v>0.2</v>
      </c>
      <c r="M38">
        <v>0.4</v>
      </c>
      <c r="N38">
        <v>0.2</v>
      </c>
      <c r="O38">
        <v>0.3</v>
      </c>
      <c r="P38">
        <v>0.4</v>
      </c>
      <c r="Q38">
        <v>0.4</v>
      </c>
      <c r="R38">
        <v>0.4</v>
      </c>
      <c r="S38">
        <v>0.4</v>
      </c>
      <c r="T38">
        <v>0.4</v>
      </c>
      <c r="U38">
        <v>0.4</v>
      </c>
      <c r="V38">
        <v>0.2</v>
      </c>
      <c r="W38">
        <v>0.3</v>
      </c>
      <c r="Z38">
        <v>6.9000000000000021</v>
      </c>
    </row>
    <row r="39" spans="1:26" x14ac:dyDescent="0.25">
      <c r="A39" t="s">
        <v>28</v>
      </c>
      <c r="B39">
        <v>0.5</v>
      </c>
      <c r="E39">
        <v>0.4</v>
      </c>
      <c r="F39">
        <v>0.6</v>
      </c>
      <c r="G39">
        <v>0.5</v>
      </c>
      <c r="H39">
        <v>0.7</v>
      </c>
      <c r="I39">
        <v>0.5</v>
      </c>
      <c r="J39">
        <v>0.5</v>
      </c>
      <c r="K39">
        <v>0.3</v>
      </c>
      <c r="L39">
        <v>0.4</v>
      </c>
      <c r="M39">
        <v>0.3</v>
      </c>
      <c r="N39">
        <v>0.3</v>
      </c>
      <c r="O39">
        <v>0.4</v>
      </c>
      <c r="P39">
        <v>0.4</v>
      </c>
      <c r="Q39">
        <v>0.4</v>
      </c>
      <c r="R39">
        <v>0.7</v>
      </c>
      <c r="S39">
        <v>0.6</v>
      </c>
      <c r="T39">
        <v>0.5</v>
      </c>
      <c r="U39">
        <v>0.5</v>
      </c>
      <c r="Z39">
        <v>8.5</v>
      </c>
    </row>
    <row r="40" spans="1:26" x14ac:dyDescent="0.25">
      <c r="A40" t="s">
        <v>26</v>
      </c>
      <c r="B40">
        <v>62.4</v>
      </c>
      <c r="C40">
        <v>63.9</v>
      </c>
      <c r="D40">
        <v>60.2</v>
      </c>
      <c r="E40">
        <v>59.4</v>
      </c>
      <c r="F40">
        <v>59.8</v>
      </c>
      <c r="G40">
        <v>61.5</v>
      </c>
      <c r="H40">
        <v>55.9</v>
      </c>
      <c r="I40">
        <v>50.3</v>
      </c>
      <c r="J40">
        <v>46.4</v>
      </c>
      <c r="K40">
        <v>44.6</v>
      </c>
      <c r="L40">
        <v>40.5</v>
      </c>
      <c r="M40">
        <v>38.1</v>
      </c>
      <c r="N40">
        <v>35.299999999999997</v>
      </c>
      <c r="O40">
        <v>34.5</v>
      </c>
      <c r="P40">
        <v>33.4</v>
      </c>
      <c r="Q40">
        <v>32.700000000000003</v>
      </c>
      <c r="R40">
        <v>31.8</v>
      </c>
      <c r="S40">
        <v>32.6</v>
      </c>
      <c r="T40">
        <v>30.3</v>
      </c>
      <c r="U40">
        <v>28.8</v>
      </c>
      <c r="V40">
        <v>42.8</v>
      </c>
      <c r="W40">
        <v>33.4</v>
      </c>
      <c r="X40">
        <v>32.200000000000003</v>
      </c>
      <c r="Z40">
        <v>1010.7999999999998</v>
      </c>
    </row>
    <row r="41" spans="1:26" x14ac:dyDescent="0.25">
      <c r="A41" t="s">
        <v>27</v>
      </c>
      <c r="B41">
        <v>68.8</v>
      </c>
      <c r="E41">
        <v>68.099999999999994</v>
      </c>
      <c r="H41">
        <v>67.900000000000006</v>
      </c>
      <c r="K41">
        <v>66.099999999999994</v>
      </c>
      <c r="N41">
        <v>64.900000000000006</v>
      </c>
      <c r="Q41">
        <v>60.1</v>
      </c>
      <c r="T41">
        <v>53.5</v>
      </c>
      <c r="W41">
        <v>55.3</v>
      </c>
      <c r="Z41">
        <v>504.7</v>
      </c>
    </row>
    <row r="42" spans="1:26" x14ac:dyDescent="0.25">
      <c r="A42" t="s">
        <v>32</v>
      </c>
      <c r="F42">
        <v>16.2</v>
      </c>
      <c r="G42">
        <v>12.5</v>
      </c>
      <c r="H42">
        <v>9.1999999999999993</v>
      </c>
      <c r="I42">
        <v>5.7</v>
      </c>
      <c r="J42">
        <v>4.5</v>
      </c>
      <c r="K42">
        <v>4.3</v>
      </c>
      <c r="L42">
        <v>4.0999999999999996</v>
      </c>
      <c r="M42">
        <v>4</v>
      </c>
      <c r="N42">
        <v>4.3</v>
      </c>
      <c r="O42">
        <v>3.9</v>
      </c>
      <c r="P42">
        <v>3.8</v>
      </c>
      <c r="Q42">
        <v>3.4</v>
      </c>
      <c r="R42">
        <v>2.4</v>
      </c>
      <c r="S42">
        <v>1.7</v>
      </c>
      <c r="T42">
        <v>1.4</v>
      </c>
      <c r="U42">
        <v>0.8</v>
      </c>
      <c r="V42">
        <v>1.1000000000000001</v>
      </c>
      <c r="W42">
        <v>0.9</v>
      </c>
      <c r="Z42">
        <v>84.200000000000017</v>
      </c>
    </row>
    <row r="43" spans="1:26" x14ac:dyDescent="0.25">
      <c r="A43" t="s">
        <v>29</v>
      </c>
      <c r="E43">
        <v>4</v>
      </c>
      <c r="F43">
        <v>3.3</v>
      </c>
      <c r="G43">
        <v>3.3</v>
      </c>
      <c r="H43">
        <v>3</v>
      </c>
      <c r="I43">
        <v>2.2000000000000002</v>
      </c>
      <c r="J43">
        <v>2.9</v>
      </c>
      <c r="K43">
        <v>2.2999999999999998</v>
      </c>
      <c r="L43">
        <v>2.6</v>
      </c>
      <c r="M43">
        <v>3.7</v>
      </c>
      <c r="N43">
        <v>5.5</v>
      </c>
      <c r="O43">
        <v>5.4</v>
      </c>
      <c r="P43">
        <v>4.7</v>
      </c>
      <c r="Q43">
        <v>3.6</v>
      </c>
      <c r="R43">
        <v>3.6</v>
      </c>
      <c r="S43">
        <v>2.2999999999999998</v>
      </c>
      <c r="T43">
        <v>2.1</v>
      </c>
      <c r="U43">
        <v>1.5</v>
      </c>
      <c r="V43">
        <v>2.6</v>
      </c>
      <c r="W43">
        <v>1.7</v>
      </c>
      <c r="Z43">
        <v>60.300000000000004</v>
      </c>
    </row>
    <row r="44" spans="1:26" x14ac:dyDescent="0.25">
      <c r="A44" t="s">
        <v>31</v>
      </c>
      <c r="H44">
        <v>42.2</v>
      </c>
      <c r="I44">
        <v>36.200000000000003</v>
      </c>
      <c r="J44">
        <v>29.4</v>
      </c>
      <c r="K44">
        <v>27.7</v>
      </c>
      <c r="L44">
        <v>29.6</v>
      </c>
      <c r="M44">
        <v>33.5</v>
      </c>
      <c r="N44">
        <v>33.6</v>
      </c>
      <c r="O44">
        <v>32.799999999999997</v>
      </c>
      <c r="P44">
        <v>29.7</v>
      </c>
      <c r="Q44">
        <v>27.4</v>
      </c>
      <c r="R44">
        <v>21.8</v>
      </c>
      <c r="S44">
        <v>16.3</v>
      </c>
      <c r="T44">
        <v>13</v>
      </c>
      <c r="U44">
        <v>10.9</v>
      </c>
      <c r="V44">
        <v>10</v>
      </c>
      <c r="W44">
        <v>7.1</v>
      </c>
      <c r="Z44">
        <v>401.2</v>
      </c>
    </row>
    <row r="45" spans="1:26" x14ac:dyDescent="0.25">
      <c r="A45" t="s">
        <v>33</v>
      </c>
      <c r="P45">
        <v>2.9</v>
      </c>
      <c r="Q45">
        <v>3.4</v>
      </c>
      <c r="R45">
        <v>3.5</v>
      </c>
      <c r="S45">
        <v>3.3</v>
      </c>
      <c r="T45">
        <v>2.6</v>
      </c>
      <c r="U45">
        <v>2.7</v>
      </c>
      <c r="V45">
        <v>1.7</v>
      </c>
      <c r="W45">
        <v>2</v>
      </c>
      <c r="Z45">
        <v>22.1</v>
      </c>
    </row>
    <row r="46" spans="1:26" x14ac:dyDescent="0.25">
      <c r="A46" t="s">
        <v>24</v>
      </c>
      <c r="F46">
        <v>8.3000000000000007</v>
      </c>
      <c r="G46">
        <v>5.2</v>
      </c>
      <c r="H46">
        <v>3.5</v>
      </c>
      <c r="I46">
        <v>3.2</v>
      </c>
      <c r="J46">
        <v>3.9</v>
      </c>
      <c r="K46">
        <v>3.9</v>
      </c>
      <c r="L46">
        <v>3.4</v>
      </c>
      <c r="M46">
        <v>3</v>
      </c>
      <c r="N46">
        <v>4.5</v>
      </c>
      <c r="O46">
        <v>4.0999999999999996</v>
      </c>
      <c r="P46">
        <v>4.8</v>
      </c>
      <c r="Q46">
        <v>4.3</v>
      </c>
      <c r="R46">
        <v>4.3</v>
      </c>
      <c r="S46">
        <v>2.7</v>
      </c>
      <c r="T46">
        <v>3.4</v>
      </c>
      <c r="U46">
        <v>2</v>
      </c>
      <c r="V46">
        <v>1.9</v>
      </c>
      <c r="W46">
        <v>2.4</v>
      </c>
      <c r="Z46">
        <v>68.8</v>
      </c>
    </row>
    <row r="47" spans="1:26" x14ac:dyDescent="0.25">
      <c r="A47" t="s">
        <v>25</v>
      </c>
      <c r="F47">
        <v>0.5</v>
      </c>
      <c r="G47">
        <v>0.5</v>
      </c>
      <c r="H47">
        <v>0.4</v>
      </c>
      <c r="I47">
        <v>0.2</v>
      </c>
      <c r="J47">
        <v>0.1</v>
      </c>
      <c r="K47">
        <v>0.2</v>
      </c>
      <c r="L47">
        <v>0.1</v>
      </c>
      <c r="M47">
        <v>0.3</v>
      </c>
      <c r="N47">
        <v>0.3</v>
      </c>
      <c r="O47">
        <v>0.4</v>
      </c>
      <c r="P47">
        <v>0.3</v>
      </c>
      <c r="Q47">
        <v>0.3</v>
      </c>
      <c r="R47">
        <v>0.2</v>
      </c>
      <c r="S47">
        <v>0.1</v>
      </c>
      <c r="T47">
        <v>0.1</v>
      </c>
      <c r="U47">
        <v>0.1</v>
      </c>
      <c r="V47">
        <v>0</v>
      </c>
      <c r="W47">
        <v>0.1</v>
      </c>
      <c r="Z47">
        <v>4.1999999999999993</v>
      </c>
    </row>
    <row r="48" spans="1:26" x14ac:dyDescent="0.25">
      <c r="A48" t="s">
        <v>21</v>
      </c>
      <c r="B48">
        <v>2.4</v>
      </c>
      <c r="E48">
        <v>2.2000000000000002</v>
      </c>
      <c r="F48">
        <v>2.4</v>
      </c>
      <c r="G48">
        <v>2.6</v>
      </c>
      <c r="H48">
        <v>2.6</v>
      </c>
      <c r="I48">
        <v>1.6</v>
      </c>
      <c r="J48">
        <v>1.9</v>
      </c>
      <c r="K48">
        <v>2.2999999999999998</v>
      </c>
      <c r="L48">
        <v>2.7</v>
      </c>
      <c r="M48">
        <v>3</v>
      </c>
      <c r="N48">
        <v>3.4</v>
      </c>
      <c r="O48">
        <v>3.8</v>
      </c>
      <c r="P48">
        <v>3.3</v>
      </c>
      <c r="Q48">
        <v>3.5</v>
      </c>
      <c r="R48">
        <v>3.5</v>
      </c>
      <c r="S48">
        <v>2.5</v>
      </c>
      <c r="T48">
        <v>2.7</v>
      </c>
      <c r="U48">
        <v>2.8</v>
      </c>
      <c r="V48">
        <v>3.1</v>
      </c>
      <c r="W48">
        <v>1.9</v>
      </c>
      <c r="Z48">
        <v>54.199999999999996</v>
      </c>
    </row>
    <row r="49" spans="1:26" x14ac:dyDescent="0.25">
      <c r="A49" t="s">
        <v>20</v>
      </c>
      <c r="B49">
        <v>0.5</v>
      </c>
      <c r="C49">
        <v>0.5</v>
      </c>
      <c r="D49">
        <v>0.5</v>
      </c>
      <c r="E49">
        <v>1</v>
      </c>
      <c r="F49">
        <v>1</v>
      </c>
      <c r="G49">
        <v>1.8</v>
      </c>
      <c r="H49">
        <v>1</v>
      </c>
      <c r="I49">
        <v>0.9</v>
      </c>
      <c r="J49">
        <v>1</v>
      </c>
      <c r="K49">
        <v>1.1000000000000001</v>
      </c>
      <c r="L49">
        <v>1.3</v>
      </c>
      <c r="M49">
        <v>1.4</v>
      </c>
      <c r="N49">
        <v>1.2</v>
      </c>
      <c r="O49">
        <v>1.3</v>
      </c>
      <c r="P49">
        <v>1.1000000000000001</v>
      </c>
      <c r="Q49">
        <v>1.1000000000000001</v>
      </c>
      <c r="R49">
        <v>0.9</v>
      </c>
      <c r="S49">
        <v>0.8</v>
      </c>
      <c r="T49">
        <v>1.4</v>
      </c>
      <c r="U49">
        <v>0.9</v>
      </c>
      <c r="V49">
        <v>0.9</v>
      </c>
      <c r="W49">
        <v>1.4</v>
      </c>
      <c r="Z49">
        <v>22.999999999999993</v>
      </c>
    </row>
    <row r="50" spans="1:26" x14ac:dyDescent="0.25">
      <c r="A50" t="s">
        <v>22</v>
      </c>
      <c r="B50">
        <v>0.5</v>
      </c>
      <c r="D50">
        <v>0.2</v>
      </c>
      <c r="F50">
        <v>0.5</v>
      </c>
      <c r="H50">
        <v>0.4</v>
      </c>
      <c r="I50">
        <v>0.4</v>
      </c>
      <c r="J50">
        <v>0.3</v>
      </c>
      <c r="K50">
        <v>0.2</v>
      </c>
      <c r="L50">
        <v>0.4</v>
      </c>
      <c r="M50">
        <v>0.1</v>
      </c>
      <c r="N50">
        <v>0</v>
      </c>
      <c r="O50">
        <v>0.1</v>
      </c>
      <c r="P50">
        <v>0.1</v>
      </c>
      <c r="Q50">
        <v>0.1</v>
      </c>
      <c r="R50">
        <v>0.1</v>
      </c>
      <c r="S50">
        <v>0.1</v>
      </c>
      <c r="T50">
        <v>0.2</v>
      </c>
      <c r="U50">
        <v>0.2</v>
      </c>
      <c r="V50">
        <v>0.1</v>
      </c>
      <c r="Z50">
        <v>4.0000000000000009</v>
      </c>
    </row>
    <row r="51" spans="1:26" x14ac:dyDescent="0.25">
      <c r="A51" t="s">
        <v>18</v>
      </c>
      <c r="B51">
        <v>59</v>
      </c>
      <c r="D51">
        <v>50.8</v>
      </c>
      <c r="F51">
        <v>44.3</v>
      </c>
      <c r="H51">
        <v>36.9</v>
      </c>
      <c r="I51">
        <v>34.799999999999997</v>
      </c>
      <c r="J51">
        <v>32.700000000000003</v>
      </c>
      <c r="K51">
        <v>29.8</v>
      </c>
      <c r="L51">
        <v>27.4</v>
      </c>
      <c r="M51">
        <v>22.9</v>
      </c>
      <c r="N51">
        <v>22.5</v>
      </c>
      <c r="O51">
        <v>19.5</v>
      </c>
      <c r="P51">
        <v>18.7</v>
      </c>
      <c r="Q51">
        <v>14.6</v>
      </c>
      <c r="R51">
        <v>15.7</v>
      </c>
      <c r="S51">
        <v>15.1</v>
      </c>
      <c r="T51">
        <v>15.6</v>
      </c>
      <c r="U51">
        <v>13.1</v>
      </c>
      <c r="V51">
        <v>13.2</v>
      </c>
      <c r="W51">
        <v>12.2</v>
      </c>
      <c r="Z51">
        <v>498.8</v>
      </c>
    </row>
    <row r="52" spans="1:26" x14ac:dyDescent="0.25">
      <c r="A52" t="s">
        <v>19</v>
      </c>
      <c r="S52">
        <v>10.3</v>
      </c>
      <c r="T52">
        <v>9.6</v>
      </c>
      <c r="U52">
        <v>10.1</v>
      </c>
      <c r="V52">
        <v>9.8000000000000007</v>
      </c>
      <c r="W52">
        <v>7.6</v>
      </c>
      <c r="Z52">
        <v>47.4</v>
      </c>
    </row>
    <row r="53" spans="1:26" x14ac:dyDescent="0.25">
      <c r="A53" t="s">
        <v>14</v>
      </c>
      <c r="B53">
        <v>0.7</v>
      </c>
      <c r="C53">
        <v>0.7</v>
      </c>
      <c r="D53">
        <v>0.7</v>
      </c>
      <c r="E53">
        <v>0.7</v>
      </c>
      <c r="F53">
        <v>0.5</v>
      </c>
      <c r="G53">
        <v>0.7</v>
      </c>
      <c r="H53">
        <v>0.7</v>
      </c>
      <c r="I53">
        <v>0.7</v>
      </c>
      <c r="J53">
        <v>0.7</v>
      </c>
      <c r="K53">
        <v>0.7</v>
      </c>
      <c r="L53">
        <v>0.7</v>
      </c>
      <c r="M53">
        <v>0.7</v>
      </c>
      <c r="N53">
        <v>0.7</v>
      </c>
      <c r="O53">
        <v>0.5</v>
      </c>
      <c r="P53">
        <v>0.5</v>
      </c>
      <c r="Q53">
        <v>0.7</v>
      </c>
      <c r="R53">
        <v>0.7</v>
      </c>
      <c r="S53">
        <v>0.7</v>
      </c>
      <c r="T53">
        <v>0.7</v>
      </c>
      <c r="U53">
        <v>0.7</v>
      </c>
      <c r="V53">
        <v>0.7</v>
      </c>
      <c r="W53">
        <v>0.7</v>
      </c>
      <c r="Z53">
        <v>14.799999999999995</v>
      </c>
    </row>
    <row r="54" spans="1:26" x14ac:dyDescent="0.25">
      <c r="A54" t="s">
        <v>15</v>
      </c>
      <c r="B54">
        <v>1.5</v>
      </c>
      <c r="C54">
        <v>1.7</v>
      </c>
      <c r="D54">
        <v>1.7</v>
      </c>
      <c r="E54">
        <v>2</v>
      </c>
      <c r="F54">
        <v>2</v>
      </c>
      <c r="G54">
        <v>1.7</v>
      </c>
      <c r="H54">
        <v>2</v>
      </c>
      <c r="I54">
        <v>1.7</v>
      </c>
      <c r="J54">
        <v>2</v>
      </c>
      <c r="K54">
        <v>1.7</v>
      </c>
      <c r="L54">
        <v>2</v>
      </c>
      <c r="M54">
        <v>2</v>
      </c>
      <c r="N54">
        <v>2</v>
      </c>
      <c r="O54">
        <v>2</v>
      </c>
      <c r="P54">
        <v>2</v>
      </c>
      <c r="Q54">
        <v>2.2000000000000002</v>
      </c>
      <c r="R54">
        <v>2</v>
      </c>
      <c r="S54">
        <v>2</v>
      </c>
      <c r="T54">
        <v>1.7</v>
      </c>
      <c r="U54">
        <v>1.7</v>
      </c>
      <c r="V54">
        <v>1.2</v>
      </c>
      <c r="W54">
        <v>1</v>
      </c>
      <c r="X54">
        <v>2</v>
      </c>
      <c r="Z54">
        <v>41.800000000000004</v>
      </c>
    </row>
    <row r="55" spans="1:26" x14ac:dyDescent="0.25">
      <c r="A55" t="s">
        <v>9</v>
      </c>
      <c r="B55">
        <v>12.5</v>
      </c>
      <c r="C55">
        <v>14.1</v>
      </c>
      <c r="D55">
        <v>18.5</v>
      </c>
      <c r="E55">
        <v>24.5</v>
      </c>
      <c r="F55">
        <v>25.1</v>
      </c>
      <c r="G55">
        <v>22.7</v>
      </c>
      <c r="H55">
        <v>22.3</v>
      </c>
      <c r="I55">
        <v>19.600000000000001</v>
      </c>
      <c r="J55">
        <v>14.7</v>
      </c>
      <c r="K55">
        <v>13.6</v>
      </c>
      <c r="L55">
        <v>12</v>
      </c>
      <c r="M55">
        <v>8.5</v>
      </c>
      <c r="N55">
        <v>7.8</v>
      </c>
      <c r="O55">
        <v>7.4</v>
      </c>
      <c r="P55">
        <v>6.3</v>
      </c>
      <c r="Q55">
        <v>6</v>
      </c>
      <c r="R55">
        <v>5.6</v>
      </c>
      <c r="S55">
        <v>4.5999999999999996</v>
      </c>
      <c r="T55">
        <v>4.9000000000000004</v>
      </c>
      <c r="U55">
        <v>5.0999999999999996</v>
      </c>
      <c r="V55">
        <v>7.2</v>
      </c>
      <c r="W55">
        <v>6.7</v>
      </c>
      <c r="X55">
        <v>6.4</v>
      </c>
      <c r="Z55">
        <v>276.09999999999997</v>
      </c>
    </row>
    <row r="56" spans="1:26" x14ac:dyDescent="0.25">
      <c r="A56" t="s">
        <v>16</v>
      </c>
      <c r="C56">
        <v>51.2</v>
      </c>
      <c r="D56">
        <v>60.7</v>
      </c>
      <c r="E56">
        <v>67</v>
      </c>
      <c r="F56">
        <v>61.5</v>
      </c>
      <c r="G56">
        <v>51.2</v>
      </c>
      <c r="H56">
        <v>38.799999999999997</v>
      </c>
      <c r="Z56">
        <v>330.40000000000003</v>
      </c>
    </row>
    <row r="57" spans="1:26" x14ac:dyDescent="0.25">
      <c r="A57" t="s">
        <v>17</v>
      </c>
      <c r="D57">
        <v>88.9</v>
      </c>
      <c r="F57">
        <v>84.2</v>
      </c>
      <c r="H57">
        <v>79.8</v>
      </c>
      <c r="J57">
        <v>77.7</v>
      </c>
      <c r="L57">
        <v>46.7</v>
      </c>
      <c r="N57">
        <v>40.700000000000003</v>
      </c>
      <c r="P57">
        <v>34.9</v>
      </c>
      <c r="R57">
        <v>27.1</v>
      </c>
      <c r="T57">
        <v>22.2</v>
      </c>
      <c r="V57">
        <v>18.7</v>
      </c>
      <c r="X57">
        <v>19.7</v>
      </c>
      <c r="Z57">
        <v>540.6</v>
      </c>
    </row>
    <row r="58" spans="1:26" x14ac:dyDescent="0.25">
      <c r="A58" t="s">
        <v>72</v>
      </c>
      <c r="B58">
        <v>604.79999999999995</v>
      </c>
      <c r="C58">
        <v>408.59999999999991</v>
      </c>
      <c r="D58">
        <v>701</v>
      </c>
      <c r="E58">
        <v>648.29999999999995</v>
      </c>
      <c r="F58">
        <v>814.19999999999993</v>
      </c>
      <c r="G58">
        <v>624.00000000000011</v>
      </c>
      <c r="H58">
        <v>746.79999999999984</v>
      </c>
      <c r="I58">
        <v>410.7999999999999</v>
      </c>
      <c r="J58">
        <v>646.50000000000011</v>
      </c>
      <c r="K58">
        <v>616.90000000000009</v>
      </c>
      <c r="L58">
        <v>537.79999999999984</v>
      </c>
      <c r="M58">
        <v>582.89999999999986</v>
      </c>
      <c r="N58">
        <v>591.50000000000011</v>
      </c>
      <c r="O58">
        <v>444.19999999999993</v>
      </c>
      <c r="P58">
        <v>477.7</v>
      </c>
      <c r="Q58">
        <v>538.70000000000016</v>
      </c>
      <c r="R58">
        <v>509.49999999999994</v>
      </c>
      <c r="S58">
        <v>437.00000000000011</v>
      </c>
      <c r="T58">
        <v>519.69999999999993</v>
      </c>
      <c r="U58">
        <v>398.80000000000007</v>
      </c>
      <c r="V58">
        <v>482.49999999999994</v>
      </c>
      <c r="W58">
        <v>447.59999999999991</v>
      </c>
      <c r="X58">
        <v>262.60000000000002</v>
      </c>
      <c r="Y58">
        <v>104.1</v>
      </c>
      <c r="Z58">
        <v>12556.5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50DFD-E7BF-4A76-BB7B-E4C7CBA96B65}">
  <sheetPr>
    <tabColor rgb="FFFFC000"/>
  </sheetPr>
  <dimension ref="A1:Z58"/>
  <sheetViews>
    <sheetView workbookViewId="0">
      <selection activeCell="G18" sqref="G18"/>
    </sheetView>
  </sheetViews>
  <sheetFormatPr baseColWidth="10" defaultRowHeight="15" x14ac:dyDescent="0.25"/>
  <sheetData>
    <row r="1" spans="1:26" ht="21" x14ac:dyDescent="0.35">
      <c r="A1" t="s">
        <v>8</v>
      </c>
      <c r="B1" s="2" t="s">
        <v>10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30.9</v>
      </c>
      <c r="C5">
        <v>31.5</v>
      </c>
      <c r="D5">
        <v>34.299999999999997</v>
      </c>
      <c r="E5">
        <v>30.1</v>
      </c>
      <c r="F5">
        <v>29.6</v>
      </c>
      <c r="G5">
        <v>28.3</v>
      </c>
      <c r="H5">
        <v>27.2</v>
      </c>
      <c r="I5">
        <v>27.7</v>
      </c>
      <c r="J5">
        <v>26.1</v>
      </c>
      <c r="K5">
        <v>25.8</v>
      </c>
      <c r="L5">
        <v>25.5</v>
      </c>
      <c r="M5">
        <v>24.3</v>
      </c>
      <c r="N5">
        <v>23.7</v>
      </c>
      <c r="O5">
        <v>24</v>
      </c>
      <c r="P5">
        <v>23.8</v>
      </c>
      <c r="R5">
        <v>24.1</v>
      </c>
      <c r="S5">
        <v>23</v>
      </c>
      <c r="T5">
        <v>23.9</v>
      </c>
      <c r="U5">
        <v>25</v>
      </c>
      <c r="V5">
        <v>26</v>
      </c>
      <c r="W5">
        <v>23.8</v>
      </c>
      <c r="X5">
        <v>22.8</v>
      </c>
      <c r="Z5">
        <v>581.39999999999986</v>
      </c>
    </row>
    <row r="6" spans="1:26" x14ac:dyDescent="0.25">
      <c r="A6" t="s">
        <v>69</v>
      </c>
      <c r="C6">
        <v>12.5</v>
      </c>
      <c r="E6">
        <v>12.2</v>
      </c>
      <c r="F6">
        <v>11.5</v>
      </c>
      <c r="J6">
        <v>11.7</v>
      </c>
      <c r="L6">
        <v>11.7</v>
      </c>
      <c r="P6">
        <v>11.2</v>
      </c>
      <c r="R6">
        <v>12.2</v>
      </c>
      <c r="T6">
        <v>12.7</v>
      </c>
      <c r="Z6">
        <v>95.700000000000017</v>
      </c>
    </row>
    <row r="7" spans="1:26" x14ac:dyDescent="0.25">
      <c r="A7" t="s">
        <v>70</v>
      </c>
      <c r="B7">
        <v>9.5</v>
      </c>
      <c r="E7">
        <v>10.199999999999999</v>
      </c>
      <c r="F7">
        <v>9.8000000000000007</v>
      </c>
      <c r="G7">
        <v>9.5</v>
      </c>
      <c r="H7">
        <v>9.4</v>
      </c>
      <c r="I7">
        <v>11.4</v>
      </c>
      <c r="J7">
        <v>11.9</v>
      </c>
      <c r="K7">
        <v>12.3</v>
      </c>
      <c r="L7">
        <v>11.8</v>
      </c>
      <c r="M7">
        <v>11.2</v>
      </c>
      <c r="N7">
        <v>12.2</v>
      </c>
      <c r="O7">
        <v>10.6</v>
      </c>
      <c r="P7">
        <v>11.8</v>
      </c>
      <c r="Q7">
        <v>12.8</v>
      </c>
      <c r="R7">
        <v>12.1</v>
      </c>
      <c r="S7">
        <v>12</v>
      </c>
      <c r="T7">
        <v>11.9</v>
      </c>
      <c r="U7">
        <v>11.4</v>
      </c>
      <c r="V7">
        <v>12.1</v>
      </c>
      <c r="W7">
        <v>12.5</v>
      </c>
      <c r="Z7">
        <v>226.40000000000003</v>
      </c>
    </row>
    <row r="8" spans="1:26" x14ac:dyDescent="0.25">
      <c r="A8" t="s">
        <v>67</v>
      </c>
      <c r="B8">
        <v>8.1999999999999993</v>
      </c>
      <c r="E8">
        <v>10.6</v>
      </c>
      <c r="F8">
        <v>10.6</v>
      </c>
      <c r="G8">
        <v>9.9</v>
      </c>
      <c r="H8">
        <v>10.5</v>
      </c>
      <c r="I8">
        <v>10.4</v>
      </c>
      <c r="J8">
        <v>10.4</v>
      </c>
      <c r="K8">
        <v>10.8</v>
      </c>
      <c r="L8">
        <v>10.7</v>
      </c>
      <c r="M8">
        <v>11</v>
      </c>
      <c r="N8">
        <v>10.6</v>
      </c>
      <c r="O8">
        <v>11.8</v>
      </c>
      <c r="P8">
        <v>11</v>
      </c>
      <c r="Q8">
        <v>11.9</v>
      </c>
      <c r="R8">
        <v>11.6</v>
      </c>
      <c r="S8">
        <v>10.7</v>
      </c>
      <c r="T8">
        <v>10.6</v>
      </c>
      <c r="U8">
        <v>9.6</v>
      </c>
      <c r="V8">
        <v>9</v>
      </c>
      <c r="W8">
        <v>9.1999999999999993</v>
      </c>
      <c r="Z8">
        <v>209.09999999999997</v>
      </c>
    </row>
    <row r="9" spans="1:26" x14ac:dyDescent="0.25">
      <c r="A9" t="s">
        <v>62</v>
      </c>
      <c r="C9">
        <v>34.6</v>
      </c>
      <c r="D9">
        <v>34.4</v>
      </c>
      <c r="E9">
        <v>34.5</v>
      </c>
      <c r="F9">
        <v>33.700000000000003</v>
      </c>
      <c r="G9">
        <v>33.1</v>
      </c>
      <c r="H9">
        <v>31.9</v>
      </c>
      <c r="I9">
        <v>31.7</v>
      </c>
      <c r="J9">
        <v>30.5</v>
      </c>
      <c r="K9">
        <v>30.2</v>
      </c>
      <c r="M9">
        <v>29.2</v>
      </c>
      <c r="N9">
        <v>29.2</v>
      </c>
      <c r="O9">
        <v>28.1</v>
      </c>
      <c r="P9">
        <v>27.7</v>
      </c>
      <c r="Q9">
        <v>28</v>
      </c>
      <c r="R9">
        <v>28.7</v>
      </c>
      <c r="S9">
        <v>29.1</v>
      </c>
      <c r="T9">
        <v>29.1</v>
      </c>
      <c r="U9">
        <v>29.3</v>
      </c>
      <c r="V9">
        <v>23.5</v>
      </c>
      <c r="W9">
        <v>28.9</v>
      </c>
      <c r="X9">
        <v>27.2</v>
      </c>
      <c r="Z9">
        <v>632.59999999999991</v>
      </c>
    </row>
    <row r="10" spans="1:26" x14ac:dyDescent="0.25">
      <c r="A10" t="s">
        <v>66</v>
      </c>
      <c r="H10">
        <v>22.4</v>
      </c>
      <c r="I10">
        <v>18.600000000000001</v>
      </c>
      <c r="J10">
        <v>17.3</v>
      </c>
      <c r="K10">
        <v>18.100000000000001</v>
      </c>
      <c r="L10">
        <v>19.5</v>
      </c>
      <c r="M10">
        <v>18.8</v>
      </c>
      <c r="N10">
        <v>19.3</v>
      </c>
      <c r="O10">
        <v>19.5</v>
      </c>
      <c r="P10">
        <v>18.8</v>
      </c>
      <c r="Q10">
        <v>20</v>
      </c>
      <c r="R10">
        <v>19.2</v>
      </c>
      <c r="S10">
        <v>18.399999999999999</v>
      </c>
      <c r="T10">
        <v>17.2</v>
      </c>
      <c r="U10">
        <v>17.600000000000001</v>
      </c>
      <c r="V10">
        <v>15.5</v>
      </c>
      <c r="W10">
        <v>15.8</v>
      </c>
      <c r="Z10">
        <v>296</v>
      </c>
    </row>
    <row r="11" spans="1:26" x14ac:dyDescent="0.25">
      <c r="A11" t="s">
        <v>64</v>
      </c>
      <c r="B11">
        <v>15</v>
      </c>
      <c r="C11">
        <v>14.7</v>
      </c>
      <c r="D11">
        <v>14.7</v>
      </c>
      <c r="E11">
        <v>15.5</v>
      </c>
      <c r="F11">
        <v>15.2</v>
      </c>
      <c r="G11">
        <v>15</v>
      </c>
      <c r="H11">
        <v>14.5</v>
      </c>
      <c r="I11">
        <v>14</v>
      </c>
      <c r="J11">
        <v>15</v>
      </c>
      <c r="K11">
        <v>14.7</v>
      </c>
      <c r="L11">
        <v>14.5</v>
      </c>
      <c r="M11">
        <v>13.7</v>
      </c>
      <c r="N11">
        <v>15.7</v>
      </c>
      <c r="O11">
        <v>16</v>
      </c>
      <c r="P11">
        <v>14.5</v>
      </c>
      <c r="Q11">
        <v>15.2</v>
      </c>
      <c r="R11">
        <v>14.5</v>
      </c>
      <c r="S11">
        <v>14.7</v>
      </c>
      <c r="T11">
        <v>13.5</v>
      </c>
      <c r="U11">
        <v>12.5</v>
      </c>
      <c r="Z11">
        <v>293.09999999999997</v>
      </c>
    </row>
    <row r="12" spans="1:26" x14ac:dyDescent="0.25">
      <c r="A12" t="s">
        <v>63</v>
      </c>
      <c r="B12">
        <v>29.1</v>
      </c>
      <c r="E12">
        <v>28.7</v>
      </c>
      <c r="H12">
        <v>24.6</v>
      </c>
      <c r="K12">
        <v>23</v>
      </c>
      <c r="M12">
        <v>22</v>
      </c>
      <c r="O12">
        <v>20.3</v>
      </c>
      <c r="Q12">
        <v>19.3</v>
      </c>
      <c r="S12">
        <v>18.899999999999999</v>
      </c>
      <c r="V12">
        <v>20.6</v>
      </c>
      <c r="X12">
        <v>18.100000000000001</v>
      </c>
      <c r="Z12">
        <v>224.60000000000002</v>
      </c>
    </row>
    <row r="13" spans="1:26" x14ac:dyDescent="0.25">
      <c r="A13" t="s">
        <v>65</v>
      </c>
      <c r="D13">
        <v>45.4</v>
      </c>
      <c r="G13">
        <v>38.9</v>
      </c>
      <c r="J13">
        <v>36.799999999999997</v>
      </c>
      <c r="L13">
        <v>35</v>
      </c>
      <c r="M13">
        <v>32.700000000000003</v>
      </c>
      <c r="N13">
        <v>31.7</v>
      </c>
      <c r="O13">
        <v>27.5</v>
      </c>
      <c r="P13">
        <v>26.5</v>
      </c>
      <c r="Q13">
        <v>25.3</v>
      </c>
      <c r="R13">
        <v>24.4</v>
      </c>
      <c r="S13">
        <v>24.3</v>
      </c>
      <c r="T13">
        <v>23.3</v>
      </c>
      <c r="U13">
        <v>22.1</v>
      </c>
      <c r="V13">
        <v>20.9</v>
      </c>
      <c r="W13">
        <v>19</v>
      </c>
      <c r="Z13">
        <v>433.8</v>
      </c>
    </row>
    <row r="14" spans="1:26" x14ac:dyDescent="0.25">
      <c r="A14" t="s">
        <v>60</v>
      </c>
      <c r="B14">
        <v>34.700000000000003</v>
      </c>
      <c r="C14">
        <v>37.1</v>
      </c>
      <c r="D14">
        <v>34.700000000000003</v>
      </c>
      <c r="E14">
        <v>33</v>
      </c>
      <c r="F14">
        <v>33.5</v>
      </c>
      <c r="G14">
        <v>32.200000000000003</v>
      </c>
      <c r="J14">
        <v>33.200000000000003</v>
      </c>
      <c r="K14">
        <v>32.6</v>
      </c>
      <c r="L14">
        <v>31.4</v>
      </c>
      <c r="M14">
        <v>30.5</v>
      </c>
      <c r="N14">
        <v>30.4</v>
      </c>
      <c r="O14">
        <v>30.2</v>
      </c>
      <c r="P14">
        <v>29.6</v>
      </c>
      <c r="Q14">
        <v>28.9</v>
      </c>
      <c r="R14">
        <v>28.6</v>
      </c>
      <c r="S14">
        <v>28.2</v>
      </c>
      <c r="T14">
        <v>28.4</v>
      </c>
      <c r="U14">
        <v>29.2</v>
      </c>
      <c r="V14">
        <v>30.9</v>
      </c>
      <c r="W14">
        <v>30.5</v>
      </c>
      <c r="X14">
        <v>29.3</v>
      </c>
      <c r="Z14">
        <v>657.09999999999991</v>
      </c>
    </row>
    <row r="15" spans="1:26" x14ac:dyDescent="0.25">
      <c r="A15" t="s">
        <v>61</v>
      </c>
      <c r="B15">
        <v>28.1</v>
      </c>
      <c r="C15">
        <v>27.7</v>
      </c>
      <c r="D15">
        <v>27.5</v>
      </c>
      <c r="E15">
        <v>27.1</v>
      </c>
      <c r="F15">
        <v>27.2</v>
      </c>
      <c r="G15">
        <v>26</v>
      </c>
      <c r="H15">
        <v>26</v>
      </c>
      <c r="I15">
        <v>24.5</v>
      </c>
      <c r="J15">
        <v>24.2</v>
      </c>
      <c r="K15">
        <v>25.9</v>
      </c>
      <c r="L15">
        <v>23.9</v>
      </c>
      <c r="M15">
        <v>25.8</v>
      </c>
      <c r="N15">
        <v>24.9</v>
      </c>
      <c r="O15">
        <v>24.1</v>
      </c>
      <c r="P15">
        <v>24.9</v>
      </c>
      <c r="Q15">
        <v>23.7</v>
      </c>
      <c r="R15">
        <v>24.6</v>
      </c>
      <c r="S15">
        <v>23.4</v>
      </c>
      <c r="T15">
        <v>23.6</v>
      </c>
      <c r="U15">
        <v>24</v>
      </c>
      <c r="V15">
        <v>25.7</v>
      </c>
      <c r="W15">
        <v>24.6</v>
      </c>
      <c r="X15">
        <v>23.8</v>
      </c>
      <c r="Y15">
        <v>24.1</v>
      </c>
      <c r="Z15">
        <v>605.29999999999995</v>
      </c>
    </row>
    <row r="16" spans="1:26" x14ac:dyDescent="0.25">
      <c r="A16" t="s">
        <v>58</v>
      </c>
      <c r="K16">
        <v>17.600000000000001</v>
      </c>
      <c r="L16">
        <v>17.100000000000001</v>
      </c>
      <c r="M16">
        <v>18.100000000000001</v>
      </c>
      <c r="N16">
        <v>18.100000000000001</v>
      </c>
      <c r="O16">
        <v>18.3</v>
      </c>
      <c r="P16">
        <v>18.100000000000001</v>
      </c>
      <c r="Q16">
        <v>17.7</v>
      </c>
      <c r="R16">
        <v>16.7</v>
      </c>
      <c r="S16">
        <v>16.399999999999999</v>
      </c>
      <c r="T16">
        <v>14.1</v>
      </c>
      <c r="U16">
        <v>13.8</v>
      </c>
      <c r="V16">
        <v>14.1</v>
      </c>
      <c r="W16">
        <v>13.3</v>
      </c>
      <c r="Z16">
        <v>213.40000000000003</v>
      </c>
    </row>
    <row r="17" spans="1:26" x14ac:dyDescent="0.25">
      <c r="A17" t="s">
        <v>55</v>
      </c>
      <c r="D17">
        <v>9.5</v>
      </c>
      <c r="F17">
        <v>10.5</v>
      </c>
      <c r="G17">
        <v>10.3</v>
      </c>
      <c r="H17">
        <v>9.1999999999999993</v>
      </c>
      <c r="I17">
        <v>7.8</v>
      </c>
      <c r="J17">
        <v>7.5</v>
      </c>
      <c r="K17">
        <v>7.6</v>
      </c>
      <c r="L17">
        <v>9.1</v>
      </c>
      <c r="M17">
        <v>9.4</v>
      </c>
      <c r="N17">
        <v>8.3000000000000007</v>
      </c>
      <c r="O17">
        <v>9.1</v>
      </c>
      <c r="P17">
        <v>7.6</v>
      </c>
      <c r="Q17">
        <v>7.9</v>
      </c>
      <c r="R17">
        <v>7</v>
      </c>
      <c r="S17">
        <v>6</v>
      </c>
      <c r="T17">
        <v>6.2</v>
      </c>
      <c r="U17">
        <v>5.9</v>
      </c>
      <c r="V17">
        <v>6.9</v>
      </c>
      <c r="W17">
        <v>6.9</v>
      </c>
      <c r="Z17">
        <v>152.70000000000002</v>
      </c>
    </row>
    <row r="18" spans="1:26" x14ac:dyDescent="0.25">
      <c r="A18" t="s">
        <v>51</v>
      </c>
      <c r="B18">
        <v>5.5</v>
      </c>
      <c r="E18">
        <v>6.5</v>
      </c>
      <c r="F18">
        <v>6.5</v>
      </c>
      <c r="G18">
        <v>6.6</v>
      </c>
      <c r="H18">
        <v>6.2</v>
      </c>
      <c r="I18">
        <v>6.1</v>
      </c>
      <c r="J18">
        <v>6.4</v>
      </c>
      <c r="K18">
        <v>8</v>
      </c>
      <c r="L18">
        <v>8.1999999999999993</v>
      </c>
      <c r="M18">
        <v>7.3</v>
      </c>
      <c r="N18">
        <v>7.1</v>
      </c>
      <c r="O18">
        <v>8</v>
      </c>
      <c r="P18">
        <v>7.6</v>
      </c>
      <c r="Q18">
        <v>6.9</v>
      </c>
      <c r="R18">
        <v>7.4</v>
      </c>
      <c r="S18">
        <v>7.9</v>
      </c>
      <c r="T18">
        <v>7.7</v>
      </c>
      <c r="U18">
        <v>6.8</v>
      </c>
      <c r="V18">
        <v>7.5</v>
      </c>
      <c r="W18">
        <v>8</v>
      </c>
      <c r="Z18">
        <v>142.19999999999999</v>
      </c>
    </row>
    <row r="19" spans="1:26" x14ac:dyDescent="0.25">
      <c r="A19" t="s">
        <v>49</v>
      </c>
      <c r="B19">
        <v>40.6</v>
      </c>
      <c r="E19">
        <v>34.799999999999997</v>
      </c>
      <c r="F19">
        <v>35</v>
      </c>
      <c r="G19">
        <v>32.9</v>
      </c>
      <c r="H19">
        <v>31.2</v>
      </c>
      <c r="I19">
        <v>30.8</v>
      </c>
      <c r="J19">
        <v>30.4</v>
      </c>
      <c r="K19">
        <v>29.4</v>
      </c>
      <c r="L19">
        <v>28.9</v>
      </c>
      <c r="M19">
        <v>27.9</v>
      </c>
      <c r="N19">
        <v>27.9</v>
      </c>
      <c r="O19">
        <v>27.4</v>
      </c>
      <c r="P19">
        <v>26</v>
      </c>
      <c r="Q19">
        <v>26.3</v>
      </c>
      <c r="R19">
        <v>25.9</v>
      </c>
      <c r="S19">
        <v>26.3</v>
      </c>
      <c r="T19">
        <v>26.5</v>
      </c>
      <c r="U19">
        <v>27.2</v>
      </c>
      <c r="V19">
        <v>27.2</v>
      </c>
      <c r="W19">
        <v>27.4</v>
      </c>
      <c r="X19">
        <v>27.5</v>
      </c>
      <c r="Y19">
        <v>26.7</v>
      </c>
      <c r="Z19">
        <v>644.20000000000005</v>
      </c>
    </row>
    <row r="20" spans="1:26" x14ac:dyDescent="0.25">
      <c r="A20" t="s">
        <v>57</v>
      </c>
      <c r="E20">
        <v>19.100000000000001</v>
      </c>
      <c r="F20">
        <v>16</v>
      </c>
      <c r="G20">
        <v>14.3</v>
      </c>
      <c r="H20">
        <v>13.3</v>
      </c>
      <c r="I20">
        <v>12.4</v>
      </c>
      <c r="J20">
        <v>12.6</v>
      </c>
      <c r="K20">
        <v>13.7</v>
      </c>
      <c r="L20">
        <v>15.4</v>
      </c>
      <c r="M20">
        <v>14.2</v>
      </c>
      <c r="N20">
        <v>13.3</v>
      </c>
      <c r="O20">
        <v>13.9</v>
      </c>
      <c r="P20">
        <v>13.4</v>
      </c>
      <c r="Q20">
        <v>12.4</v>
      </c>
      <c r="R20">
        <v>11.5</v>
      </c>
      <c r="S20">
        <v>11.8</v>
      </c>
      <c r="T20">
        <v>11.6</v>
      </c>
      <c r="U20">
        <v>10.7</v>
      </c>
      <c r="V20">
        <v>10.6</v>
      </c>
      <c r="W20">
        <v>10</v>
      </c>
      <c r="Z20">
        <v>250.20000000000002</v>
      </c>
    </row>
    <row r="21" spans="1:26" x14ac:dyDescent="0.25">
      <c r="A21" t="s">
        <v>53</v>
      </c>
      <c r="B21">
        <v>7.5</v>
      </c>
      <c r="E21">
        <v>7.9</v>
      </c>
      <c r="F21">
        <v>7.3</v>
      </c>
      <c r="G21">
        <v>7.3</v>
      </c>
      <c r="H21">
        <v>7.9</v>
      </c>
      <c r="I21">
        <v>7.9</v>
      </c>
      <c r="J21">
        <v>8.1999999999999993</v>
      </c>
      <c r="K21">
        <v>8.1999999999999993</v>
      </c>
      <c r="L21">
        <v>8.4</v>
      </c>
      <c r="M21">
        <v>7.9</v>
      </c>
      <c r="N21">
        <v>7.6</v>
      </c>
      <c r="O21">
        <v>7.8</v>
      </c>
      <c r="P21">
        <v>8</v>
      </c>
      <c r="Q21">
        <v>7.7</v>
      </c>
      <c r="R21">
        <v>7.6</v>
      </c>
      <c r="S21">
        <v>8.1</v>
      </c>
      <c r="T21">
        <v>7.7</v>
      </c>
      <c r="U21">
        <v>8</v>
      </c>
      <c r="V21">
        <v>7.6</v>
      </c>
      <c r="W21">
        <v>7.8</v>
      </c>
      <c r="Z21">
        <v>156.4</v>
      </c>
    </row>
    <row r="22" spans="1:26" x14ac:dyDescent="0.25">
      <c r="A22" t="s">
        <v>50</v>
      </c>
      <c r="B22">
        <v>13.5</v>
      </c>
      <c r="C22">
        <v>13.5</v>
      </c>
      <c r="D22">
        <v>12.2</v>
      </c>
      <c r="E22">
        <v>10.8</v>
      </c>
      <c r="F22">
        <v>10.7</v>
      </c>
      <c r="G22">
        <v>10.6</v>
      </c>
      <c r="H22">
        <v>11</v>
      </c>
      <c r="I22">
        <v>11</v>
      </c>
      <c r="J22">
        <v>11.3</v>
      </c>
      <c r="K22">
        <v>12.5</v>
      </c>
      <c r="L22">
        <v>12</v>
      </c>
      <c r="M22">
        <v>11.5</v>
      </c>
      <c r="N22">
        <v>11.5</v>
      </c>
      <c r="O22">
        <v>11.4</v>
      </c>
      <c r="P22">
        <v>11.4</v>
      </c>
      <c r="Q22">
        <v>11.8</v>
      </c>
      <c r="R22">
        <v>11.7</v>
      </c>
      <c r="S22">
        <v>11.7</v>
      </c>
      <c r="T22">
        <v>11.2</v>
      </c>
      <c r="U22">
        <v>13.1</v>
      </c>
      <c r="V22">
        <v>12.7</v>
      </c>
      <c r="W22">
        <v>13.3</v>
      </c>
      <c r="Z22">
        <v>260.39999999999998</v>
      </c>
    </row>
    <row r="23" spans="1:26" x14ac:dyDescent="0.25">
      <c r="A23" t="s">
        <v>54</v>
      </c>
      <c r="B23">
        <v>9.5</v>
      </c>
      <c r="C23">
        <v>9.1999999999999993</v>
      </c>
      <c r="D23">
        <v>9.1999999999999993</v>
      </c>
      <c r="E23">
        <v>9.5</v>
      </c>
      <c r="F23">
        <v>10</v>
      </c>
      <c r="G23">
        <v>10.5</v>
      </c>
      <c r="H23">
        <v>10</v>
      </c>
      <c r="I23">
        <v>10</v>
      </c>
      <c r="J23">
        <v>10.199999999999999</v>
      </c>
      <c r="K23">
        <v>10.7</v>
      </c>
      <c r="L23">
        <v>10.199999999999999</v>
      </c>
      <c r="M23">
        <v>10</v>
      </c>
      <c r="N23">
        <v>11</v>
      </c>
      <c r="O23">
        <v>11</v>
      </c>
      <c r="P23">
        <v>11.7</v>
      </c>
      <c r="Q23">
        <v>11.7</v>
      </c>
      <c r="R23">
        <v>12.2</v>
      </c>
      <c r="S23">
        <v>12</v>
      </c>
      <c r="T23">
        <v>12</v>
      </c>
      <c r="U23">
        <v>12.2</v>
      </c>
      <c r="V23">
        <v>12</v>
      </c>
      <c r="Z23">
        <v>224.79999999999995</v>
      </c>
    </row>
    <row r="24" spans="1:26" x14ac:dyDescent="0.25">
      <c r="A24" t="s">
        <v>52</v>
      </c>
      <c r="B24">
        <v>17.7</v>
      </c>
      <c r="E24">
        <v>15.9</v>
      </c>
      <c r="F24">
        <v>15.8</v>
      </c>
      <c r="G24">
        <v>16.7</v>
      </c>
      <c r="H24">
        <v>16.8</v>
      </c>
      <c r="I24">
        <v>16.399999999999999</v>
      </c>
      <c r="J24">
        <v>15</v>
      </c>
      <c r="K24">
        <v>15.6</v>
      </c>
      <c r="L24">
        <v>17.2</v>
      </c>
      <c r="M24">
        <v>19.600000000000001</v>
      </c>
      <c r="N24">
        <v>21.1</v>
      </c>
      <c r="O24">
        <v>20.2</v>
      </c>
      <c r="P24">
        <v>20.2</v>
      </c>
      <c r="Q24">
        <v>20.7</v>
      </c>
      <c r="R24">
        <v>19.3</v>
      </c>
      <c r="S24">
        <v>18.5</v>
      </c>
      <c r="T24">
        <v>17</v>
      </c>
      <c r="U24">
        <v>16.8</v>
      </c>
      <c r="V24">
        <v>17.7</v>
      </c>
      <c r="W24">
        <v>16.7</v>
      </c>
      <c r="Z24">
        <v>354.89999999999992</v>
      </c>
    </row>
    <row r="25" spans="1:26" x14ac:dyDescent="0.25">
      <c r="A25" t="s">
        <v>44</v>
      </c>
      <c r="F25">
        <v>14.7</v>
      </c>
      <c r="G25">
        <v>17.2</v>
      </c>
      <c r="H25">
        <v>13.1</v>
      </c>
      <c r="I25">
        <v>13.6</v>
      </c>
      <c r="J25">
        <v>14</v>
      </c>
      <c r="K25">
        <v>14.1</v>
      </c>
      <c r="L25">
        <v>15.1</v>
      </c>
      <c r="M25">
        <v>15.1</v>
      </c>
      <c r="N25">
        <v>17</v>
      </c>
      <c r="O25">
        <v>16.8</v>
      </c>
      <c r="P25">
        <v>16.600000000000001</v>
      </c>
      <c r="Q25">
        <v>15.8</v>
      </c>
      <c r="R25">
        <v>16</v>
      </c>
      <c r="S25">
        <v>15</v>
      </c>
      <c r="T25">
        <v>13.4</v>
      </c>
      <c r="U25">
        <v>12.2</v>
      </c>
      <c r="V25">
        <v>13.6</v>
      </c>
      <c r="W25">
        <v>9.6999999999999993</v>
      </c>
      <c r="Z25">
        <v>263</v>
      </c>
    </row>
    <row r="26" spans="1:26" x14ac:dyDescent="0.25">
      <c r="A26" t="s">
        <v>47</v>
      </c>
      <c r="E26">
        <v>7.6</v>
      </c>
      <c r="F26">
        <v>6.6</v>
      </c>
      <c r="G26">
        <v>7.6</v>
      </c>
      <c r="H26">
        <v>7.7</v>
      </c>
      <c r="I26">
        <v>7.3</v>
      </c>
      <c r="J26">
        <v>8.1</v>
      </c>
      <c r="K26">
        <v>7.9</v>
      </c>
      <c r="L26">
        <v>7.9</v>
      </c>
      <c r="M26">
        <v>8.5</v>
      </c>
      <c r="N26">
        <v>8.4</v>
      </c>
      <c r="O26">
        <v>6.6</v>
      </c>
      <c r="P26">
        <v>7.6</v>
      </c>
      <c r="Q26">
        <v>7.2</v>
      </c>
      <c r="R26">
        <v>7.8</v>
      </c>
      <c r="S26">
        <v>7.1</v>
      </c>
      <c r="Z26">
        <v>113.89999999999998</v>
      </c>
    </row>
    <row r="27" spans="1:26" x14ac:dyDescent="0.25">
      <c r="A27" t="s">
        <v>39</v>
      </c>
      <c r="F27">
        <v>48.1</v>
      </c>
      <c r="K27">
        <v>44.7</v>
      </c>
      <c r="M27">
        <v>39.799999999999997</v>
      </c>
      <c r="Q27">
        <v>37.1</v>
      </c>
      <c r="R27">
        <v>36.799999999999997</v>
      </c>
      <c r="S27">
        <v>34.299999999999997</v>
      </c>
      <c r="T27">
        <v>32.4</v>
      </c>
      <c r="U27">
        <v>34</v>
      </c>
      <c r="V27">
        <v>34.799999999999997</v>
      </c>
      <c r="W27">
        <v>33.1</v>
      </c>
      <c r="Z27">
        <v>375.1</v>
      </c>
    </row>
    <row r="28" spans="1:26" x14ac:dyDescent="0.25">
      <c r="A28" t="s">
        <v>40</v>
      </c>
      <c r="B28">
        <v>49.8</v>
      </c>
      <c r="C28">
        <v>48.1</v>
      </c>
      <c r="D28">
        <v>39.9</v>
      </c>
      <c r="E28">
        <v>39.4</v>
      </c>
      <c r="F28">
        <v>39.299999999999997</v>
      </c>
      <c r="G28">
        <v>37.9</v>
      </c>
      <c r="H28">
        <v>40.9</v>
      </c>
      <c r="I28">
        <v>38.6</v>
      </c>
      <c r="J28">
        <v>37.299999999999997</v>
      </c>
      <c r="K28">
        <v>37</v>
      </c>
      <c r="L28">
        <v>36.6</v>
      </c>
      <c r="M28">
        <v>35.799999999999997</v>
      </c>
      <c r="N28">
        <v>33.700000000000003</v>
      </c>
      <c r="O28">
        <v>34.799999999999997</v>
      </c>
      <c r="P28">
        <v>34.299999999999997</v>
      </c>
      <c r="Q28">
        <v>32.1</v>
      </c>
      <c r="R28">
        <v>31.6</v>
      </c>
      <c r="S28">
        <v>28.7</v>
      </c>
      <c r="T28">
        <v>28.1</v>
      </c>
      <c r="U28">
        <v>27.3</v>
      </c>
      <c r="V28">
        <v>26.4</v>
      </c>
      <c r="W28">
        <v>26.2</v>
      </c>
      <c r="X28">
        <v>24.6</v>
      </c>
      <c r="Y28">
        <v>23.6</v>
      </c>
      <c r="Z28">
        <v>832.00000000000011</v>
      </c>
    </row>
    <row r="29" spans="1:26" x14ac:dyDescent="0.25">
      <c r="A29" t="s">
        <v>45</v>
      </c>
      <c r="B29">
        <v>12.9</v>
      </c>
      <c r="D29">
        <v>12.7</v>
      </c>
      <c r="E29">
        <v>13.3</v>
      </c>
      <c r="F29">
        <v>13.5</v>
      </c>
      <c r="G29">
        <v>12.7</v>
      </c>
      <c r="H29">
        <v>11</v>
      </c>
      <c r="I29">
        <v>10</v>
      </c>
      <c r="J29">
        <v>11.5</v>
      </c>
      <c r="K29">
        <v>12.5</v>
      </c>
      <c r="L29">
        <v>12.6</v>
      </c>
      <c r="M29">
        <v>13.2</v>
      </c>
      <c r="N29">
        <v>13.6</v>
      </c>
      <c r="O29">
        <v>14.1</v>
      </c>
      <c r="P29">
        <v>11.9</v>
      </c>
      <c r="Q29">
        <v>11.5</v>
      </c>
      <c r="R29">
        <v>10.9</v>
      </c>
      <c r="S29">
        <v>9.6999999999999993</v>
      </c>
      <c r="T29">
        <v>8.5</v>
      </c>
      <c r="U29">
        <v>9.5</v>
      </c>
      <c r="V29">
        <v>7.8</v>
      </c>
      <c r="W29">
        <v>7.8</v>
      </c>
      <c r="Z29">
        <v>241.20000000000002</v>
      </c>
    </row>
    <row r="30" spans="1:26" x14ac:dyDescent="0.25">
      <c r="A30" t="s">
        <v>43</v>
      </c>
      <c r="C30">
        <v>22.5</v>
      </c>
      <c r="D30">
        <v>23.5</v>
      </c>
      <c r="E30">
        <v>24.5</v>
      </c>
      <c r="F30">
        <v>25.5</v>
      </c>
      <c r="G30">
        <v>25.5</v>
      </c>
      <c r="H30">
        <v>25</v>
      </c>
      <c r="I30">
        <v>25.2</v>
      </c>
      <c r="J30">
        <v>24.5</v>
      </c>
      <c r="K30">
        <v>26.2</v>
      </c>
      <c r="L30">
        <v>25.5</v>
      </c>
      <c r="M30">
        <v>25.2</v>
      </c>
      <c r="N30">
        <v>24.7</v>
      </c>
      <c r="O30">
        <v>22.7</v>
      </c>
      <c r="P30">
        <v>23.7</v>
      </c>
      <c r="Q30">
        <v>22.7</v>
      </c>
      <c r="R30">
        <v>23.2</v>
      </c>
      <c r="S30">
        <v>22.5</v>
      </c>
      <c r="T30">
        <v>22.5</v>
      </c>
      <c r="U30">
        <v>22.5</v>
      </c>
      <c r="V30">
        <v>22</v>
      </c>
      <c r="W30">
        <v>22.2</v>
      </c>
      <c r="Z30">
        <v>501.7999999999999</v>
      </c>
    </row>
    <row r="31" spans="1:26" x14ac:dyDescent="0.25">
      <c r="A31" t="s">
        <v>42</v>
      </c>
      <c r="B31">
        <v>17.2</v>
      </c>
      <c r="D31">
        <v>17.2</v>
      </c>
      <c r="E31">
        <v>15.4</v>
      </c>
      <c r="F31">
        <v>15</v>
      </c>
      <c r="G31">
        <v>15.7</v>
      </c>
      <c r="H31">
        <v>15.3</v>
      </c>
      <c r="I31">
        <v>14.9</v>
      </c>
      <c r="J31">
        <v>15.2</v>
      </c>
      <c r="K31">
        <v>15.3</v>
      </c>
      <c r="L31">
        <v>15.9</v>
      </c>
      <c r="M31">
        <v>16.5</v>
      </c>
      <c r="N31">
        <v>16.2</v>
      </c>
      <c r="O31">
        <v>16.399999999999999</v>
      </c>
      <c r="P31">
        <v>17</v>
      </c>
      <c r="Q31">
        <v>17.8</v>
      </c>
      <c r="R31">
        <v>17.5</v>
      </c>
      <c r="S31">
        <v>17.8</v>
      </c>
      <c r="T31">
        <v>17.100000000000001</v>
      </c>
      <c r="U31">
        <v>16.5</v>
      </c>
      <c r="V31">
        <v>17.3</v>
      </c>
      <c r="W31">
        <v>16.600000000000001</v>
      </c>
      <c r="Z31">
        <v>343.80000000000007</v>
      </c>
    </row>
    <row r="32" spans="1:26" x14ac:dyDescent="0.25">
      <c r="A32" t="s">
        <v>46</v>
      </c>
      <c r="J32">
        <v>18</v>
      </c>
      <c r="L32">
        <v>9.6999999999999993</v>
      </c>
      <c r="O32">
        <v>11</v>
      </c>
      <c r="Z32">
        <v>38.700000000000003</v>
      </c>
    </row>
    <row r="33" spans="1:26" x14ac:dyDescent="0.25">
      <c r="A33" t="s">
        <v>41</v>
      </c>
      <c r="H33">
        <v>15.2</v>
      </c>
      <c r="J33">
        <v>15.2</v>
      </c>
      <c r="L33">
        <v>14.5</v>
      </c>
      <c r="N33">
        <v>15</v>
      </c>
      <c r="P33">
        <v>14.2</v>
      </c>
      <c r="R33">
        <v>17.2</v>
      </c>
      <c r="S33">
        <v>17</v>
      </c>
      <c r="T33">
        <v>16</v>
      </c>
      <c r="U33">
        <v>15.2</v>
      </c>
      <c r="V33">
        <v>14</v>
      </c>
      <c r="W33">
        <v>14.2</v>
      </c>
      <c r="Z33">
        <v>167.7</v>
      </c>
    </row>
    <row r="34" spans="1:26" x14ac:dyDescent="0.25">
      <c r="A34" t="s">
        <v>38</v>
      </c>
      <c r="F34">
        <v>18.100000000000001</v>
      </c>
      <c r="G34">
        <v>18.899999999999999</v>
      </c>
      <c r="H34">
        <v>15.8</v>
      </c>
      <c r="I34">
        <v>18.2</v>
      </c>
      <c r="J34">
        <v>18.600000000000001</v>
      </c>
      <c r="K34">
        <v>19.5</v>
      </c>
      <c r="L34">
        <v>20.6</v>
      </c>
      <c r="M34">
        <v>18.600000000000001</v>
      </c>
      <c r="N34">
        <v>18.600000000000001</v>
      </c>
      <c r="O34">
        <v>16.899999999999999</v>
      </c>
      <c r="P34">
        <v>16.3</v>
      </c>
      <c r="Q34">
        <v>14.6</v>
      </c>
      <c r="R34">
        <v>15.4</v>
      </c>
      <c r="S34">
        <v>15.4</v>
      </c>
      <c r="T34">
        <v>14.4</v>
      </c>
      <c r="U34">
        <v>14.2</v>
      </c>
      <c r="V34">
        <v>15.1</v>
      </c>
      <c r="W34">
        <v>14.7</v>
      </c>
      <c r="Z34">
        <v>303.89999999999998</v>
      </c>
    </row>
    <row r="35" spans="1:26" x14ac:dyDescent="0.25">
      <c r="A35" t="s">
        <v>37</v>
      </c>
      <c r="B35">
        <v>11</v>
      </c>
      <c r="C35">
        <v>10.199999999999999</v>
      </c>
      <c r="D35">
        <v>8.8000000000000007</v>
      </c>
      <c r="E35">
        <v>10.9</v>
      </c>
      <c r="F35">
        <v>11.2</v>
      </c>
      <c r="G35">
        <v>11.3</v>
      </c>
      <c r="H35">
        <v>11.2</v>
      </c>
      <c r="I35">
        <v>11.1</v>
      </c>
      <c r="J35">
        <v>12.5</v>
      </c>
      <c r="K35">
        <v>13</v>
      </c>
      <c r="L35">
        <v>11.3</v>
      </c>
      <c r="M35">
        <v>14.2</v>
      </c>
      <c r="N35">
        <v>13.4</v>
      </c>
      <c r="O35">
        <v>13.8</v>
      </c>
      <c r="P35">
        <v>12.1</v>
      </c>
      <c r="Q35">
        <v>13.3</v>
      </c>
      <c r="R35">
        <v>12.5</v>
      </c>
      <c r="S35">
        <v>14.4</v>
      </c>
      <c r="T35">
        <v>15.3</v>
      </c>
      <c r="U35">
        <v>13.9</v>
      </c>
      <c r="V35">
        <v>15</v>
      </c>
      <c r="W35">
        <v>13.4</v>
      </c>
      <c r="Z35">
        <v>273.8</v>
      </c>
    </row>
    <row r="36" spans="1:26" x14ac:dyDescent="0.25">
      <c r="A36" t="s">
        <v>36</v>
      </c>
      <c r="E36">
        <v>26.9</v>
      </c>
      <c r="H36">
        <v>25.6</v>
      </c>
      <c r="J36">
        <v>26.2</v>
      </c>
      <c r="M36">
        <v>23.8</v>
      </c>
      <c r="O36">
        <v>20.100000000000001</v>
      </c>
      <c r="Q36">
        <v>20.2</v>
      </c>
      <c r="T36">
        <v>20.5</v>
      </c>
      <c r="W36">
        <v>19.899999999999999</v>
      </c>
      <c r="Z36">
        <v>183.2</v>
      </c>
    </row>
    <row r="37" spans="1:26" x14ac:dyDescent="0.25">
      <c r="A37" t="s">
        <v>35</v>
      </c>
      <c r="B37">
        <v>32.5</v>
      </c>
      <c r="D37">
        <v>30.5</v>
      </c>
      <c r="F37">
        <v>29.1</v>
      </c>
      <c r="G37">
        <v>29.8</v>
      </c>
      <c r="H37">
        <v>28.4</v>
      </c>
      <c r="J37">
        <v>30.1</v>
      </c>
      <c r="L37">
        <v>27.6</v>
      </c>
      <c r="N37">
        <v>27.5</v>
      </c>
      <c r="P37">
        <v>27</v>
      </c>
      <c r="R37">
        <v>25.2</v>
      </c>
      <c r="T37">
        <v>23.9</v>
      </c>
      <c r="V37">
        <v>24.7</v>
      </c>
      <c r="X37">
        <v>22.5</v>
      </c>
      <c r="Z37">
        <v>358.79999999999995</v>
      </c>
    </row>
    <row r="38" spans="1:26" x14ac:dyDescent="0.25">
      <c r="A38" t="s">
        <v>34</v>
      </c>
      <c r="F38">
        <v>10.1</v>
      </c>
      <c r="G38">
        <v>9.1</v>
      </c>
      <c r="H38">
        <v>9.1</v>
      </c>
      <c r="I38">
        <v>8.8000000000000007</v>
      </c>
      <c r="J38">
        <v>9.8000000000000007</v>
      </c>
      <c r="K38">
        <v>9.3000000000000007</v>
      </c>
      <c r="L38">
        <v>9.6</v>
      </c>
      <c r="M38">
        <v>9.1999999999999993</v>
      </c>
      <c r="N38">
        <v>8.8000000000000007</v>
      </c>
      <c r="O38">
        <v>9.6</v>
      </c>
      <c r="P38">
        <v>9.3000000000000007</v>
      </c>
      <c r="Q38">
        <v>9.3000000000000007</v>
      </c>
      <c r="R38">
        <v>9.5</v>
      </c>
      <c r="S38">
        <v>9</v>
      </c>
      <c r="T38">
        <v>9.1999999999999993</v>
      </c>
      <c r="U38">
        <v>9.9</v>
      </c>
      <c r="V38">
        <v>9</v>
      </c>
      <c r="W38">
        <v>8.8000000000000007</v>
      </c>
      <c r="Z38">
        <v>167.39999999999998</v>
      </c>
    </row>
    <row r="39" spans="1:26" x14ac:dyDescent="0.25">
      <c r="A39" t="s">
        <v>28</v>
      </c>
      <c r="B39">
        <v>5.7</v>
      </c>
      <c r="E39">
        <v>7.4</v>
      </c>
      <c r="F39">
        <v>7.1</v>
      </c>
      <c r="G39">
        <v>7.3</v>
      </c>
      <c r="H39">
        <v>9</v>
      </c>
      <c r="I39">
        <v>7.6</v>
      </c>
      <c r="J39">
        <v>8.3000000000000007</v>
      </c>
      <c r="K39">
        <v>7.9</v>
      </c>
      <c r="L39">
        <v>7.7</v>
      </c>
      <c r="M39">
        <v>8</v>
      </c>
      <c r="N39">
        <v>8</v>
      </c>
      <c r="O39">
        <v>8.1999999999999993</v>
      </c>
      <c r="P39">
        <v>8.5</v>
      </c>
      <c r="Q39">
        <v>9.1</v>
      </c>
      <c r="R39">
        <v>9.6999999999999993</v>
      </c>
      <c r="S39">
        <v>9.1</v>
      </c>
      <c r="T39">
        <v>9</v>
      </c>
      <c r="U39">
        <v>9.4</v>
      </c>
      <c r="Z39">
        <v>147</v>
      </c>
    </row>
    <row r="40" spans="1:26" x14ac:dyDescent="0.25">
      <c r="A40" t="s">
        <v>26</v>
      </c>
      <c r="B40">
        <v>36.299999999999997</v>
      </c>
      <c r="C40">
        <v>37.299999999999997</v>
      </c>
      <c r="D40">
        <v>36.700000000000003</v>
      </c>
      <c r="E40">
        <v>35.4</v>
      </c>
      <c r="F40">
        <v>35.6</v>
      </c>
      <c r="G40">
        <v>36.4</v>
      </c>
      <c r="H40">
        <v>35.299999999999997</v>
      </c>
      <c r="I40">
        <v>33.700000000000003</v>
      </c>
      <c r="J40">
        <v>32.299999999999997</v>
      </c>
      <c r="K40">
        <v>31.1</v>
      </c>
      <c r="L40">
        <v>29.6</v>
      </c>
      <c r="M40">
        <v>29.6</v>
      </c>
      <c r="N40">
        <v>28.7</v>
      </c>
      <c r="O40">
        <v>28.3</v>
      </c>
      <c r="P40">
        <v>27.7</v>
      </c>
      <c r="Q40">
        <v>27</v>
      </c>
      <c r="R40">
        <v>27.5</v>
      </c>
      <c r="S40">
        <v>27.5</v>
      </c>
      <c r="T40">
        <v>26.3</v>
      </c>
      <c r="U40">
        <v>25.8</v>
      </c>
      <c r="V40">
        <v>28.9</v>
      </c>
      <c r="W40">
        <v>24.8</v>
      </c>
      <c r="X40">
        <v>25</v>
      </c>
      <c r="Z40">
        <v>706.79999999999984</v>
      </c>
    </row>
    <row r="41" spans="1:26" x14ac:dyDescent="0.25">
      <c r="A41" t="s">
        <v>27</v>
      </c>
      <c r="B41">
        <v>35.799999999999997</v>
      </c>
      <c r="E41">
        <v>34.9</v>
      </c>
      <c r="H41">
        <v>36.1</v>
      </c>
      <c r="K41">
        <v>34.200000000000003</v>
      </c>
      <c r="N41">
        <v>34.299999999999997</v>
      </c>
      <c r="Q41">
        <v>31.2</v>
      </c>
      <c r="T41">
        <v>27.6</v>
      </c>
      <c r="W41">
        <v>26.3</v>
      </c>
      <c r="Z41">
        <v>260.39999999999998</v>
      </c>
    </row>
    <row r="42" spans="1:26" x14ac:dyDescent="0.25">
      <c r="A42" t="s">
        <v>32</v>
      </c>
      <c r="F42">
        <v>22.5</v>
      </c>
      <c r="G42">
        <v>20.399999999999999</v>
      </c>
      <c r="H42">
        <v>18.600000000000001</v>
      </c>
      <c r="I42">
        <v>16.899999999999999</v>
      </c>
      <c r="J42">
        <v>16.100000000000001</v>
      </c>
      <c r="K42">
        <v>16.7</v>
      </c>
      <c r="L42">
        <v>16.3</v>
      </c>
      <c r="M42">
        <v>16.399999999999999</v>
      </c>
      <c r="N42">
        <v>16.5</v>
      </c>
      <c r="O42">
        <v>16.399999999999999</v>
      </c>
      <c r="P42">
        <v>16.399999999999999</v>
      </c>
      <c r="Q42">
        <v>16.100000000000001</v>
      </c>
      <c r="R42">
        <v>12.8</v>
      </c>
      <c r="S42">
        <v>12.2</v>
      </c>
      <c r="T42">
        <v>12.4</v>
      </c>
      <c r="U42">
        <v>11</v>
      </c>
      <c r="V42">
        <v>11.5</v>
      </c>
      <c r="W42">
        <v>10.6</v>
      </c>
      <c r="Z42">
        <v>279.80000000000007</v>
      </c>
    </row>
    <row r="43" spans="1:26" x14ac:dyDescent="0.25">
      <c r="A43" t="s">
        <v>29</v>
      </c>
      <c r="E43">
        <v>16.600000000000001</v>
      </c>
      <c r="F43">
        <v>15.1</v>
      </c>
      <c r="G43">
        <v>13.9</v>
      </c>
      <c r="H43">
        <v>14.2</v>
      </c>
      <c r="I43">
        <v>15.7</v>
      </c>
      <c r="J43">
        <v>14.9</v>
      </c>
      <c r="K43">
        <v>14.6</v>
      </c>
      <c r="L43">
        <v>14.1</v>
      </c>
      <c r="M43">
        <v>14.4</v>
      </c>
      <c r="N43">
        <v>16.100000000000001</v>
      </c>
      <c r="O43">
        <v>17.3</v>
      </c>
      <c r="P43">
        <v>16.399999999999999</v>
      </c>
      <c r="Q43">
        <v>15.7</v>
      </c>
      <c r="R43">
        <v>14.5</v>
      </c>
      <c r="S43">
        <v>13.6</v>
      </c>
      <c r="T43">
        <v>13.5</v>
      </c>
      <c r="U43">
        <v>13</v>
      </c>
      <c r="V43">
        <v>14.1</v>
      </c>
      <c r="W43">
        <v>12.8</v>
      </c>
      <c r="Z43">
        <v>280.5</v>
      </c>
    </row>
    <row r="44" spans="1:26" x14ac:dyDescent="0.25">
      <c r="A44" t="s">
        <v>31</v>
      </c>
      <c r="H44">
        <v>29</v>
      </c>
      <c r="I44">
        <v>26.3</v>
      </c>
      <c r="J44">
        <v>23.7</v>
      </c>
      <c r="K44">
        <v>23.9</v>
      </c>
      <c r="L44">
        <v>24.8</v>
      </c>
      <c r="M44">
        <v>26.4</v>
      </c>
      <c r="N44">
        <v>26.8</v>
      </c>
      <c r="O44">
        <v>27.5</v>
      </c>
      <c r="P44">
        <v>27.2</v>
      </c>
      <c r="Q44">
        <v>25.8</v>
      </c>
      <c r="R44">
        <v>24.5</v>
      </c>
      <c r="S44">
        <v>24.1</v>
      </c>
      <c r="T44">
        <v>21.3</v>
      </c>
      <c r="U44">
        <v>22.2</v>
      </c>
      <c r="V44">
        <v>21.5</v>
      </c>
      <c r="W44">
        <v>20.100000000000001</v>
      </c>
      <c r="Z44">
        <v>395.1</v>
      </c>
    </row>
    <row r="45" spans="1:26" x14ac:dyDescent="0.25">
      <c r="A45" t="s">
        <v>33</v>
      </c>
      <c r="P45">
        <v>18.2</v>
      </c>
      <c r="Q45">
        <v>18.8</v>
      </c>
      <c r="R45">
        <v>18.5</v>
      </c>
      <c r="S45">
        <v>17.600000000000001</v>
      </c>
      <c r="T45">
        <v>17.100000000000001</v>
      </c>
      <c r="U45">
        <v>17</v>
      </c>
      <c r="V45">
        <v>14.5</v>
      </c>
      <c r="W45">
        <v>15.9</v>
      </c>
      <c r="Z45">
        <v>137.6</v>
      </c>
    </row>
    <row r="46" spans="1:26" x14ac:dyDescent="0.25">
      <c r="A46" t="s">
        <v>24</v>
      </c>
      <c r="F46">
        <v>14.8</v>
      </c>
      <c r="G46">
        <v>12.7</v>
      </c>
      <c r="H46">
        <v>11</v>
      </c>
      <c r="I46">
        <v>10.6</v>
      </c>
      <c r="J46">
        <v>10.7</v>
      </c>
      <c r="K46">
        <v>12.2</v>
      </c>
      <c r="L46">
        <v>12.4</v>
      </c>
      <c r="M46">
        <v>12.6</v>
      </c>
      <c r="N46">
        <v>12.8</v>
      </c>
      <c r="O46">
        <v>13.6</v>
      </c>
      <c r="P46">
        <v>13.1</v>
      </c>
      <c r="Q46">
        <v>13.1</v>
      </c>
      <c r="R46">
        <v>12.1</v>
      </c>
      <c r="S46">
        <v>11.3</v>
      </c>
      <c r="T46">
        <v>11.6</v>
      </c>
      <c r="U46">
        <v>10.6</v>
      </c>
      <c r="V46">
        <v>12.4</v>
      </c>
      <c r="W46">
        <v>11.5</v>
      </c>
      <c r="Z46">
        <v>219.1</v>
      </c>
    </row>
    <row r="47" spans="1:26" x14ac:dyDescent="0.25">
      <c r="A47" t="s">
        <v>25</v>
      </c>
      <c r="F47">
        <v>8</v>
      </c>
      <c r="G47">
        <v>7.8</v>
      </c>
      <c r="H47">
        <v>7.8</v>
      </c>
      <c r="I47">
        <v>7.4</v>
      </c>
      <c r="J47">
        <v>6.9</v>
      </c>
      <c r="K47">
        <v>7.9</v>
      </c>
      <c r="L47">
        <v>9.1</v>
      </c>
      <c r="M47">
        <v>8.8000000000000007</v>
      </c>
      <c r="N47">
        <v>9.6</v>
      </c>
      <c r="O47">
        <v>10.1</v>
      </c>
      <c r="P47">
        <v>9.4</v>
      </c>
      <c r="Q47">
        <v>9.5</v>
      </c>
      <c r="R47">
        <v>8.8000000000000007</v>
      </c>
      <c r="S47">
        <v>7.8</v>
      </c>
      <c r="T47">
        <v>6.8</v>
      </c>
      <c r="U47">
        <v>6.9</v>
      </c>
      <c r="V47">
        <v>7</v>
      </c>
      <c r="W47">
        <v>6.7</v>
      </c>
      <c r="Z47">
        <v>146.29999999999998</v>
      </c>
    </row>
    <row r="48" spans="1:26" x14ac:dyDescent="0.25">
      <c r="A48" t="s">
        <v>21</v>
      </c>
      <c r="B48">
        <v>15.2</v>
      </c>
      <c r="E48">
        <v>15.6</v>
      </c>
      <c r="F48">
        <v>15.4</v>
      </c>
      <c r="G48">
        <v>15.3</v>
      </c>
      <c r="H48">
        <v>16</v>
      </c>
      <c r="I48">
        <v>15.6</v>
      </c>
      <c r="J48">
        <v>16.5</v>
      </c>
      <c r="K48">
        <v>16.899999999999999</v>
      </c>
      <c r="L48">
        <v>16.8</v>
      </c>
      <c r="M48">
        <v>17.7</v>
      </c>
      <c r="N48">
        <v>18</v>
      </c>
      <c r="O48">
        <v>19.899999999999999</v>
      </c>
      <c r="P48">
        <v>19.5</v>
      </c>
      <c r="Q48">
        <v>19</v>
      </c>
      <c r="R48">
        <v>18.7</v>
      </c>
      <c r="S48">
        <v>17.899999999999999</v>
      </c>
      <c r="T48">
        <v>17.5</v>
      </c>
      <c r="U48">
        <v>17.5</v>
      </c>
      <c r="V48">
        <v>17.899999999999999</v>
      </c>
      <c r="W48">
        <v>16.899999999999999</v>
      </c>
      <c r="Z48">
        <v>343.79999999999995</v>
      </c>
    </row>
    <row r="49" spans="1:26" x14ac:dyDescent="0.25">
      <c r="A49" t="s">
        <v>20</v>
      </c>
      <c r="B49">
        <v>7.2</v>
      </c>
      <c r="C49">
        <v>7</v>
      </c>
      <c r="D49">
        <v>7.5</v>
      </c>
      <c r="E49">
        <v>8.9</v>
      </c>
      <c r="F49">
        <v>8.1</v>
      </c>
      <c r="G49">
        <v>9.8000000000000007</v>
      </c>
      <c r="H49">
        <v>8.8000000000000007</v>
      </c>
      <c r="I49">
        <v>9.1999999999999993</v>
      </c>
      <c r="J49">
        <v>10</v>
      </c>
      <c r="K49">
        <v>10.4</v>
      </c>
      <c r="L49">
        <v>10</v>
      </c>
      <c r="M49">
        <v>10.5</v>
      </c>
      <c r="N49">
        <v>10.8</v>
      </c>
      <c r="O49">
        <v>11.5</v>
      </c>
      <c r="P49">
        <v>10.5</v>
      </c>
      <c r="Q49">
        <v>10.9</v>
      </c>
      <c r="R49">
        <v>11.5</v>
      </c>
      <c r="S49">
        <v>11</v>
      </c>
      <c r="T49">
        <v>11.7</v>
      </c>
      <c r="U49">
        <v>11.4</v>
      </c>
      <c r="V49">
        <v>11</v>
      </c>
      <c r="W49">
        <v>12.1</v>
      </c>
      <c r="Z49">
        <v>219.79999999999998</v>
      </c>
    </row>
    <row r="50" spans="1:26" x14ac:dyDescent="0.25">
      <c r="A50" t="s">
        <v>22</v>
      </c>
      <c r="B50">
        <v>10.5</v>
      </c>
      <c r="D50">
        <v>11</v>
      </c>
      <c r="F50">
        <v>10</v>
      </c>
      <c r="H50">
        <v>12.7</v>
      </c>
      <c r="I50">
        <v>12.9</v>
      </c>
      <c r="J50">
        <v>12.6</v>
      </c>
      <c r="K50">
        <v>11.3</v>
      </c>
      <c r="L50">
        <v>12</v>
      </c>
      <c r="M50">
        <v>11.6</v>
      </c>
      <c r="N50">
        <v>10.6</v>
      </c>
      <c r="O50">
        <v>11.4</v>
      </c>
      <c r="P50">
        <v>11.6</v>
      </c>
      <c r="Q50">
        <v>12.2</v>
      </c>
      <c r="R50">
        <v>12.2</v>
      </c>
      <c r="S50">
        <v>11.9</v>
      </c>
      <c r="T50">
        <v>12.5</v>
      </c>
      <c r="U50">
        <v>12.1</v>
      </c>
      <c r="V50">
        <v>11.7</v>
      </c>
      <c r="Z50">
        <v>210.79999999999995</v>
      </c>
    </row>
    <row r="51" spans="1:26" x14ac:dyDescent="0.25">
      <c r="A51" t="s">
        <v>18</v>
      </c>
      <c r="B51">
        <v>29.5</v>
      </c>
      <c r="D51">
        <v>27.2</v>
      </c>
      <c r="F51">
        <v>26.2</v>
      </c>
      <c r="H51">
        <v>25.4</v>
      </c>
      <c r="I51">
        <v>24</v>
      </c>
      <c r="J51">
        <v>24.1</v>
      </c>
      <c r="K51">
        <v>23.5</v>
      </c>
      <c r="L51">
        <v>21.8</v>
      </c>
      <c r="M51">
        <v>19.3</v>
      </c>
      <c r="N51">
        <v>21.5</v>
      </c>
      <c r="O51">
        <v>19.7</v>
      </c>
      <c r="P51">
        <v>19.5</v>
      </c>
      <c r="Q51">
        <v>18</v>
      </c>
      <c r="R51">
        <v>18.600000000000001</v>
      </c>
      <c r="S51">
        <v>18.7</v>
      </c>
      <c r="T51">
        <v>18.899999999999999</v>
      </c>
      <c r="U51">
        <v>16.899999999999999</v>
      </c>
      <c r="V51">
        <v>18</v>
      </c>
      <c r="W51">
        <v>17.100000000000001</v>
      </c>
      <c r="Z51">
        <v>407.90000000000003</v>
      </c>
    </row>
    <row r="52" spans="1:26" x14ac:dyDescent="0.25">
      <c r="A52" t="s">
        <v>19</v>
      </c>
      <c r="S52">
        <v>22.1</v>
      </c>
      <c r="T52">
        <v>21.7</v>
      </c>
      <c r="U52">
        <v>22.1</v>
      </c>
      <c r="V52">
        <v>21.7</v>
      </c>
      <c r="W52">
        <v>22.1</v>
      </c>
      <c r="Z52">
        <v>109.70000000000002</v>
      </c>
    </row>
    <row r="53" spans="1:26" x14ac:dyDescent="0.25">
      <c r="A53" t="s">
        <v>14</v>
      </c>
      <c r="B53">
        <v>14.5</v>
      </c>
      <c r="C53">
        <v>14.5</v>
      </c>
      <c r="D53">
        <v>13.7</v>
      </c>
      <c r="E53">
        <v>14</v>
      </c>
      <c r="F53">
        <v>13.7</v>
      </c>
      <c r="G53">
        <v>14.5</v>
      </c>
      <c r="H53">
        <v>14.2</v>
      </c>
      <c r="I53">
        <v>14.5</v>
      </c>
      <c r="J53">
        <v>14.7</v>
      </c>
      <c r="K53">
        <v>14</v>
      </c>
      <c r="L53">
        <v>13.2</v>
      </c>
      <c r="M53">
        <v>13.5</v>
      </c>
      <c r="N53">
        <v>13.2</v>
      </c>
      <c r="O53">
        <v>13.2</v>
      </c>
      <c r="P53">
        <v>13.7</v>
      </c>
      <c r="Q53">
        <v>14</v>
      </c>
      <c r="R53">
        <v>14</v>
      </c>
      <c r="S53">
        <v>14.2</v>
      </c>
      <c r="T53">
        <v>14.5</v>
      </c>
      <c r="U53">
        <v>14.5</v>
      </c>
      <c r="V53">
        <v>13.2</v>
      </c>
      <c r="W53">
        <v>13.2</v>
      </c>
      <c r="Z53">
        <v>306.69999999999993</v>
      </c>
    </row>
    <row r="54" spans="1:26" x14ac:dyDescent="0.25">
      <c r="A54" t="s">
        <v>15</v>
      </c>
      <c r="B54">
        <v>18.7</v>
      </c>
      <c r="C54">
        <v>19</v>
      </c>
      <c r="D54">
        <v>19.5</v>
      </c>
      <c r="E54">
        <v>19.5</v>
      </c>
      <c r="F54">
        <v>19.2</v>
      </c>
      <c r="G54">
        <v>19.2</v>
      </c>
      <c r="H54">
        <v>19.2</v>
      </c>
      <c r="I54">
        <v>19.7</v>
      </c>
      <c r="J54">
        <v>19.7</v>
      </c>
      <c r="K54">
        <v>19</v>
      </c>
      <c r="L54">
        <v>19.2</v>
      </c>
      <c r="M54">
        <v>19.5</v>
      </c>
      <c r="N54">
        <v>19.7</v>
      </c>
      <c r="O54">
        <v>19.5</v>
      </c>
      <c r="P54">
        <v>18.7</v>
      </c>
      <c r="Q54">
        <v>18.7</v>
      </c>
      <c r="R54">
        <v>19.2</v>
      </c>
      <c r="S54">
        <v>19.7</v>
      </c>
      <c r="T54">
        <v>19.5</v>
      </c>
      <c r="U54">
        <v>19.5</v>
      </c>
      <c r="V54">
        <v>18.2</v>
      </c>
      <c r="W54">
        <v>16.7</v>
      </c>
      <c r="X54">
        <v>19.2</v>
      </c>
      <c r="Z54">
        <v>439.99999999999989</v>
      </c>
    </row>
    <row r="55" spans="1:26" x14ac:dyDescent="0.25">
      <c r="A55" t="s">
        <v>9</v>
      </c>
      <c r="B55">
        <v>24.1</v>
      </c>
      <c r="C55">
        <v>24.2</v>
      </c>
      <c r="D55">
        <v>25.8</v>
      </c>
      <c r="E55">
        <v>26.3</v>
      </c>
      <c r="F55">
        <v>27</v>
      </c>
      <c r="G55">
        <v>26.2</v>
      </c>
      <c r="H55">
        <v>26</v>
      </c>
      <c r="I55">
        <v>25.5</v>
      </c>
      <c r="J55">
        <v>24.2</v>
      </c>
      <c r="K55">
        <v>24.4</v>
      </c>
      <c r="L55">
        <v>23.9</v>
      </c>
      <c r="M55">
        <v>22.6</v>
      </c>
      <c r="N55">
        <v>21.8</v>
      </c>
      <c r="O55">
        <v>21.9</v>
      </c>
      <c r="P55">
        <v>21.3</v>
      </c>
      <c r="Q55">
        <v>21.7</v>
      </c>
      <c r="R55">
        <v>21.1</v>
      </c>
      <c r="S55">
        <v>20.5</v>
      </c>
      <c r="T55">
        <v>20.6</v>
      </c>
      <c r="U55">
        <v>21</v>
      </c>
      <c r="V55">
        <v>22</v>
      </c>
      <c r="W55">
        <v>21.6</v>
      </c>
      <c r="X55">
        <v>21.7</v>
      </c>
      <c r="Z55">
        <v>535.40000000000009</v>
      </c>
    </row>
    <row r="56" spans="1:26" x14ac:dyDescent="0.25">
      <c r="A56" t="s">
        <v>16</v>
      </c>
      <c r="C56">
        <v>31.6</v>
      </c>
      <c r="D56">
        <v>34.700000000000003</v>
      </c>
      <c r="E56">
        <v>36.700000000000003</v>
      </c>
      <c r="F56">
        <v>34.5</v>
      </c>
      <c r="G56">
        <v>32.700000000000003</v>
      </c>
      <c r="H56">
        <v>28.4</v>
      </c>
      <c r="Z56">
        <v>198.6</v>
      </c>
    </row>
    <row r="57" spans="1:26" x14ac:dyDescent="0.25">
      <c r="A57" t="s">
        <v>17</v>
      </c>
      <c r="D57">
        <v>42.8</v>
      </c>
      <c r="F57">
        <v>37.700000000000003</v>
      </c>
      <c r="H57">
        <v>34.4</v>
      </c>
      <c r="J57">
        <v>32.5</v>
      </c>
      <c r="L57">
        <v>24.8</v>
      </c>
      <c r="N57">
        <v>24</v>
      </c>
      <c r="P57">
        <v>22.6</v>
      </c>
      <c r="R57">
        <v>21.4</v>
      </c>
      <c r="T57">
        <v>20.7</v>
      </c>
      <c r="V57">
        <v>20.2</v>
      </c>
      <c r="X57">
        <v>19.899999999999999</v>
      </c>
      <c r="Z57">
        <v>301</v>
      </c>
    </row>
    <row r="58" spans="1:26" x14ac:dyDescent="0.25">
      <c r="A58" t="s">
        <v>72</v>
      </c>
      <c r="B58">
        <v>570.69999999999993</v>
      </c>
      <c r="C58">
        <v>395.2</v>
      </c>
      <c r="D58">
        <v>573.39999999999986</v>
      </c>
      <c r="E58">
        <v>659.69999999999993</v>
      </c>
      <c r="F58">
        <v>809.00000000000034</v>
      </c>
      <c r="G58">
        <v>704</v>
      </c>
      <c r="H58">
        <v>836.5</v>
      </c>
      <c r="I58">
        <v>628.00000000000011</v>
      </c>
      <c r="J58">
        <v>826.9000000000002</v>
      </c>
      <c r="K58">
        <v>784.19999999999993</v>
      </c>
      <c r="L58">
        <v>773.09999999999991</v>
      </c>
      <c r="M58">
        <v>795.9</v>
      </c>
      <c r="N58">
        <v>812.9</v>
      </c>
      <c r="O58">
        <v>760.5</v>
      </c>
      <c r="P58">
        <v>788.10000000000014</v>
      </c>
      <c r="Q58">
        <v>790.60000000000025</v>
      </c>
      <c r="R58">
        <v>808.00000000000011</v>
      </c>
      <c r="S58">
        <v>771.50000000000011</v>
      </c>
      <c r="T58">
        <v>832.7</v>
      </c>
      <c r="U58">
        <v>721.3</v>
      </c>
      <c r="V58">
        <v>764.00000000000023</v>
      </c>
      <c r="W58">
        <v>702.70000000000016</v>
      </c>
      <c r="X58">
        <v>281.59999999999997</v>
      </c>
      <c r="Y58">
        <v>74.400000000000006</v>
      </c>
      <c r="Z58">
        <v>16464.899999999994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AC5FF-7E26-4A63-9C4A-2245A2525BB6}">
  <dimension ref="A1:Z19"/>
  <sheetViews>
    <sheetView workbookViewId="0">
      <selection activeCell="A15" sqref="A15"/>
    </sheetView>
  </sheetViews>
  <sheetFormatPr baseColWidth="10" defaultRowHeight="15" x14ac:dyDescent="0.25"/>
  <cols>
    <col min="1" max="1" width="17.5703125" bestFit="1" customWidth="1"/>
    <col min="2" max="2" width="28.85546875" bestFit="1" customWidth="1"/>
    <col min="3" max="25" width="12" bestFit="1" customWidth="1"/>
    <col min="26" max="26" width="12.5703125" bestFit="1" customWidth="1"/>
  </cols>
  <sheetData>
    <row r="1" spans="1:26" x14ac:dyDescent="0.25">
      <c r="A1" s="1" t="s">
        <v>8</v>
      </c>
      <c r="B1" t="s">
        <v>0</v>
      </c>
    </row>
    <row r="3" spans="1:26" x14ac:dyDescent="0.25">
      <c r="A3" t="s">
        <v>74</v>
      </c>
      <c r="B3" t="s">
        <v>73</v>
      </c>
    </row>
    <row r="4" spans="1:26" x14ac:dyDescent="0.25">
      <c r="A4" t="s">
        <v>71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 t="s">
        <v>72</v>
      </c>
    </row>
    <row r="5" spans="1:26" x14ac:dyDescent="0.25">
      <c r="A5" t="s">
        <v>68</v>
      </c>
      <c r="B5">
        <v>8.9821621461137404</v>
      </c>
      <c r="C5">
        <v>6.9297759225192603</v>
      </c>
      <c r="D5">
        <v>5.7422265453410803</v>
      </c>
      <c r="E5">
        <v>11.7076235634893</v>
      </c>
      <c r="F5">
        <v>8.8154839246765402</v>
      </c>
      <c r="G5">
        <v>5.7335288286058201</v>
      </c>
      <c r="H5">
        <v>8.4367144633639892</v>
      </c>
      <c r="I5">
        <v>3.14675402144614</v>
      </c>
      <c r="J5">
        <v>2.72066590752662</v>
      </c>
      <c r="K5">
        <v>4.5833805766896303</v>
      </c>
      <c r="L5">
        <v>3.8219087238298601</v>
      </c>
      <c r="M5">
        <v>3.06570705251234</v>
      </c>
      <c r="N5">
        <v>2.54872999929378</v>
      </c>
      <c r="O5">
        <v>2.91981561846096</v>
      </c>
      <c r="P5">
        <v>3.3020168129255398</v>
      </c>
      <c r="Q5">
        <v>3.06754860680855</v>
      </c>
      <c r="R5">
        <v>4.8837633198361603</v>
      </c>
      <c r="S5">
        <v>6.4485208236815597</v>
      </c>
      <c r="T5">
        <v>8.4968103470229792</v>
      </c>
      <c r="U5">
        <v>10.2506978527451</v>
      </c>
      <c r="V5">
        <v>7.8357200884380296</v>
      </c>
      <c r="W5">
        <v>5.8639294060435603</v>
      </c>
      <c r="X5">
        <v>5.7187768309624003</v>
      </c>
      <c r="Y5">
        <v>7.2444103571394702</v>
      </c>
      <c r="Z5">
        <v>142.26667173947243</v>
      </c>
    </row>
    <row r="6" spans="1:26" x14ac:dyDescent="0.25">
      <c r="A6" t="s">
        <v>62</v>
      </c>
      <c r="B6">
        <v>9.2034609427643002</v>
      </c>
      <c r="C6">
        <v>9.2414291717013608</v>
      </c>
      <c r="D6">
        <v>10.563703096275001</v>
      </c>
      <c r="E6">
        <v>10.7953183605738</v>
      </c>
      <c r="F6">
        <v>8.27758263384173</v>
      </c>
      <c r="G6">
        <v>7.2651300084403703</v>
      </c>
      <c r="H6">
        <v>5.7640189516297902</v>
      </c>
      <c r="I6">
        <v>4.0227778523954498</v>
      </c>
      <c r="J6">
        <v>3.4180139199766399</v>
      </c>
      <c r="K6">
        <v>2.7315128640960502</v>
      </c>
      <c r="L6">
        <v>2.1433865678176902</v>
      </c>
      <c r="M6">
        <v>2.31745073016359</v>
      </c>
      <c r="N6">
        <v>1.8945685469679201</v>
      </c>
      <c r="O6">
        <v>3.3633691738423099</v>
      </c>
      <c r="P6">
        <v>2.5826995145862699</v>
      </c>
      <c r="Q6">
        <v>5.0808911663495602</v>
      </c>
      <c r="R6">
        <v>6.68499817556342</v>
      </c>
      <c r="S6">
        <v>4.7129343626713904</v>
      </c>
      <c r="T6">
        <v>5.1258435791049504</v>
      </c>
      <c r="U6">
        <v>8.3286843061508602</v>
      </c>
      <c r="V6">
        <v>8.9990111886950306</v>
      </c>
      <c r="W6">
        <v>10.0045299704736</v>
      </c>
      <c r="X6">
        <v>6.6285512445580697</v>
      </c>
      <c r="Y6">
        <v>10.7411630643207</v>
      </c>
      <c r="Z6">
        <v>149.89102939295987</v>
      </c>
    </row>
    <row r="7" spans="1:26" x14ac:dyDescent="0.25">
      <c r="A7" t="s">
        <v>65</v>
      </c>
      <c r="B7">
        <v>2.22367176548088</v>
      </c>
      <c r="C7">
        <v>1.8935666616742299</v>
      </c>
      <c r="D7">
        <v>2.1360030059019302</v>
      </c>
      <c r="E7">
        <v>2.2738256625458502</v>
      </c>
      <c r="F7">
        <v>1.19482701238616</v>
      </c>
      <c r="G7">
        <v>1.21172086043011</v>
      </c>
      <c r="H7">
        <v>1.00291081957646</v>
      </c>
      <c r="I7">
        <v>0.89609511939540898</v>
      </c>
      <c r="J7">
        <v>0.72129026860490097</v>
      </c>
      <c r="K7">
        <v>0.783489954477671</v>
      </c>
      <c r="L7">
        <v>0.85961091887873997</v>
      </c>
      <c r="M7">
        <v>0.83942813130370997</v>
      </c>
      <c r="N7">
        <v>0.848723027911085</v>
      </c>
      <c r="O7">
        <v>0.81321177365103103</v>
      </c>
      <c r="P7">
        <v>0.77797346668882394</v>
      </c>
      <c r="Q7">
        <v>1.1507665791620101</v>
      </c>
      <c r="R7">
        <v>1.50077197062384</v>
      </c>
      <c r="S7">
        <v>1.6779926295073699</v>
      </c>
      <c r="T7">
        <v>1.7416563263413101</v>
      </c>
      <c r="U7">
        <v>1.9367222720172299</v>
      </c>
      <c r="V7">
        <v>1.88336622365327</v>
      </c>
      <c r="W7">
        <v>1.9060354855341</v>
      </c>
      <c r="X7">
        <v>2.41810739984229</v>
      </c>
      <c r="Y7">
        <v>2.1846319831770198</v>
      </c>
      <c r="Z7">
        <v>34.876399318765429</v>
      </c>
    </row>
    <row r="8" spans="1:26" x14ac:dyDescent="0.25">
      <c r="A8" t="s">
        <v>60</v>
      </c>
      <c r="B8">
        <v>5.2665422843199003</v>
      </c>
      <c r="C8">
        <v>6.6169312402324598</v>
      </c>
      <c r="D8">
        <v>7.1863500001219096</v>
      </c>
      <c r="E8">
        <v>9.4400460947003104</v>
      </c>
      <c r="F8">
        <v>6.8191044914813501</v>
      </c>
      <c r="G8">
        <v>7.2351261510531897</v>
      </c>
      <c r="H8">
        <v>6.3291995039833804</v>
      </c>
      <c r="I8">
        <v>4.3011233910954196</v>
      </c>
      <c r="J8">
        <v>3.4037873711227502</v>
      </c>
      <c r="K8">
        <v>3.9140807656903198</v>
      </c>
      <c r="L8">
        <v>3.5365038067462402</v>
      </c>
      <c r="M8">
        <v>3.1965088890655098</v>
      </c>
      <c r="N8">
        <v>4.3140849610055998</v>
      </c>
      <c r="O8">
        <v>2.7313746010735902</v>
      </c>
      <c r="P8">
        <v>4.0800578028374099</v>
      </c>
      <c r="Q8">
        <v>4.9150149867491697</v>
      </c>
      <c r="R8">
        <v>5.6615306107821004</v>
      </c>
      <c r="S8">
        <v>7.3245132472612502</v>
      </c>
      <c r="T8">
        <v>7.4940110949448799</v>
      </c>
      <c r="U8">
        <v>6.0806913988548201</v>
      </c>
      <c r="V8">
        <v>8.1046502438610108</v>
      </c>
      <c r="W8">
        <v>8.0891355880562408</v>
      </c>
      <c r="X8">
        <v>8.0517096696789103</v>
      </c>
      <c r="Y8">
        <v>7.9390879521555497</v>
      </c>
      <c r="Z8">
        <v>142.03116614687329</v>
      </c>
    </row>
    <row r="9" spans="1:26" x14ac:dyDescent="0.25">
      <c r="A9" t="s">
        <v>61</v>
      </c>
      <c r="B9">
        <v>4.5485251154043098</v>
      </c>
      <c r="C9">
        <v>4.5723351942897699</v>
      </c>
      <c r="D9">
        <v>4.26070220153336</v>
      </c>
      <c r="E9">
        <v>5.01540141460067</v>
      </c>
      <c r="F9">
        <v>5.0907954434727802</v>
      </c>
      <c r="G9">
        <v>4.3419257756900498</v>
      </c>
      <c r="H9">
        <v>3.55723811310803</v>
      </c>
      <c r="I9">
        <v>3.4386526246704601</v>
      </c>
      <c r="J9">
        <v>5.2036597288513997</v>
      </c>
      <c r="K9">
        <v>4.2170225323858501</v>
      </c>
      <c r="L9">
        <v>2.7364149878582098</v>
      </c>
      <c r="M9">
        <v>3.9302903449211599</v>
      </c>
      <c r="N9">
        <v>5.0002864949142802</v>
      </c>
      <c r="O9">
        <v>6.6964882626703996</v>
      </c>
      <c r="P9">
        <v>6.9469907432637603</v>
      </c>
      <c r="Q9">
        <v>5.1219226873389401</v>
      </c>
      <c r="R9">
        <v>5.0199188521554001</v>
      </c>
      <c r="S9">
        <v>5.1588518608538001</v>
      </c>
      <c r="T9">
        <v>5.7850592420256604</v>
      </c>
      <c r="U9">
        <v>5.1918214336317101</v>
      </c>
      <c r="V9">
        <v>5.6486176216464896</v>
      </c>
      <c r="W9">
        <v>4.6013708400327697</v>
      </c>
      <c r="X9">
        <v>4.0426547949153697</v>
      </c>
      <c r="Y9">
        <v>6.3108352637974097</v>
      </c>
      <c r="Z9">
        <v>116.43778157403204</v>
      </c>
    </row>
    <row r="10" spans="1:26" x14ac:dyDescent="0.25">
      <c r="A10" t="s">
        <v>49</v>
      </c>
      <c r="B10">
        <v>19.454226291443799</v>
      </c>
      <c r="C10">
        <v>10.2524835389294</v>
      </c>
      <c r="D10">
        <v>10.2578178264479</v>
      </c>
      <c r="E10">
        <v>8.4930538886700209</v>
      </c>
      <c r="F10">
        <v>11.9715401605882</v>
      </c>
      <c r="G10">
        <v>11.274194505595201</v>
      </c>
      <c r="H10">
        <v>10.1529392684334</v>
      </c>
      <c r="I10">
        <v>8.1903037728480506</v>
      </c>
      <c r="J10">
        <v>4.2246056815941202</v>
      </c>
      <c r="K10">
        <v>13.4222296801852</v>
      </c>
      <c r="L10">
        <v>2.6015763052454099</v>
      </c>
      <c r="M10">
        <v>3.09318816239858</v>
      </c>
      <c r="N10">
        <v>3.0534040903683999</v>
      </c>
      <c r="O10">
        <v>3.3020882835708898</v>
      </c>
      <c r="P10">
        <v>3.9743705863684999</v>
      </c>
      <c r="Q10">
        <v>5.3393288868890396</v>
      </c>
      <c r="R10">
        <v>5.6178324422222499</v>
      </c>
      <c r="S10">
        <v>6.4817130206343201</v>
      </c>
      <c r="T10">
        <v>8.7420090383512203</v>
      </c>
      <c r="U10">
        <v>8.9806913118757894</v>
      </c>
      <c r="V10">
        <v>10.0473425593438</v>
      </c>
      <c r="W10">
        <v>6.2415066870304203</v>
      </c>
      <c r="X10">
        <v>4.6460899212442603</v>
      </c>
      <c r="Y10">
        <v>5.72547326368068</v>
      </c>
      <c r="Z10">
        <v>185.54000917395882</v>
      </c>
    </row>
    <row r="11" spans="1:26" x14ac:dyDescent="0.25">
      <c r="A11" t="s">
        <v>39</v>
      </c>
      <c r="B11">
        <v>2.3019324720885201</v>
      </c>
      <c r="C11">
        <v>2.4458432131482599</v>
      </c>
      <c r="D11">
        <v>3.01941298183046</v>
      </c>
      <c r="E11">
        <v>4.2709713523116601</v>
      </c>
      <c r="F11">
        <v>2.48636111923734</v>
      </c>
      <c r="G11">
        <v>2.9371213896356299</v>
      </c>
      <c r="H11">
        <v>1.8652639640186199</v>
      </c>
      <c r="I11">
        <v>3.2520670358772099</v>
      </c>
      <c r="J11">
        <v>2.59909766161628</v>
      </c>
      <c r="K11">
        <v>1.23889459625915</v>
      </c>
      <c r="L11">
        <v>1.4727148511311301</v>
      </c>
      <c r="M11">
        <v>1.62038919564452</v>
      </c>
      <c r="N11">
        <v>1.6867450653962599</v>
      </c>
      <c r="O11">
        <v>2.1129931560417199</v>
      </c>
      <c r="P11">
        <v>4.6062417025036799</v>
      </c>
      <c r="Q11">
        <v>2.3885645853745299</v>
      </c>
      <c r="R11">
        <v>3.3934704417914201</v>
      </c>
      <c r="S11">
        <v>1.9530626378767399</v>
      </c>
      <c r="T11">
        <v>2.38022646268921</v>
      </c>
      <c r="U11">
        <v>1.8251749346264701</v>
      </c>
      <c r="V11">
        <v>2.8938509435016</v>
      </c>
      <c r="W11">
        <v>1.66395504956966</v>
      </c>
      <c r="X11">
        <v>1.9865973567916999</v>
      </c>
      <c r="Y11">
        <v>2.3403121012996499</v>
      </c>
      <c r="Z11">
        <v>58.741264270261418</v>
      </c>
    </row>
    <row r="12" spans="1:26" x14ac:dyDescent="0.25">
      <c r="A12" t="s">
        <v>40</v>
      </c>
      <c r="B12">
        <v>10.836639231628901</v>
      </c>
      <c r="C12">
        <v>10.059380459306899</v>
      </c>
      <c r="D12">
        <v>8.9237048352343695</v>
      </c>
      <c r="E12">
        <v>8.2157613941528496</v>
      </c>
      <c r="F12">
        <v>8.3981831307265207</v>
      </c>
      <c r="G12">
        <v>7.4580054756167904</v>
      </c>
      <c r="H12">
        <v>8.1139731098889207</v>
      </c>
      <c r="I12">
        <v>5.7816183623685697</v>
      </c>
      <c r="J12">
        <v>4.4044748554954296</v>
      </c>
      <c r="K12">
        <v>4.7815976585859499</v>
      </c>
      <c r="L12">
        <v>4.2951782700246204</v>
      </c>
      <c r="M12">
        <v>3.5788996819589101</v>
      </c>
      <c r="N12">
        <v>4.1751078994637698</v>
      </c>
      <c r="O12">
        <v>4.6828388485097596</v>
      </c>
      <c r="P12">
        <v>6.9830116074926503</v>
      </c>
      <c r="Q12">
        <v>7.2419018554100498</v>
      </c>
      <c r="R12">
        <v>7.1399648660403203</v>
      </c>
      <c r="S12">
        <v>5.9799485122730998</v>
      </c>
      <c r="T12">
        <v>5.4992288087844496</v>
      </c>
      <c r="U12">
        <v>7.5497992610434803</v>
      </c>
      <c r="V12">
        <v>6.5647296130713899</v>
      </c>
      <c r="W12">
        <v>5.7586350989817499</v>
      </c>
      <c r="X12">
        <v>5.8782459490018404</v>
      </c>
      <c r="Y12">
        <v>4.3740801007425203</v>
      </c>
      <c r="Z12">
        <v>156.67490888580386</v>
      </c>
    </row>
    <row r="13" spans="1:26" x14ac:dyDescent="0.25">
      <c r="A13" t="s">
        <v>35</v>
      </c>
      <c r="B13">
        <v>8.1484379070486792</v>
      </c>
      <c r="C13">
        <v>6.0959808708181997</v>
      </c>
      <c r="D13">
        <v>4.7467737492724096</v>
      </c>
      <c r="E13">
        <v>4.2744272244894601</v>
      </c>
      <c r="F13">
        <v>4.8850195613295799</v>
      </c>
      <c r="G13">
        <v>4.0335994340150698</v>
      </c>
      <c r="H13">
        <v>5.4356817620553599</v>
      </c>
      <c r="I13">
        <v>3.50638561597659</v>
      </c>
      <c r="J13">
        <v>3.5419949125075099</v>
      </c>
      <c r="K13">
        <v>3.5377645709333398</v>
      </c>
      <c r="L13">
        <v>2.9038432054062899</v>
      </c>
      <c r="M13">
        <v>3.42170742057441</v>
      </c>
      <c r="N13">
        <v>5.6632545809301904</v>
      </c>
      <c r="O13">
        <v>3.0504533407342702</v>
      </c>
      <c r="P13">
        <v>3.52879126540163</v>
      </c>
      <c r="Q13">
        <v>4.4647713153099504</v>
      </c>
      <c r="R13">
        <v>7.2490546398122904</v>
      </c>
      <c r="S13">
        <v>5.6430548573238797</v>
      </c>
      <c r="T13">
        <v>4.7941081601844102</v>
      </c>
      <c r="U13">
        <v>5.4577831971439901</v>
      </c>
      <c r="V13">
        <v>6.5998826437517399</v>
      </c>
      <c r="W13">
        <v>6.1798520938943398</v>
      </c>
      <c r="X13">
        <v>3.9349338750881899</v>
      </c>
      <c r="Y13">
        <v>3.1111079670156099</v>
      </c>
      <c r="Z13">
        <v>114.2086641710174</v>
      </c>
    </row>
    <row r="14" spans="1:26" x14ac:dyDescent="0.25">
      <c r="A14" t="s">
        <v>26</v>
      </c>
      <c r="B14">
        <v>5.1100072533273204</v>
      </c>
      <c r="C14">
        <v>4.3110298790366404</v>
      </c>
      <c r="D14">
        <v>6.4347772935045402</v>
      </c>
      <c r="E14">
        <v>4.5757957604293003</v>
      </c>
      <c r="F14">
        <v>4.4064553228048498</v>
      </c>
      <c r="G14">
        <v>8.5159513608349293</v>
      </c>
      <c r="H14">
        <v>4.3850713613830399</v>
      </c>
      <c r="I14">
        <v>9.6098591989247506</v>
      </c>
      <c r="J14">
        <v>4.6884618776706102</v>
      </c>
      <c r="K14">
        <v>3.7680072458492999</v>
      </c>
      <c r="L14">
        <v>4.8983160168379198</v>
      </c>
      <c r="M14">
        <v>2.5244750462122498</v>
      </c>
      <c r="N14">
        <v>3.62502131093725</v>
      </c>
      <c r="O14">
        <v>3.9226395212871501</v>
      </c>
      <c r="P14">
        <v>2.87518627000295</v>
      </c>
      <c r="Q14">
        <v>3.0185770704713799</v>
      </c>
      <c r="R14">
        <v>4.2344695120539697</v>
      </c>
      <c r="S14">
        <v>5.5122432165479998</v>
      </c>
      <c r="T14">
        <v>3.4451298449670502</v>
      </c>
      <c r="U14">
        <v>3.0390217328518401</v>
      </c>
      <c r="V14">
        <v>3.24885711729527</v>
      </c>
      <c r="W14">
        <v>2.4884033982559601</v>
      </c>
      <c r="X14">
        <v>3.2360470360834501</v>
      </c>
      <c r="Y14">
        <v>5.4068445079720604</v>
      </c>
      <c r="Z14">
        <v>107.2806481555418</v>
      </c>
    </row>
    <row r="15" spans="1:26" x14ac:dyDescent="0.25">
      <c r="A15" t="s">
        <v>27</v>
      </c>
      <c r="B15">
        <v>7.7176473432052797</v>
      </c>
      <c r="C15">
        <v>10.830890029792901</v>
      </c>
      <c r="D15">
        <v>11.050223068404099</v>
      </c>
      <c r="E15">
        <v>10.711461182500299</v>
      </c>
      <c r="F15">
        <v>11.0545751857782</v>
      </c>
      <c r="G15">
        <v>8.0808113670732595</v>
      </c>
      <c r="H15">
        <v>9.4821292166833508</v>
      </c>
      <c r="I15">
        <v>4.8814724630045099</v>
      </c>
      <c r="J15">
        <v>5.2329674631107101</v>
      </c>
      <c r="K15">
        <v>4.5794802683432696</v>
      </c>
      <c r="L15">
        <v>4.94531356706237</v>
      </c>
      <c r="M15">
        <v>3.66513383690127</v>
      </c>
      <c r="N15">
        <v>1.9627329286197901</v>
      </c>
      <c r="O15">
        <v>1.8531874894167899</v>
      </c>
      <c r="P15">
        <v>2.2718981868321699</v>
      </c>
      <c r="Q15">
        <v>3.0975898033503801</v>
      </c>
      <c r="R15">
        <v>3.1055448971201001</v>
      </c>
      <c r="S15">
        <v>3.0730499999190499</v>
      </c>
      <c r="T15">
        <v>2.2956061885501802</v>
      </c>
      <c r="U15">
        <v>2.56165579964413</v>
      </c>
      <c r="V15">
        <v>2.38713231044636</v>
      </c>
      <c r="W15">
        <v>2.9784935608998899</v>
      </c>
      <c r="X15">
        <v>2.10621648798252</v>
      </c>
      <c r="Y15">
        <v>2.6757023975798999</v>
      </c>
      <c r="Z15">
        <v>122.60091504222078</v>
      </c>
    </row>
    <row r="16" spans="1:26" x14ac:dyDescent="0.25">
      <c r="A16" t="s">
        <v>18</v>
      </c>
      <c r="B16">
        <v>11.310060403616299</v>
      </c>
      <c r="C16">
        <v>17.372407621520701</v>
      </c>
      <c r="D16">
        <v>15.2238684234222</v>
      </c>
      <c r="E16">
        <v>10.324964750923799</v>
      </c>
      <c r="F16">
        <v>7.7906584480880596</v>
      </c>
      <c r="G16">
        <v>9.9786749268536798</v>
      </c>
      <c r="H16">
        <v>6.8639812095911097</v>
      </c>
      <c r="I16">
        <v>8.6723089993858995</v>
      </c>
      <c r="J16">
        <v>6.1579334251551101</v>
      </c>
      <c r="K16">
        <v>4.6814079978068897</v>
      </c>
      <c r="L16">
        <v>3.3561219798400601</v>
      </c>
      <c r="M16">
        <v>2.9028200239488</v>
      </c>
      <c r="N16">
        <v>4.0654111225494898</v>
      </c>
      <c r="O16">
        <v>3.7671625753445102</v>
      </c>
      <c r="P16">
        <v>7.0247563340720598</v>
      </c>
      <c r="Q16">
        <v>5.1496885953983602</v>
      </c>
      <c r="R16">
        <v>3.7900576369463699</v>
      </c>
      <c r="S16">
        <v>3.66608937485671</v>
      </c>
      <c r="T16">
        <v>4.1914471622798404</v>
      </c>
      <c r="U16">
        <v>6.1511312011908004</v>
      </c>
      <c r="V16">
        <v>4.5861120318678203</v>
      </c>
      <c r="W16">
        <v>3.3352954233927501</v>
      </c>
      <c r="X16">
        <v>5.5962664825256896</v>
      </c>
      <c r="Y16">
        <v>8.2665644428391207</v>
      </c>
      <c r="Z16">
        <v>164.22519059341616</v>
      </c>
    </row>
    <row r="17" spans="1:26" x14ac:dyDescent="0.25">
      <c r="A17" t="s">
        <v>19</v>
      </c>
      <c r="B17">
        <v>7.6547780068060796</v>
      </c>
      <c r="C17">
        <v>11.3526565188349</v>
      </c>
      <c r="D17">
        <v>11.812206659210799</v>
      </c>
      <c r="E17">
        <v>9.1581160219787598</v>
      </c>
      <c r="F17">
        <v>8.1071617785189396</v>
      </c>
      <c r="G17">
        <v>8.2789932721012498</v>
      </c>
      <c r="H17">
        <v>7.4952186157545002</v>
      </c>
      <c r="I17">
        <v>7.35538498215214</v>
      </c>
      <c r="J17">
        <v>7.3516644314947897</v>
      </c>
      <c r="K17">
        <v>9.8372418934093506</v>
      </c>
      <c r="L17">
        <v>7.7790845764079402</v>
      </c>
      <c r="M17">
        <v>7.0463838902111702</v>
      </c>
      <c r="N17">
        <v>6.5991445234578601</v>
      </c>
      <c r="O17">
        <v>6.7872968530757003</v>
      </c>
      <c r="P17">
        <v>6.30751426842503</v>
      </c>
      <c r="Q17">
        <v>6.5313907703929397</v>
      </c>
      <c r="R17">
        <v>8.7989381752194191</v>
      </c>
      <c r="S17">
        <v>10.227287091755599</v>
      </c>
      <c r="T17">
        <v>10.870528931779001</v>
      </c>
      <c r="U17">
        <v>11.478287041037101</v>
      </c>
      <c r="V17">
        <v>12.121373174225001</v>
      </c>
      <c r="W17">
        <v>9.0076089550923406</v>
      </c>
      <c r="X17">
        <v>7.7180796752746703</v>
      </c>
      <c r="Y17">
        <v>6.8967047087775999</v>
      </c>
      <c r="Z17">
        <v>206.5730448153929</v>
      </c>
    </row>
    <row r="18" spans="1:26" x14ac:dyDescent="0.25">
      <c r="A18" t="s">
        <v>17</v>
      </c>
      <c r="B18">
        <v>4.2509672753564001</v>
      </c>
      <c r="C18">
        <v>3.7764669472605501</v>
      </c>
      <c r="D18">
        <v>3.5106342389174299</v>
      </c>
      <c r="E18">
        <v>2.15107817355939</v>
      </c>
      <c r="F18">
        <v>1.83186689834015</v>
      </c>
      <c r="G18">
        <v>1.67515479175783</v>
      </c>
      <c r="H18">
        <v>1.4894064158545799</v>
      </c>
      <c r="I18">
        <v>1.6632572891362001</v>
      </c>
      <c r="J18">
        <v>1.465575121721</v>
      </c>
      <c r="K18">
        <v>1.4695198092398301</v>
      </c>
      <c r="L18">
        <v>1.3208217358716301</v>
      </c>
      <c r="M18">
        <v>2.49531007153643</v>
      </c>
      <c r="N18">
        <v>2.3770615085833602</v>
      </c>
      <c r="O18">
        <v>2.2080682177030502</v>
      </c>
      <c r="P18">
        <v>3.04722794598535</v>
      </c>
      <c r="Q18">
        <v>3.0051166809585799</v>
      </c>
      <c r="R18">
        <v>3.1773840091045402</v>
      </c>
      <c r="S18">
        <v>5.4435643145114003</v>
      </c>
      <c r="T18">
        <v>6.4217116382159896</v>
      </c>
      <c r="U18">
        <v>5.4316838348890997</v>
      </c>
      <c r="V18">
        <v>5.1573915925173601</v>
      </c>
      <c r="W18">
        <v>5.9533957040902301</v>
      </c>
      <c r="X18">
        <v>6.7154790447483599</v>
      </c>
      <c r="Y18">
        <v>7.0293484251383598</v>
      </c>
      <c r="Z18">
        <v>83.067491684997108</v>
      </c>
    </row>
    <row r="19" spans="1:26" x14ac:dyDescent="0.25">
      <c r="A19" t="s">
        <v>72</v>
      </c>
      <c r="B19">
        <v>107.00905843860443</v>
      </c>
      <c r="C19">
        <v>105.75117726906555</v>
      </c>
      <c r="D19">
        <v>104.8684039254175</v>
      </c>
      <c r="E19">
        <v>101.40784484492546</v>
      </c>
      <c r="F19">
        <v>91.129615111270397</v>
      </c>
      <c r="G19">
        <v>88.019938147703186</v>
      </c>
      <c r="H19">
        <v>80.373746775324534</v>
      </c>
      <c r="I19">
        <v>68.718060728676804</v>
      </c>
      <c r="J19">
        <v>55.13419262644787</v>
      </c>
      <c r="K19">
        <v>63.545630413951791</v>
      </c>
      <c r="L19">
        <v>46.670795512958115</v>
      </c>
      <c r="M19">
        <v>43.697692477352646</v>
      </c>
      <c r="N19">
        <v>47.814276060399038</v>
      </c>
      <c r="O19">
        <v>48.210987715382132</v>
      </c>
      <c r="P19">
        <v>58.308736507385824</v>
      </c>
      <c r="Q19">
        <v>59.573073589963442</v>
      </c>
      <c r="R19">
        <v>70.257699549271607</v>
      </c>
      <c r="S19">
        <v>73.302825949674173</v>
      </c>
      <c r="T19">
        <v>77.283376825241135</v>
      </c>
      <c r="U19">
        <v>84.263845577702426</v>
      </c>
      <c r="V19">
        <v>86.078037352314155</v>
      </c>
      <c r="W19">
        <v>74.07214726134761</v>
      </c>
      <c r="X19">
        <v>68.677755768697722</v>
      </c>
      <c r="Y19">
        <v>80.246266535635669</v>
      </c>
      <c r="Z19">
        <v>1784.415184964713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1</vt:i4>
      </vt:variant>
    </vt:vector>
  </HeadingPairs>
  <TitlesOfParts>
    <vt:vector size="14" baseType="lpstr">
      <vt:lpstr>Compulsory education, duration </vt:lpstr>
      <vt:lpstr>Expenditure on tertiary educati</vt:lpstr>
      <vt:lpstr>Gov exp on educa (% of GDP)</vt:lpstr>
      <vt:lpstr>Gov exp on educa (% of gov exp)</vt:lpstr>
      <vt:lpstr>Research and development expend</vt:lpstr>
      <vt:lpstr>GDP growth (annual %)</vt:lpstr>
      <vt:lpstr>GDP per capita growth (annual %</vt:lpstr>
      <vt:lpstr>GDP per capita, PPP (constant 2</vt:lpstr>
      <vt:lpstr>Poverty headc. ratio at $2.15</vt:lpstr>
      <vt:lpstr>Poverty headc. ratio at $3.65</vt:lpstr>
      <vt:lpstr>Poverty headc. ratio at $6.85</vt:lpstr>
      <vt:lpstr>Poverty headcount ratio at soci</vt:lpstr>
      <vt:lpstr>Total debt service (% of GNI)</vt:lpstr>
      <vt:lpstr>Gráfico1</vt:lpstr>
    </vt:vector>
  </TitlesOfParts>
  <Company>Universidad Nacional Autonoma de México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Rafael</cp:lastModifiedBy>
  <cp:lastPrinted>2025-06-03T19:14:06Z</cp:lastPrinted>
  <dcterms:created xsi:type="dcterms:W3CDTF">2025-05-22T20:51:12Z</dcterms:created>
  <dcterms:modified xsi:type="dcterms:W3CDTF">2025-06-04T21:07:21Z</dcterms:modified>
</cp:coreProperties>
</file>