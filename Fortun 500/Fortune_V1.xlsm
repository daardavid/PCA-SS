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essi\OneDrive\Escritorio\escuela\Servicio Social\Python\PCA\Fortun 500\"/>
    </mc:Choice>
  </mc:AlternateContent>
  <xr:revisionPtr revIDLastSave="0" documentId="13_ncr:1_{0EC74FAC-FD02-49E9-96CD-0F87DC5EFFCA}" xr6:coauthVersionLast="47" xr6:coauthVersionMax="47" xr10:uidLastSave="{00000000-0000-0000-0000-000000000000}"/>
  <bookViews>
    <workbookView xWindow="-108" yWindow="-108" windowWidth="23256" windowHeight="13896" activeTab="2" xr2:uid="{00000000-000D-0000-FFFF-FFFF00000000}"/>
  </bookViews>
  <sheets>
    <sheet name="Originales sin dirección" sheetId="1" r:id="rId1"/>
    <sheet name="Hoja1" sheetId="23" r:id="rId2"/>
    <sheet name="Dicc. Empresa-Emisora" sheetId="4" r:id="rId3"/>
    <sheet name="TD" sheetId="3" r:id="rId4"/>
    <sheet name="Hoja3" sheetId="25" r:id="rId5"/>
    <sheet name="Suma de Rotación de activos" sheetId="22" r:id="rId6"/>
    <sheet name="Suma de EMPLEO" sheetId="21" r:id="rId7"/>
    <sheet name="Suma de EPS_CAMBIO%" sheetId="19" r:id="rId8"/>
    <sheet name="Suma de GANANCIAS_POR_ACCIÓN" sheetId="18" r:id="rId9"/>
    <sheet name="Suma de GANANCIAS_%CAPITAL0CONT" sheetId="17" r:id="rId10"/>
    <sheet name="Suma de GANANCIAS_%ACTIVOS" sheetId="16" r:id="rId11"/>
    <sheet name="Suma de GANANCIAS_%VTAS" sheetId="15" r:id="rId12"/>
    <sheet name="Suma de VALOR_MERCADO_MILL" sheetId="13" r:id="rId13"/>
    <sheet name="Suma de ACCIONES_MILL" sheetId="12" r:id="rId14"/>
    <sheet name="Suma de ACTIVOS_MILL" sheetId="10" r:id="rId15"/>
    <sheet name="Suma de GANANCIA_CAMBIO%" sheetId="8" r:id="rId16"/>
    <sheet name="Suma de GANANCIA_MILL" sheetId="7" r:id="rId17"/>
    <sheet name="Suma de Ventas en millones" sheetId="5" r:id="rId18"/>
    <sheet name="Suma de VENTAS_CAMBIO%" sheetId="6" r:id="rId19"/>
  </sheets>
  <calcPr calcId="191029"/>
  <pivotCaches>
    <pivotCache cacheId="0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674" i="1" l="1" a="1"/>
  <c r="AF674" i="1"/>
  <c r="N119" i="21"/>
  <c r="N118" i="21"/>
  <c r="N117" i="21"/>
  <c r="N116" i="21"/>
  <c r="N115" i="21"/>
  <c r="N114" i="21"/>
  <c r="N113" i="21"/>
  <c r="N112" i="21"/>
  <c r="N111" i="21"/>
  <c r="N110" i="21"/>
  <c r="N109" i="21"/>
  <c r="N108" i="21"/>
  <c r="N107" i="21"/>
  <c r="N106" i="21"/>
  <c r="N105" i="21"/>
  <c r="N104" i="21"/>
  <c r="N103" i="21"/>
  <c r="N102" i="21"/>
  <c r="N101" i="21"/>
  <c r="N100" i="21"/>
  <c r="N99" i="21"/>
  <c r="N98" i="21"/>
  <c r="N97" i="21"/>
  <c r="N96" i="21"/>
  <c r="N95" i="21"/>
  <c r="N94" i="21"/>
  <c r="N93" i="21"/>
  <c r="N92" i="21"/>
  <c r="N91" i="21"/>
  <c r="N90" i="21"/>
  <c r="N89" i="21"/>
  <c r="N88" i="21"/>
  <c r="N87" i="21"/>
  <c r="N86" i="21"/>
  <c r="N85" i="21"/>
  <c r="N84" i="21"/>
  <c r="N83" i="21"/>
  <c r="N82" i="21"/>
  <c r="N81" i="21"/>
  <c r="N80" i="21"/>
  <c r="N79" i="21"/>
  <c r="N78" i="21"/>
  <c r="N77" i="21"/>
  <c r="N76" i="21"/>
  <c r="N75" i="21"/>
  <c r="N74" i="21"/>
  <c r="N73" i="21"/>
  <c r="N72" i="21"/>
  <c r="N71" i="21"/>
  <c r="N70" i="21"/>
  <c r="N69" i="21"/>
  <c r="N68" i="21"/>
  <c r="N67" i="21"/>
  <c r="N66" i="21"/>
  <c r="N65" i="21"/>
  <c r="N64" i="21"/>
  <c r="N63" i="21"/>
  <c r="N62" i="21"/>
  <c r="N61" i="21"/>
  <c r="N60" i="21"/>
  <c r="N59" i="21"/>
  <c r="N58" i="21"/>
  <c r="N57" i="21"/>
  <c r="N56" i="21"/>
  <c r="N55" i="21"/>
  <c r="N54" i="21"/>
  <c r="N53" i="21"/>
  <c r="N52" i="21"/>
  <c r="N51" i="21"/>
  <c r="N50" i="21"/>
  <c r="N49" i="21"/>
  <c r="N48" i="21"/>
  <c r="N47" i="21"/>
  <c r="N46" i="21"/>
  <c r="N45" i="21"/>
  <c r="N44" i="21"/>
  <c r="N43" i="21"/>
  <c r="N42" i="21"/>
  <c r="N41" i="21"/>
  <c r="N40" i="21"/>
  <c r="N39" i="21"/>
  <c r="N38" i="21"/>
  <c r="N37" i="21"/>
  <c r="N36" i="21"/>
  <c r="N35" i="21"/>
  <c r="N34" i="21"/>
  <c r="N33" i="21"/>
  <c r="N32" i="21"/>
  <c r="N31" i="21"/>
  <c r="N30" i="21"/>
  <c r="N29" i="21"/>
  <c r="N28" i="21"/>
  <c r="N27" i="21"/>
  <c r="N26" i="21"/>
  <c r="N25" i="21"/>
  <c r="N24" i="21"/>
  <c r="N23" i="21"/>
  <c r="N22" i="21"/>
  <c r="N21" i="21"/>
  <c r="N20" i="21"/>
  <c r="N19" i="21"/>
  <c r="N18" i="21"/>
  <c r="N17" i="21"/>
  <c r="N16" i="21"/>
  <c r="N15" i="21"/>
  <c r="N14" i="21"/>
  <c r="N13" i="21"/>
  <c r="N12" i="21"/>
  <c r="N11" i="21"/>
  <c r="N10" i="21"/>
  <c r="N9" i="21"/>
  <c r="N8" i="21"/>
  <c r="N7" i="21"/>
  <c r="N6" i="21"/>
  <c r="N5" i="21"/>
  <c r="N4" i="21"/>
  <c r="N3" i="21"/>
  <c r="N2" i="21"/>
  <c r="N3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2" i="6"/>
  <c r="N3" i="5"/>
  <c r="N4" i="5"/>
  <c r="N5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2" i="5"/>
  <c r="N3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N114" i="7"/>
  <c r="N115" i="7"/>
  <c r="N116" i="7"/>
  <c r="N117" i="7"/>
  <c r="N118" i="7"/>
  <c r="N119" i="7"/>
  <c r="N2" i="7"/>
  <c r="N3" i="8"/>
  <c r="N4" i="8"/>
  <c r="N5" i="8"/>
  <c r="N6" i="8"/>
  <c r="N7" i="8"/>
  <c r="N8" i="8"/>
  <c r="N9" i="8"/>
  <c r="N10" i="8"/>
  <c r="N11" i="8"/>
  <c r="N12" i="8"/>
  <c r="N13" i="8"/>
  <c r="N14" i="8"/>
  <c r="N15" i="8"/>
  <c r="N16" i="8"/>
  <c r="N17" i="8"/>
  <c r="N18" i="8"/>
  <c r="N19" i="8"/>
  <c r="N20" i="8"/>
  <c r="N21" i="8"/>
  <c r="N22" i="8"/>
  <c r="N23" i="8"/>
  <c r="N24" i="8"/>
  <c r="N25" i="8"/>
  <c r="N26" i="8"/>
  <c r="N27" i="8"/>
  <c r="N28" i="8"/>
  <c r="N29" i="8"/>
  <c r="N30" i="8"/>
  <c r="N31" i="8"/>
  <c r="N32" i="8"/>
  <c r="N33" i="8"/>
  <c r="N34" i="8"/>
  <c r="N35" i="8"/>
  <c r="N36" i="8"/>
  <c r="N37" i="8"/>
  <c r="N38" i="8"/>
  <c r="N39" i="8"/>
  <c r="N40" i="8"/>
  <c r="N41" i="8"/>
  <c r="N42" i="8"/>
  <c r="N43" i="8"/>
  <c r="N44" i="8"/>
  <c r="N45" i="8"/>
  <c r="N46" i="8"/>
  <c r="N47" i="8"/>
  <c r="N48" i="8"/>
  <c r="N49" i="8"/>
  <c r="N50" i="8"/>
  <c r="N51" i="8"/>
  <c r="N52" i="8"/>
  <c r="N53" i="8"/>
  <c r="N54" i="8"/>
  <c r="N55" i="8"/>
  <c r="N56" i="8"/>
  <c r="N57" i="8"/>
  <c r="N58" i="8"/>
  <c r="N59" i="8"/>
  <c r="N60" i="8"/>
  <c r="N61" i="8"/>
  <c r="N62" i="8"/>
  <c r="N63" i="8"/>
  <c r="N64" i="8"/>
  <c r="N65" i="8"/>
  <c r="N66" i="8"/>
  <c r="N67" i="8"/>
  <c r="N68" i="8"/>
  <c r="N69" i="8"/>
  <c r="N70" i="8"/>
  <c r="N71" i="8"/>
  <c r="N72" i="8"/>
  <c r="N73" i="8"/>
  <c r="N74" i="8"/>
  <c r="N75" i="8"/>
  <c r="N76" i="8"/>
  <c r="N77" i="8"/>
  <c r="N78" i="8"/>
  <c r="N79" i="8"/>
  <c r="N80" i="8"/>
  <c r="N81" i="8"/>
  <c r="N82" i="8"/>
  <c r="N83" i="8"/>
  <c r="N84" i="8"/>
  <c r="N85" i="8"/>
  <c r="N86" i="8"/>
  <c r="N87" i="8"/>
  <c r="N88" i="8"/>
  <c r="N89" i="8"/>
  <c r="N90" i="8"/>
  <c r="N91" i="8"/>
  <c r="N92" i="8"/>
  <c r="N93" i="8"/>
  <c r="N94" i="8"/>
  <c r="N95" i="8"/>
  <c r="N96" i="8"/>
  <c r="N97" i="8"/>
  <c r="N98" i="8"/>
  <c r="N99" i="8"/>
  <c r="N100" i="8"/>
  <c r="N101" i="8"/>
  <c r="N102" i="8"/>
  <c r="N103" i="8"/>
  <c r="N104" i="8"/>
  <c r="N105" i="8"/>
  <c r="N106" i="8"/>
  <c r="N107" i="8"/>
  <c r="N108" i="8"/>
  <c r="N109" i="8"/>
  <c r="N110" i="8"/>
  <c r="N111" i="8"/>
  <c r="N112" i="8"/>
  <c r="N113" i="8"/>
  <c r="N114" i="8"/>
  <c r="N115" i="8"/>
  <c r="N116" i="8"/>
  <c r="N117" i="8"/>
  <c r="N118" i="8"/>
  <c r="N119" i="8"/>
  <c r="N2" i="8"/>
  <c r="N3" i="10"/>
  <c r="N4" i="10"/>
  <c r="N5" i="10"/>
  <c r="N6" i="10"/>
  <c r="N7" i="10"/>
  <c r="N8" i="10"/>
  <c r="N9" i="10"/>
  <c r="N10" i="10"/>
  <c r="N11" i="10"/>
  <c r="N12" i="10"/>
  <c r="N13" i="10"/>
  <c r="N14" i="10"/>
  <c r="N15" i="10"/>
  <c r="N16" i="10"/>
  <c r="N17" i="10"/>
  <c r="N18" i="10"/>
  <c r="N19" i="10"/>
  <c r="N20" i="10"/>
  <c r="N21" i="10"/>
  <c r="N22" i="10"/>
  <c r="N23" i="10"/>
  <c r="N24" i="10"/>
  <c r="N25" i="10"/>
  <c r="N26" i="10"/>
  <c r="N27" i="10"/>
  <c r="N28" i="10"/>
  <c r="N29" i="10"/>
  <c r="N30" i="10"/>
  <c r="N31" i="10"/>
  <c r="N32" i="10"/>
  <c r="N33" i="10"/>
  <c r="N34" i="10"/>
  <c r="N35" i="10"/>
  <c r="N36" i="10"/>
  <c r="N37" i="10"/>
  <c r="N38" i="10"/>
  <c r="N39" i="10"/>
  <c r="N40" i="10"/>
  <c r="N41" i="10"/>
  <c r="N42" i="10"/>
  <c r="N43" i="10"/>
  <c r="N44" i="10"/>
  <c r="N45" i="10"/>
  <c r="N46" i="10"/>
  <c r="N47" i="10"/>
  <c r="N48" i="10"/>
  <c r="N49" i="10"/>
  <c r="N50" i="10"/>
  <c r="N51" i="10"/>
  <c r="N52" i="10"/>
  <c r="N53" i="10"/>
  <c r="N54" i="10"/>
  <c r="N55" i="10"/>
  <c r="N56" i="10"/>
  <c r="N57" i="10"/>
  <c r="N58" i="10"/>
  <c r="N59" i="10"/>
  <c r="N60" i="10"/>
  <c r="N61" i="10"/>
  <c r="N62" i="10"/>
  <c r="N63" i="10"/>
  <c r="N64" i="10"/>
  <c r="N65" i="10"/>
  <c r="N66" i="10"/>
  <c r="N67" i="10"/>
  <c r="N68" i="10"/>
  <c r="N69" i="10"/>
  <c r="N70" i="10"/>
  <c r="N71" i="10"/>
  <c r="N72" i="10"/>
  <c r="N73" i="10"/>
  <c r="N74" i="10"/>
  <c r="N75" i="10"/>
  <c r="N76" i="10"/>
  <c r="N77" i="10"/>
  <c r="N78" i="10"/>
  <c r="N79" i="10"/>
  <c r="N80" i="10"/>
  <c r="N81" i="10"/>
  <c r="N82" i="10"/>
  <c r="N83" i="10"/>
  <c r="N84" i="10"/>
  <c r="N85" i="10"/>
  <c r="N86" i="10"/>
  <c r="N87" i="10"/>
  <c r="N88" i="10"/>
  <c r="N89" i="10"/>
  <c r="N90" i="10"/>
  <c r="N91" i="10"/>
  <c r="N92" i="10"/>
  <c r="N93" i="10"/>
  <c r="N94" i="10"/>
  <c r="N95" i="10"/>
  <c r="N96" i="10"/>
  <c r="N97" i="10"/>
  <c r="N98" i="10"/>
  <c r="N99" i="10"/>
  <c r="N100" i="10"/>
  <c r="N101" i="10"/>
  <c r="N102" i="10"/>
  <c r="N103" i="10"/>
  <c r="N104" i="10"/>
  <c r="N105" i="10"/>
  <c r="N106" i="10"/>
  <c r="N107" i="10"/>
  <c r="N108" i="10"/>
  <c r="N109" i="10"/>
  <c r="N110" i="10"/>
  <c r="N111" i="10"/>
  <c r="N112" i="10"/>
  <c r="N113" i="10"/>
  <c r="N114" i="10"/>
  <c r="N115" i="10"/>
  <c r="N116" i="10"/>
  <c r="N117" i="10"/>
  <c r="N118" i="10"/>
  <c r="N119" i="10"/>
  <c r="N2" i="10"/>
  <c r="N3" i="12"/>
  <c r="N4" i="12"/>
  <c r="N5" i="12"/>
  <c r="N6" i="12"/>
  <c r="N7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33" i="12"/>
  <c r="N34" i="12"/>
  <c r="N35" i="12"/>
  <c r="N36" i="12"/>
  <c r="N37" i="12"/>
  <c r="N38" i="12"/>
  <c r="N39" i="12"/>
  <c r="N40" i="12"/>
  <c r="N41" i="12"/>
  <c r="N42" i="12"/>
  <c r="N43" i="12"/>
  <c r="N44" i="12"/>
  <c r="N45" i="12"/>
  <c r="N46" i="12"/>
  <c r="N47" i="12"/>
  <c r="N48" i="12"/>
  <c r="N49" i="12"/>
  <c r="N50" i="12"/>
  <c r="N51" i="12"/>
  <c r="N52" i="12"/>
  <c r="N53" i="12"/>
  <c r="N54" i="12"/>
  <c r="N55" i="12"/>
  <c r="N56" i="12"/>
  <c r="N57" i="12"/>
  <c r="N58" i="12"/>
  <c r="N59" i="12"/>
  <c r="N60" i="12"/>
  <c r="N61" i="12"/>
  <c r="N62" i="12"/>
  <c r="N63" i="12"/>
  <c r="N64" i="12"/>
  <c r="N65" i="12"/>
  <c r="N66" i="12"/>
  <c r="N67" i="12"/>
  <c r="N68" i="12"/>
  <c r="N69" i="12"/>
  <c r="N70" i="12"/>
  <c r="N71" i="12"/>
  <c r="N72" i="12"/>
  <c r="N73" i="12"/>
  <c r="N74" i="12"/>
  <c r="N75" i="12"/>
  <c r="N76" i="12"/>
  <c r="N77" i="12"/>
  <c r="N78" i="12"/>
  <c r="N79" i="12"/>
  <c r="N80" i="12"/>
  <c r="N81" i="12"/>
  <c r="N82" i="12"/>
  <c r="N83" i="12"/>
  <c r="N84" i="12"/>
  <c r="N85" i="12"/>
  <c r="N86" i="12"/>
  <c r="N87" i="12"/>
  <c r="N88" i="12"/>
  <c r="N89" i="12"/>
  <c r="N90" i="12"/>
  <c r="N91" i="12"/>
  <c r="N92" i="12"/>
  <c r="N93" i="12"/>
  <c r="N94" i="12"/>
  <c r="N95" i="12"/>
  <c r="N96" i="12"/>
  <c r="N97" i="12"/>
  <c r="N98" i="12"/>
  <c r="N99" i="12"/>
  <c r="N100" i="12"/>
  <c r="N101" i="12"/>
  <c r="N102" i="12"/>
  <c r="N103" i="12"/>
  <c r="N104" i="12"/>
  <c r="N105" i="12"/>
  <c r="N106" i="12"/>
  <c r="N107" i="12"/>
  <c r="N108" i="12"/>
  <c r="N109" i="12"/>
  <c r="N110" i="12"/>
  <c r="N111" i="12"/>
  <c r="N112" i="12"/>
  <c r="N113" i="12"/>
  <c r="N114" i="12"/>
  <c r="N115" i="12"/>
  <c r="N116" i="12"/>
  <c r="N117" i="12"/>
  <c r="N118" i="12"/>
  <c r="N119" i="12"/>
  <c r="N2" i="12"/>
  <c r="N3" i="13"/>
  <c r="N4" i="13"/>
  <c r="N5" i="13"/>
  <c r="N6" i="13"/>
  <c r="N7" i="13"/>
  <c r="N8" i="13"/>
  <c r="N9" i="13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N39" i="13"/>
  <c r="N40" i="13"/>
  <c r="N41" i="13"/>
  <c r="N42" i="13"/>
  <c r="N43" i="13"/>
  <c r="N44" i="13"/>
  <c r="N45" i="13"/>
  <c r="N46" i="13"/>
  <c r="N47" i="13"/>
  <c r="N48" i="13"/>
  <c r="N49" i="13"/>
  <c r="N50" i="13"/>
  <c r="N51" i="13"/>
  <c r="N52" i="13"/>
  <c r="N53" i="13"/>
  <c r="N54" i="13"/>
  <c r="N55" i="13"/>
  <c r="N56" i="13"/>
  <c r="N57" i="13"/>
  <c r="N58" i="13"/>
  <c r="N59" i="13"/>
  <c r="N60" i="13"/>
  <c r="N61" i="13"/>
  <c r="N62" i="13"/>
  <c r="N63" i="13"/>
  <c r="N64" i="13"/>
  <c r="N65" i="13"/>
  <c r="N66" i="13"/>
  <c r="N67" i="13"/>
  <c r="N68" i="13"/>
  <c r="N69" i="13"/>
  <c r="N70" i="13"/>
  <c r="N71" i="13"/>
  <c r="N72" i="13"/>
  <c r="N73" i="13"/>
  <c r="N74" i="13"/>
  <c r="N75" i="13"/>
  <c r="N76" i="13"/>
  <c r="N77" i="13"/>
  <c r="N78" i="13"/>
  <c r="N79" i="13"/>
  <c r="N80" i="13"/>
  <c r="N81" i="13"/>
  <c r="N82" i="13"/>
  <c r="N83" i="13"/>
  <c r="N84" i="13"/>
  <c r="N85" i="13"/>
  <c r="N86" i="13"/>
  <c r="N87" i="13"/>
  <c r="N88" i="13"/>
  <c r="N89" i="13"/>
  <c r="N90" i="13"/>
  <c r="N91" i="13"/>
  <c r="N92" i="13"/>
  <c r="N93" i="13"/>
  <c r="N94" i="13"/>
  <c r="N95" i="13"/>
  <c r="N96" i="13"/>
  <c r="N97" i="13"/>
  <c r="N98" i="13"/>
  <c r="N99" i="13"/>
  <c r="N100" i="13"/>
  <c r="N101" i="13"/>
  <c r="N102" i="13"/>
  <c r="N103" i="13"/>
  <c r="N104" i="13"/>
  <c r="N105" i="13"/>
  <c r="N106" i="13"/>
  <c r="N107" i="13"/>
  <c r="N108" i="13"/>
  <c r="N109" i="13"/>
  <c r="N110" i="13"/>
  <c r="N111" i="13"/>
  <c r="N112" i="13"/>
  <c r="N113" i="13"/>
  <c r="N114" i="13"/>
  <c r="N115" i="13"/>
  <c r="N116" i="13"/>
  <c r="N117" i="13"/>
  <c r="N118" i="13"/>
  <c r="N119" i="13"/>
  <c r="N2" i="13"/>
  <c r="N3" i="15"/>
  <c r="N4" i="15"/>
  <c r="N5" i="15"/>
  <c r="N6" i="15"/>
  <c r="N7" i="15"/>
  <c r="N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25" i="15"/>
  <c r="N26" i="15"/>
  <c r="N27" i="15"/>
  <c r="N28" i="15"/>
  <c r="N29" i="15"/>
  <c r="N30" i="15"/>
  <c r="N31" i="15"/>
  <c r="N32" i="15"/>
  <c r="N33" i="15"/>
  <c r="N34" i="15"/>
  <c r="N35" i="15"/>
  <c r="N36" i="15"/>
  <c r="N37" i="15"/>
  <c r="N38" i="15"/>
  <c r="N39" i="15"/>
  <c r="N40" i="15"/>
  <c r="N41" i="15"/>
  <c r="N42" i="15"/>
  <c r="N43" i="15"/>
  <c r="N44" i="15"/>
  <c r="N45" i="15"/>
  <c r="N46" i="15"/>
  <c r="N47" i="15"/>
  <c r="N48" i="15"/>
  <c r="N49" i="15"/>
  <c r="N50" i="15"/>
  <c r="N51" i="15"/>
  <c r="N52" i="15"/>
  <c r="N53" i="15"/>
  <c r="N54" i="15"/>
  <c r="N55" i="15"/>
  <c r="N56" i="15"/>
  <c r="N57" i="15"/>
  <c r="N58" i="15"/>
  <c r="N59" i="15"/>
  <c r="N60" i="15"/>
  <c r="N61" i="15"/>
  <c r="N62" i="15"/>
  <c r="N63" i="15"/>
  <c r="N64" i="15"/>
  <c r="N65" i="15"/>
  <c r="N66" i="15"/>
  <c r="N67" i="15"/>
  <c r="N68" i="15"/>
  <c r="N69" i="15"/>
  <c r="N70" i="15"/>
  <c r="N71" i="15"/>
  <c r="N72" i="15"/>
  <c r="N73" i="15"/>
  <c r="N74" i="15"/>
  <c r="N75" i="15"/>
  <c r="N76" i="15"/>
  <c r="N77" i="15"/>
  <c r="N78" i="15"/>
  <c r="N79" i="15"/>
  <c r="N80" i="15"/>
  <c r="N81" i="15"/>
  <c r="N82" i="15"/>
  <c r="N83" i="15"/>
  <c r="N84" i="15"/>
  <c r="N85" i="15"/>
  <c r="N86" i="15"/>
  <c r="N87" i="15"/>
  <c r="N88" i="15"/>
  <c r="N89" i="15"/>
  <c r="N90" i="15"/>
  <c r="N91" i="15"/>
  <c r="N92" i="15"/>
  <c r="N93" i="15"/>
  <c r="N94" i="15"/>
  <c r="N95" i="15"/>
  <c r="N96" i="15"/>
  <c r="N97" i="15"/>
  <c r="N98" i="15"/>
  <c r="N99" i="15"/>
  <c r="N100" i="15"/>
  <c r="N101" i="15"/>
  <c r="N102" i="15"/>
  <c r="N103" i="15"/>
  <c r="N104" i="15"/>
  <c r="N105" i="15"/>
  <c r="N106" i="15"/>
  <c r="N107" i="15"/>
  <c r="N108" i="15"/>
  <c r="N109" i="15"/>
  <c r="N110" i="15"/>
  <c r="N111" i="15"/>
  <c r="N112" i="15"/>
  <c r="N113" i="15"/>
  <c r="N114" i="15"/>
  <c r="N115" i="15"/>
  <c r="N116" i="15"/>
  <c r="N117" i="15"/>
  <c r="N118" i="15"/>
  <c r="N119" i="15"/>
  <c r="N2" i="15"/>
  <c r="C6" i="15"/>
  <c r="N3" i="16"/>
  <c r="N4" i="16"/>
  <c r="N5" i="16"/>
  <c r="N6" i="16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N21" i="16"/>
  <c r="N22" i="16"/>
  <c r="N23" i="16"/>
  <c r="N24" i="16"/>
  <c r="N25" i="16"/>
  <c r="N26" i="16"/>
  <c r="N27" i="16"/>
  <c r="N28" i="16"/>
  <c r="N29" i="16"/>
  <c r="N30" i="16"/>
  <c r="N31" i="16"/>
  <c r="N32" i="16"/>
  <c r="N33" i="16"/>
  <c r="N34" i="16"/>
  <c r="N35" i="16"/>
  <c r="N36" i="16"/>
  <c r="N37" i="16"/>
  <c r="N38" i="16"/>
  <c r="N39" i="16"/>
  <c r="N40" i="16"/>
  <c r="N41" i="16"/>
  <c r="N42" i="16"/>
  <c r="N43" i="16"/>
  <c r="N44" i="16"/>
  <c r="N45" i="16"/>
  <c r="N46" i="16"/>
  <c r="N47" i="16"/>
  <c r="N48" i="16"/>
  <c r="N49" i="16"/>
  <c r="N50" i="16"/>
  <c r="N51" i="16"/>
  <c r="N52" i="16"/>
  <c r="N53" i="16"/>
  <c r="N54" i="16"/>
  <c r="N55" i="16"/>
  <c r="N56" i="16"/>
  <c r="N57" i="16"/>
  <c r="N58" i="16"/>
  <c r="N59" i="16"/>
  <c r="N60" i="16"/>
  <c r="N61" i="16"/>
  <c r="N62" i="16"/>
  <c r="N63" i="16"/>
  <c r="N64" i="16"/>
  <c r="N65" i="16"/>
  <c r="N66" i="16"/>
  <c r="N67" i="16"/>
  <c r="N68" i="16"/>
  <c r="N69" i="16"/>
  <c r="N70" i="16"/>
  <c r="N71" i="16"/>
  <c r="N72" i="16"/>
  <c r="N73" i="16"/>
  <c r="N74" i="16"/>
  <c r="N75" i="16"/>
  <c r="N76" i="16"/>
  <c r="N77" i="16"/>
  <c r="N78" i="16"/>
  <c r="N79" i="16"/>
  <c r="N80" i="16"/>
  <c r="N81" i="16"/>
  <c r="N82" i="16"/>
  <c r="N83" i="16"/>
  <c r="N84" i="16"/>
  <c r="N85" i="16"/>
  <c r="N86" i="16"/>
  <c r="N87" i="16"/>
  <c r="N88" i="16"/>
  <c r="N89" i="16"/>
  <c r="N90" i="16"/>
  <c r="N91" i="16"/>
  <c r="N92" i="16"/>
  <c r="N93" i="16"/>
  <c r="N94" i="16"/>
  <c r="N95" i="16"/>
  <c r="N96" i="16"/>
  <c r="N97" i="16"/>
  <c r="N98" i="16"/>
  <c r="N99" i="16"/>
  <c r="N100" i="16"/>
  <c r="N101" i="16"/>
  <c r="N102" i="16"/>
  <c r="N103" i="16"/>
  <c r="N104" i="16"/>
  <c r="N105" i="16"/>
  <c r="N106" i="16"/>
  <c r="N107" i="16"/>
  <c r="N108" i="16"/>
  <c r="N109" i="16"/>
  <c r="N110" i="16"/>
  <c r="N111" i="16"/>
  <c r="N112" i="16"/>
  <c r="N113" i="16"/>
  <c r="N114" i="16"/>
  <c r="N115" i="16"/>
  <c r="N116" i="16"/>
  <c r="N117" i="16"/>
  <c r="N118" i="16"/>
  <c r="N119" i="16"/>
  <c r="N2" i="16"/>
  <c r="N3" i="17"/>
  <c r="N4" i="17"/>
  <c r="N5" i="17"/>
  <c r="N6" i="17"/>
  <c r="N7" i="17"/>
  <c r="N8" i="17"/>
  <c r="N9" i="17"/>
  <c r="N10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N51" i="17"/>
  <c r="N52" i="17"/>
  <c r="N53" i="17"/>
  <c r="N54" i="17"/>
  <c r="N55" i="17"/>
  <c r="N56" i="17"/>
  <c r="N57" i="17"/>
  <c r="N58" i="17"/>
  <c r="N59" i="17"/>
  <c r="N60" i="17"/>
  <c r="N61" i="17"/>
  <c r="N62" i="17"/>
  <c r="N63" i="17"/>
  <c r="N64" i="17"/>
  <c r="N65" i="17"/>
  <c r="N66" i="17"/>
  <c r="N67" i="17"/>
  <c r="N68" i="17"/>
  <c r="N69" i="17"/>
  <c r="N70" i="17"/>
  <c r="N71" i="17"/>
  <c r="N72" i="17"/>
  <c r="N73" i="17"/>
  <c r="N74" i="17"/>
  <c r="N75" i="17"/>
  <c r="N76" i="17"/>
  <c r="N77" i="17"/>
  <c r="N78" i="17"/>
  <c r="N79" i="17"/>
  <c r="N80" i="17"/>
  <c r="N81" i="17"/>
  <c r="N82" i="17"/>
  <c r="N83" i="17"/>
  <c r="N84" i="17"/>
  <c r="N85" i="17"/>
  <c r="N86" i="17"/>
  <c r="N87" i="17"/>
  <c r="N88" i="17"/>
  <c r="N89" i="17"/>
  <c r="N90" i="17"/>
  <c r="N91" i="17"/>
  <c r="N92" i="17"/>
  <c r="N93" i="17"/>
  <c r="N94" i="17"/>
  <c r="N95" i="17"/>
  <c r="N96" i="17"/>
  <c r="N97" i="17"/>
  <c r="N98" i="17"/>
  <c r="N99" i="17"/>
  <c r="N100" i="17"/>
  <c r="N101" i="17"/>
  <c r="N102" i="17"/>
  <c r="N103" i="17"/>
  <c r="N104" i="17"/>
  <c r="N105" i="17"/>
  <c r="N106" i="17"/>
  <c r="N107" i="17"/>
  <c r="N108" i="17"/>
  <c r="N109" i="17"/>
  <c r="N110" i="17"/>
  <c r="N111" i="17"/>
  <c r="N112" i="17"/>
  <c r="N113" i="17"/>
  <c r="N114" i="17"/>
  <c r="N115" i="17"/>
  <c r="N116" i="17"/>
  <c r="N117" i="17"/>
  <c r="N118" i="17"/>
  <c r="N119" i="17"/>
  <c r="N2" i="17"/>
  <c r="N3" i="18"/>
  <c r="N4" i="18"/>
  <c r="N5" i="18"/>
  <c r="N6" i="18"/>
  <c r="N7" i="18"/>
  <c r="N8" i="18"/>
  <c r="N9" i="18"/>
  <c r="N10" i="18"/>
  <c r="N11" i="18"/>
  <c r="N12" i="18"/>
  <c r="N13" i="18"/>
  <c r="N14" i="18"/>
  <c r="N15" i="18"/>
  <c r="N16" i="18"/>
  <c r="N17" i="18"/>
  <c r="N18" i="18"/>
  <c r="N19" i="18"/>
  <c r="N20" i="18"/>
  <c r="N21" i="18"/>
  <c r="N22" i="18"/>
  <c r="N23" i="18"/>
  <c r="N24" i="18"/>
  <c r="N25" i="18"/>
  <c r="N26" i="18"/>
  <c r="N27" i="18"/>
  <c r="N28" i="18"/>
  <c r="N29" i="18"/>
  <c r="N30" i="18"/>
  <c r="N31" i="18"/>
  <c r="N32" i="18"/>
  <c r="N33" i="18"/>
  <c r="N34" i="18"/>
  <c r="N35" i="18"/>
  <c r="N36" i="18"/>
  <c r="N37" i="18"/>
  <c r="N38" i="18"/>
  <c r="N39" i="18"/>
  <c r="N40" i="18"/>
  <c r="N41" i="18"/>
  <c r="N42" i="18"/>
  <c r="N43" i="18"/>
  <c r="N44" i="18"/>
  <c r="N45" i="18"/>
  <c r="N46" i="18"/>
  <c r="N47" i="18"/>
  <c r="N48" i="18"/>
  <c r="N49" i="18"/>
  <c r="N50" i="18"/>
  <c r="N51" i="18"/>
  <c r="N52" i="18"/>
  <c r="N53" i="18"/>
  <c r="N54" i="18"/>
  <c r="N55" i="18"/>
  <c r="N56" i="18"/>
  <c r="N57" i="18"/>
  <c r="N58" i="18"/>
  <c r="N59" i="18"/>
  <c r="N60" i="18"/>
  <c r="N61" i="18"/>
  <c r="N62" i="18"/>
  <c r="N63" i="18"/>
  <c r="N64" i="18"/>
  <c r="N65" i="18"/>
  <c r="N66" i="18"/>
  <c r="N67" i="18"/>
  <c r="N68" i="18"/>
  <c r="N69" i="18"/>
  <c r="N70" i="18"/>
  <c r="N71" i="18"/>
  <c r="N72" i="18"/>
  <c r="N73" i="18"/>
  <c r="N74" i="18"/>
  <c r="N75" i="18"/>
  <c r="N76" i="18"/>
  <c r="N77" i="18"/>
  <c r="N78" i="18"/>
  <c r="N79" i="18"/>
  <c r="N80" i="18"/>
  <c r="N81" i="18"/>
  <c r="N82" i="18"/>
  <c r="N83" i="18"/>
  <c r="N84" i="18"/>
  <c r="N85" i="18"/>
  <c r="N86" i="18"/>
  <c r="N87" i="18"/>
  <c r="N88" i="18"/>
  <c r="N89" i="18"/>
  <c r="N90" i="18"/>
  <c r="N91" i="18"/>
  <c r="N92" i="18"/>
  <c r="N93" i="18"/>
  <c r="N94" i="18"/>
  <c r="N95" i="18"/>
  <c r="N96" i="18"/>
  <c r="N97" i="18"/>
  <c r="N98" i="18"/>
  <c r="N99" i="18"/>
  <c r="N100" i="18"/>
  <c r="N101" i="18"/>
  <c r="N102" i="18"/>
  <c r="N103" i="18"/>
  <c r="N104" i="18"/>
  <c r="N105" i="18"/>
  <c r="N106" i="18"/>
  <c r="N107" i="18"/>
  <c r="N108" i="18"/>
  <c r="N109" i="18"/>
  <c r="N110" i="18"/>
  <c r="N111" i="18"/>
  <c r="N112" i="18"/>
  <c r="N113" i="18"/>
  <c r="N114" i="18"/>
  <c r="N115" i="18"/>
  <c r="N116" i="18"/>
  <c r="N117" i="18"/>
  <c r="N118" i="18"/>
  <c r="N119" i="18"/>
  <c r="N2" i="18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8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N3" i="19"/>
  <c r="N2" i="19"/>
  <c r="N3" i="22"/>
  <c r="N4" i="22"/>
  <c r="N5" i="22"/>
  <c r="N6" i="22"/>
  <c r="N7" i="22"/>
  <c r="N8" i="22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2" i="22"/>
  <c r="Z159" i="1" a="1"/>
  <c r="Z159" i="1" s="1"/>
  <c r="Z160" i="1" a="1"/>
  <c r="Z160" i="1" s="1"/>
  <c r="Z161" i="1" a="1"/>
  <c r="Z161" i="1" s="1"/>
  <c r="Z180" i="1" a="1"/>
  <c r="Z180" i="1" s="1"/>
  <c r="Z194" i="1" a="1"/>
  <c r="Z194" i="1" s="1"/>
  <c r="Z196" i="1" a="1"/>
  <c r="Z196" i="1" s="1"/>
  <c r="Z199" i="1" a="1"/>
  <c r="Z199" i="1" s="1"/>
  <c r="Z201" i="1" a="1"/>
  <c r="Z201" i="1" s="1"/>
  <c r="Z272" i="1" a="1"/>
  <c r="Z272" i="1" s="1"/>
  <c r="Z292" i="1" a="1"/>
  <c r="Z29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<sst xmlns="http://schemas.openxmlformats.org/spreadsheetml/2006/main" count="9666" uniqueCount="811">
  <si>
    <t>AÑO</t>
  </si>
  <si>
    <t>RANK_16</t>
  </si>
  <si>
    <t>EMPRESA</t>
  </si>
  <si>
    <t>Ventas en millones</t>
  </si>
  <si>
    <t>VENTAS_CAMBIO%</t>
  </si>
  <si>
    <t>GANANCIA_MILL</t>
  </si>
  <si>
    <t>GANANCIA_CAMBIO%</t>
  </si>
  <si>
    <t>ACTIVOS_MILL</t>
  </si>
  <si>
    <t>ACCIONES_MILL</t>
  </si>
  <si>
    <t>VALOR_MERCADO_MILL</t>
  </si>
  <si>
    <t>GANANCIAS_%VTAS</t>
  </si>
  <si>
    <t>GANANCIAS_%ACTIVOS</t>
  </si>
  <si>
    <t>GANANCIAS_%CAPITAL0CONTABLE</t>
  </si>
  <si>
    <t>GANANCIAS_POR_ACCIÓN</t>
  </si>
  <si>
    <t>EPS_CAMBIO%</t>
  </si>
  <si>
    <t>5_AÑO_EPS_TASA_ANUAL0</t>
  </si>
  <si>
    <t>10_AÑO_EPS_TASA_ANUAL0</t>
  </si>
  <si>
    <t>RETORNO_INVERSIONISTAS</t>
  </si>
  <si>
    <t>5_AÑOS_RETORNO_INVERSIONISTAS</t>
  </si>
  <si>
    <t>10_AÑOS_RETORNO_INVERSIONISTAS</t>
  </si>
  <si>
    <t>EMPLEO</t>
  </si>
  <si>
    <t>INDUSTRIA</t>
  </si>
  <si>
    <t>EMISORA</t>
  </si>
  <si>
    <t>WEB</t>
  </si>
  <si>
    <t>Capital Contable en millones</t>
  </si>
  <si>
    <t>Año real</t>
  </si>
  <si>
    <t>Rotación de activos</t>
  </si>
  <si>
    <t>ROE (Análisis Dupont)</t>
  </si>
  <si>
    <t>Multiplicador de capital</t>
  </si>
  <si>
    <t>Dell Technologies</t>
  </si>
  <si>
    <t>Computers, Office Equipment</t>
  </si>
  <si>
    <t>DELL</t>
  </si>
  <si>
    <t>www.delltechnologies.com</t>
  </si>
  <si>
    <t>Meta Platforms</t>
  </si>
  <si>
    <t>Internet Services and Retailing</t>
  </si>
  <si>
    <t>META</t>
  </si>
  <si>
    <t>https://investor.fb.com</t>
  </si>
  <si>
    <t>Hewlett Packard Enterprise</t>
  </si>
  <si>
    <t>HPE</t>
  </si>
  <si>
    <t>www.hpe.com</t>
  </si>
  <si>
    <t>Facebook</t>
  </si>
  <si>
    <t>FB</t>
  </si>
  <si>
    <t>www.facebook.com</t>
  </si>
  <si>
    <t>Charter Communications</t>
  </si>
  <si>
    <t>Telecommunications</t>
  </si>
  <si>
    <t>CHTR</t>
  </si>
  <si>
    <t>www.charter.com</t>
  </si>
  <si>
    <t>Google</t>
  </si>
  <si>
    <t>GOOG00</t>
  </si>
  <si>
    <t>www.google.com</t>
  </si>
  <si>
    <t>DirecTV</t>
  </si>
  <si>
    <t>DTV000</t>
  </si>
  <si>
    <t>www.directv.com</t>
  </si>
  <si>
    <t>FB0000</t>
  </si>
  <si>
    <t>Salesforce</t>
  </si>
  <si>
    <t>Computer Software</t>
  </si>
  <si>
    <t>CRM</t>
  </si>
  <si>
    <t>www.salesforce.com</t>
  </si>
  <si>
    <t>HP</t>
  </si>
  <si>
    <t>HPQ</t>
  </si>
  <si>
    <t>www.hp.com</t>
  </si>
  <si>
    <t>AT&amp;T</t>
  </si>
  <si>
    <t>T</t>
  </si>
  <si>
    <t>www.att.com</t>
  </si>
  <si>
    <t>Amazon.com</t>
  </si>
  <si>
    <t>AMZN</t>
  </si>
  <si>
    <t>www.amazon.com</t>
  </si>
  <si>
    <t>AMZN00</t>
  </si>
  <si>
    <t>Comcast</t>
  </si>
  <si>
    <t>CMCS0A</t>
  </si>
  <si>
    <t>www.comcast.com</t>
  </si>
  <si>
    <t>Hewlett-Packard</t>
  </si>
  <si>
    <t>HPQ000</t>
  </si>
  <si>
    <t>Verizon Communications</t>
  </si>
  <si>
    <t>VZ</t>
  </si>
  <si>
    <t>www.verizon.com</t>
  </si>
  <si>
    <t>VZ0000</t>
  </si>
  <si>
    <t>Alphabet</t>
  </si>
  <si>
    <t>GOOGL</t>
  </si>
  <si>
    <t>www.abc.xyz</t>
  </si>
  <si>
    <t>Apple</t>
  </si>
  <si>
    <t>AAPL</t>
  </si>
  <si>
    <t>www.apple.com</t>
  </si>
  <si>
    <t>Oracle</t>
  </si>
  <si>
    <t>ORCL</t>
  </si>
  <si>
    <t>www.oracle.com</t>
  </si>
  <si>
    <t>ORCL00</t>
  </si>
  <si>
    <t>AAPL00</t>
  </si>
  <si>
    <t>GOOGL0</t>
  </si>
  <si>
    <t>Honeywell International</t>
  </si>
  <si>
    <t>Electronics, Electrical Equip.</t>
  </si>
  <si>
    <t>HON</t>
  </si>
  <si>
    <t>www.honeywell.com</t>
  </si>
  <si>
    <t>CMCSA</t>
  </si>
  <si>
    <t>www.comcastcorporation.com</t>
  </si>
  <si>
    <t>Microsoft</t>
  </si>
  <si>
    <t>MSFT</t>
  </si>
  <si>
    <t>www.microsoft.com</t>
  </si>
  <si>
    <t>CarMax</t>
  </si>
  <si>
    <t>Automotive Retailing, Services</t>
  </si>
  <si>
    <t>KMX</t>
  </si>
  <si>
    <t>www.carmax.com</t>
  </si>
  <si>
    <t>https://corporate.comcast.com</t>
  </si>
  <si>
    <t>Emerson Electric</t>
  </si>
  <si>
    <t>EMR</t>
  </si>
  <si>
    <t>www.emerson.com</t>
  </si>
  <si>
    <t>EMC</t>
  </si>
  <si>
    <t>www.emc.com</t>
  </si>
  <si>
    <t>EMR000</t>
  </si>
  <si>
    <t>HON000</t>
  </si>
  <si>
    <t>CMCSA0</t>
  </si>
  <si>
    <t>MSFT00</t>
  </si>
  <si>
    <t>T00000</t>
  </si>
  <si>
    <t>Dell</t>
  </si>
  <si>
    <t>DELL00</t>
  </si>
  <si>
    <t>www.dell.com</t>
  </si>
  <si>
    <t>Uber Technologies</t>
  </si>
  <si>
    <t>UBER</t>
  </si>
  <si>
    <t>www.uber.com</t>
  </si>
  <si>
    <t>Sprint Nextel</t>
  </si>
  <si>
    <t>S00000</t>
  </si>
  <si>
    <t>www.sprint.com</t>
  </si>
  <si>
    <t>CHTR00</t>
  </si>
  <si>
    <t>Meituan</t>
  </si>
  <si>
    <t>MPNGY</t>
  </si>
  <si>
    <t>https://about.meituan.com/</t>
  </si>
  <si>
    <t>SoftBank Group</t>
  </si>
  <si>
    <t>SFTBY</t>
  </si>
  <si>
    <t>https://group.softbank/en/</t>
  </si>
  <si>
    <t>JD.com</t>
  </si>
  <si>
    <t>JD</t>
  </si>
  <si>
    <t>www.jd.com</t>
  </si>
  <si>
    <t>Toshiba</t>
  </si>
  <si>
    <t>TOSYY</t>
  </si>
  <si>
    <t>www.toshiba.co.jp</t>
  </si>
  <si>
    <t>Vodafone Group</t>
  </si>
  <si>
    <t>VOD</t>
  </si>
  <si>
    <t>www.vodafone.com</t>
  </si>
  <si>
    <t>Xiaomi</t>
  </si>
  <si>
    <t>XIACY</t>
  </si>
  <si>
    <t>www.mi.com</t>
  </si>
  <si>
    <t>Lenovo Group</t>
  </si>
  <si>
    <t>LNVGY</t>
  </si>
  <si>
    <t>www.lenovo.com</t>
  </si>
  <si>
    <t>Telecom Italia</t>
  </si>
  <si>
    <t>TI</t>
  </si>
  <si>
    <t>www.telecomitalia.com</t>
  </si>
  <si>
    <t>Altice</t>
  </si>
  <si>
    <t>ALVVF</t>
  </si>
  <si>
    <t>www.altice.net</t>
  </si>
  <si>
    <t>Sony</t>
  </si>
  <si>
    <t>SNE</t>
  </si>
  <si>
    <t>www.sony.net</t>
  </si>
  <si>
    <t>Sharp</t>
  </si>
  <si>
    <t>SHCAY0</t>
  </si>
  <si>
    <t>www.sharp.co.jp</t>
  </si>
  <si>
    <t>TI0000</t>
  </si>
  <si>
    <t>Fujitsu</t>
  </si>
  <si>
    <t>FJTSY0</t>
  </si>
  <si>
    <t>www.fujitsu.com</t>
  </si>
  <si>
    <t>Panasonic</t>
  </si>
  <si>
    <t>PC0000</t>
  </si>
  <si>
    <t>www.panasonic.net</t>
  </si>
  <si>
    <t>Deutsche Telekom</t>
  </si>
  <si>
    <t>DTEGY0</t>
  </si>
  <si>
    <t>www.telekom.com</t>
  </si>
  <si>
    <t>Ricoh</t>
  </si>
  <si>
    <t>RICOY0</t>
  </si>
  <si>
    <t>www.ricoh.com</t>
  </si>
  <si>
    <t>LG Display</t>
  </si>
  <si>
    <t>LPL000</t>
  </si>
  <si>
    <t>www.lgdisplay.com</t>
  </si>
  <si>
    <t>Royal Philips</t>
  </si>
  <si>
    <t>PHG000</t>
  </si>
  <si>
    <t>www.philips.com</t>
  </si>
  <si>
    <t>TOSBF0</t>
  </si>
  <si>
    <t>www.toshiba.com</t>
  </si>
  <si>
    <t>SNE000</t>
  </si>
  <si>
    <t>ALVVF0</t>
  </si>
  <si>
    <t>JD0000</t>
  </si>
  <si>
    <t>LNVGY0</t>
  </si>
  <si>
    <t>VOD000</t>
  </si>
  <si>
    <t>Mitsubishi Electric</t>
  </si>
  <si>
    <t>MIELY</t>
  </si>
  <si>
    <t>www.mitsubishielectric.com</t>
  </si>
  <si>
    <t>KDDI</t>
  </si>
  <si>
    <t>KDDIY</t>
  </si>
  <si>
    <t>www.kddi.com</t>
  </si>
  <si>
    <t>Hitachi</t>
  </si>
  <si>
    <t>HTHIY</t>
  </si>
  <si>
    <t>www.hitachi.com</t>
  </si>
  <si>
    <t>SONY</t>
  </si>
  <si>
    <t>Nippon Telegraph and Telephone</t>
  </si>
  <si>
    <t>NTTYY</t>
  </si>
  <si>
    <t>https://group.ntt/en/</t>
  </si>
  <si>
    <t>Canon</t>
  </si>
  <si>
    <t>CAJ</t>
  </si>
  <si>
    <t>www.global.canon</t>
  </si>
  <si>
    <t>www.canon.com</t>
  </si>
  <si>
    <t>Nippon Telegraph &amp; Telephone</t>
  </si>
  <si>
    <t>www.ntt.co.jp</t>
  </si>
  <si>
    <t>www.softbank.jp</t>
  </si>
  <si>
    <t>NTT</t>
  </si>
  <si>
    <t>CAJ000</t>
  </si>
  <si>
    <t>MIELY0</t>
  </si>
  <si>
    <t>KDDIY0</t>
  </si>
  <si>
    <t>Softbank</t>
  </si>
  <si>
    <t>SFTBY0</t>
  </si>
  <si>
    <t>www.softbank.co.jp</t>
  </si>
  <si>
    <t>HTHIY0</t>
  </si>
  <si>
    <t>Nippon Tel. &amp; Tel.</t>
  </si>
  <si>
    <t>NTT000</t>
  </si>
  <si>
    <t>NTTYY0</t>
  </si>
  <si>
    <t>Sumitomo Electric Industries</t>
  </si>
  <si>
    <t>SMTOY0</t>
  </si>
  <si>
    <t>http://global-sei.com</t>
  </si>
  <si>
    <t>Telstra</t>
  </si>
  <si>
    <t>TLSYY0</t>
  </si>
  <si>
    <t>www.telstra.com.au</t>
  </si>
  <si>
    <t>BT Group</t>
  </si>
  <si>
    <t>BT0000</t>
  </si>
  <si>
    <t>www.bt.com</t>
  </si>
  <si>
    <t>Schneider Electric</t>
  </si>
  <si>
    <t>SBGSY0</t>
  </si>
  <si>
    <t>www.schneider-electric.com</t>
  </si>
  <si>
    <t>Quanta Computer</t>
  </si>
  <si>
    <t>QUCCF0</t>
  </si>
  <si>
    <t>www.quantatw.com</t>
  </si>
  <si>
    <t>Vivendi</t>
  </si>
  <si>
    <t>VIV000</t>
  </si>
  <si>
    <t>www.vivendi.com</t>
  </si>
  <si>
    <t>France Télécom</t>
  </si>
  <si>
    <t>FTE000</t>
  </si>
  <si>
    <t>www.orange.com</t>
  </si>
  <si>
    <t>América Móvil</t>
  </si>
  <si>
    <t>AMX000</t>
  </si>
  <si>
    <t>www.americamovil.com</t>
  </si>
  <si>
    <t>Telefónica</t>
  </si>
  <si>
    <t>TEF000</t>
  </si>
  <si>
    <t>www.telefonica.com</t>
  </si>
  <si>
    <t>Siemens</t>
  </si>
  <si>
    <t>SI0000</t>
  </si>
  <si>
    <t>www.siemens.com</t>
  </si>
  <si>
    <t>Hon Hai Precision Industry</t>
  </si>
  <si>
    <t>HNHPF0</t>
  </si>
  <si>
    <t>www.foxconn.com</t>
  </si>
  <si>
    <t>Samsung Electronics</t>
  </si>
  <si>
    <t>SSNLF0</t>
  </si>
  <si>
    <t>www.samsung.com</t>
  </si>
  <si>
    <t>SBGSY</t>
  </si>
  <si>
    <t>www.se.com</t>
  </si>
  <si>
    <t>Orange</t>
  </si>
  <si>
    <t>ORAN</t>
  </si>
  <si>
    <t>ORAN00</t>
  </si>
  <si>
    <t>SAP</t>
  </si>
  <si>
    <t>www.sap.com</t>
  </si>
  <si>
    <t>DTEGY</t>
  </si>
  <si>
    <t>SIEGY</t>
  </si>
  <si>
    <t>SAP000</t>
  </si>
  <si>
    <t>BTGOF</t>
  </si>
  <si>
    <t>www,bt.com</t>
  </si>
  <si>
    <t>BT</t>
  </si>
  <si>
    <t>www,btplc.com</t>
  </si>
  <si>
    <t>www.btplc.com</t>
  </si>
  <si>
    <t>Haier Smart Home</t>
  </si>
  <si>
    <t>HSHCY</t>
  </si>
  <si>
    <t>https://smart-home.haier.com/</t>
  </si>
  <si>
    <t>www.mi.com/global</t>
  </si>
  <si>
    <t>Tencent Holdings</t>
  </si>
  <si>
    <t>TCEHY</t>
  </si>
  <si>
    <t>www.tencent.com</t>
  </si>
  <si>
    <t>Alibaba Group Holding</t>
  </si>
  <si>
    <t>BABA</t>
  </si>
  <si>
    <t>www.alibabagroup.com</t>
  </si>
  <si>
    <t>www.haier.net/en</t>
  </si>
  <si>
    <t>HRSHF</t>
  </si>
  <si>
    <t>XIACF</t>
  </si>
  <si>
    <t>Midea Group</t>
  </si>
  <si>
    <t>????</t>
  </si>
  <si>
    <t>www.midea.com</t>
  </si>
  <si>
    <t>TCEHY0</t>
  </si>
  <si>
    <t>BABA00</t>
  </si>
  <si>
    <t>????00</t>
  </si>
  <si>
    <t>Panasonic Holdings</t>
  </si>
  <si>
    <t>PCRFY</t>
  </si>
  <si>
    <t>https://holdings.panasonic/global</t>
  </si>
  <si>
    <t>www.panasonic.com/global</t>
  </si>
  <si>
    <t>global-sei.com</t>
  </si>
  <si>
    <t>PCRFY0</t>
  </si>
  <si>
    <t>TEF</t>
  </si>
  <si>
    <t>AMX</t>
  </si>
  <si>
    <t>HNHPF</t>
  </si>
  <si>
    <t>www.honhai.com</t>
  </si>
  <si>
    <t>Flex</t>
  </si>
  <si>
    <t>FLEX</t>
  </si>
  <si>
    <t>www.flex.com</t>
  </si>
  <si>
    <t>LPL</t>
  </si>
  <si>
    <t>Compal Electronics</t>
  </si>
  <si>
    <t>???</t>
  </si>
  <si>
    <t>www.compal.com</t>
  </si>
  <si>
    <t>Pegatron</t>
  </si>
  <si>
    <t>www.pegatroncorp.com</t>
  </si>
  <si>
    <t>LG Electronics</t>
  </si>
  <si>
    <t>www.lg.com</t>
  </si>
  <si>
    <t>SSNLF</t>
  </si>
  <si>
    <t>TLSYY</t>
  </si>
  <si>
    <t>PHG</t>
  </si>
  <si>
    <t>???000</t>
  </si>
  <si>
    <t>Wistron</t>
  </si>
  <si>
    <t>www.wistron.com</t>
  </si>
  <si>
    <t>http://global-sei.com/</t>
  </si>
  <si>
    <t>www.panasonic.com</t>
  </si>
  <si>
    <t>China Electronics</t>
  </si>
  <si>
    <t>www.cec.com.cn</t>
  </si>
  <si>
    <t>Luxshare Precision Industry</t>
  </si>
  <si>
    <t>www.luxshare-ict.com</t>
  </si>
  <si>
    <t>www.midea-group.com</t>
  </si>
  <si>
    <t>Gree Electric Appliances</t>
  </si>
  <si>
    <t>www.gree.com</t>
  </si>
  <si>
    <t>Gree Electrical Appliances</t>
  </si>
  <si>
    <t>Amer International Group</t>
  </si>
  <si>
    <t>www.amer.com.cn</t>
  </si>
  <si>
    <t>China United Network Communications</t>
  </si>
  <si>
    <t>www.chinaunicom-a.com</t>
  </si>
  <si>
    <t>China Telecommunications</t>
  </si>
  <si>
    <t>www.chinatelecom.com.cn</t>
  </si>
  <si>
    <t>China Mobile Communications</t>
  </si>
  <si>
    <t>www.10086.cn0</t>
  </si>
  <si>
    <t>www.10086.cn</t>
  </si>
  <si>
    <t>∞</t>
  </si>
  <si>
    <t>NaN</t>
  </si>
  <si>
    <t>Etiquetas de fila</t>
  </si>
  <si>
    <t>Total general</t>
  </si>
  <si>
    <t>Etiquetas de columna</t>
  </si>
  <si>
    <t>(en blanco)</t>
  </si>
  <si>
    <t>Columna1</t>
  </si>
  <si>
    <t>PAIS</t>
  </si>
  <si>
    <t>CIUDAD</t>
  </si>
  <si>
    <t>ESTADO</t>
  </si>
  <si>
    <t>DIRECCIÓN</t>
  </si>
  <si>
    <t>ESTADO_USA</t>
  </si>
  <si>
    <t>COD_POSTAL</t>
  </si>
  <si>
    <t>TELEFONO</t>
  </si>
  <si>
    <t>General Motors</t>
  </si>
  <si>
    <t>US</t>
  </si>
  <si>
    <t>Detroit</t>
  </si>
  <si>
    <t>Michigan</t>
  </si>
  <si>
    <t>Motor Vehicles and Parts</t>
  </si>
  <si>
    <t>300 Renaissance Center</t>
  </si>
  <si>
    <t>313-556-5000</t>
  </si>
  <si>
    <t>GM</t>
  </si>
  <si>
    <t>www.gm.com</t>
  </si>
  <si>
    <t xml:space="preserve"> Detroit</t>
  </si>
  <si>
    <t>3000Renaissance0Center</t>
  </si>
  <si>
    <t>MI</t>
  </si>
  <si>
    <t>GM0000</t>
  </si>
  <si>
    <t>48265-3000</t>
  </si>
  <si>
    <t>Tesla</t>
  </si>
  <si>
    <t>Austin</t>
  </si>
  <si>
    <t>Texas</t>
  </si>
  <si>
    <t>1 Tesla Rd.</t>
  </si>
  <si>
    <t>512-516-8177</t>
  </si>
  <si>
    <t>TSLA</t>
  </si>
  <si>
    <t>www.tesla.com</t>
  </si>
  <si>
    <t>Ford Motor</t>
  </si>
  <si>
    <t>Dearborn</t>
  </si>
  <si>
    <t>1 American Rd.</t>
  </si>
  <si>
    <t>313-322-3000</t>
  </si>
  <si>
    <t>F</t>
  </si>
  <si>
    <t>www.ford.com</t>
  </si>
  <si>
    <t>13101 Tesla Rd.</t>
  </si>
  <si>
    <t>www.corporate.ford.com</t>
  </si>
  <si>
    <t>One0American0Road</t>
  </si>
  <si>
    <t>48126-2798</t>
  </si>
  <si>
    <t>F00000</t>
  </si>
  <si>
    <t>10American0Rd.</t>
  </si>
  <si>
    <t>313-667-1500</t>
  </si>
  <si>
    <t>Johnson Controls</t>
  </si>
  <si>
    <t>Milwaukee</t>
  </si>
  <si>
    <t>Wisconsin</t>
  </si>
  <si>
    <t>5757 N. Green Bay Ave.</t>
  </si>
  <si>
    <t>414-524-1200</t>
  </si>
  <si>
    <t>JCI</t>
  </si>
  <si>
    <t>www.johnsoncontrols.com</t>
  </si>
  <si>
    <t xml:space="preserve"> Milwaukee</t>
  </si>
  <si>
    <t>57570N.0Green0Bay0Ave.</t>
  </si>
  <si>
    <t>WI</t>
  </si>
  <si>
    <t xml:space="preserve"> Dearborn</t>
  </si>
  <si>
    <t>JCI000</t>
  </si>
  <si>
    <t>57570North0Green0Bay0Avenue</t>
  </si>
  <si>
    <t>Palo Alto</t>
  </si>
  <si>
    <t>California</t>
  </si>
  <si>
    <t>3500 Deer Creek Rd.</t>
  </si>
  <si>
    <t>650-681-5000</t>
  </si>
  <si>
    <t>Daimler Truck Holding</t>
  </si>
  <si>
    <t>Germany</t>
  </si>
  <si>
    <t>Leinfelden-Echterdingen</t>
  </si>
  <si>
    <t>Fasanenweg 10</t>
  </si>
  <si>
    <t>49-711-8485-0</t>
  </si>
  <si>
    <t>DTRUY</t>
  </si>
  <si>
    <t>www.daimlertruck.com</t>
  </si>
  <si>
    <t>Tata Motors</t>
  </si>
  <si>
    <t>India</t>
  </si>
  <si>
    <t>Mumbai</t>
  </si>
  <si>
    <t>24 Homi Mody St.</t>
  </si>
  <si>
    <t>91-22-6665-8282</t>
  </si>
  <si>
    <t>TTM</t>
  </si>
  <si>
    <t>www.tatamotors.com</t>
  </si>
  <si>
    <t>Renault</t>
  </si>
  <si>
    <t>France</t>
  </si>
  <si>
    <t>Boulogne-Billancourt</t>
  </si>
  <si>
    <t>13-15 Quai Alphonse Le Gallo</t>
  </si>
  <si>
    <t>33-1-7684-0404</t>
  </si>
  <si>
    <t>RNLSY</t>
  </si>
  <si>
    <t>renaultgroup.com</t>
  </si>
  <si>
    <t>Continental</t>
  </si>
  <si>
    <t>Hannover</t>
  </si>
  <si>
    <t>Vahrenwalder Str. 9</t>
  </si>
  <si>
    <t>49-511-938-01</t>
  </si>
  <si>
    <t>CTTAY</t>
  </si>
  <si>
    <t>www.continental.com</t>
  </si>
  <si>
    <t>Jardine Matheson</t>
  </si>
  <si>
    <t>China</t>
  </si>
  <si>
    <t>Hong Kong</t>
  </si>
  <si>
    <t>Jardine House</t>
  </si>
  <si>
    <t>852-2843-8288</t>
  </si>
  <si>
    <t>JMHLY</t>
  </si>
  <si>
    <t>www.jardines.com</t>
  </si>
  <si>
    <t>Nissan Motor</t>
  </si>
  <si>
    <t>Japan</t>
  </si>
  <si>
    <t>Yokohama</t>
  </si>
  <si>
    <t>1-1-1 Takashima</t>
  </si>
  <si>
    <t>220-8686</t>
  </si>
  <si>
    <t>81-45-523-5523</t>
  </si>
  <si>
    <t>NSANY</t>
  </si>
  <si>
    <t>www.nissan-global.com</t>
  </si>
  <si>
    <t>Bridgestone</t>
  </si>
  <si>
    <t>Tokyo</t>
  </si>
  <si>
    <t>3-1-1 Kyobashi</t>
  </si>
  <si>
    <t>104-8340</t>
  </si>
  <si>
    <t>81-3-6836-3100</t>
  </si>
  <si>
    <t>BRDCY</t>
  </si>
  <si>
    <t>www.bridgestone.com</t>
  </si>
  <si>
    <t>Hanover</t>
  </si>
  <si>
    <t>13-15 Quai Le Gallo</t>
  </si>
  <si>
    <t>group.renault.com</t>
  </si>
  <si>
    <t>Volkswagen</t>
  </si>
  <si>
    <t>Wolfsburg</t>
  </si>
  <si>
    <t>Berliner Ring 2</t>
  </si>
  <si>
    <t>49-5361-90</t>
  </si>
  <si>
    <t>VLKAY</t>
  </si>
  <si>
    <t>www.volkswagen.com</t>
  </si>
  <si>
    <t>Peugeot</t>
  </si>
  <si>
    <t>Paris</t>
  </si>
  <si>
    <t>75 Ave. de la Grande Armée</t>
  </si>
  <si>
    <t>33-1-4066-5511</t>
  </si>
  <si>
    <t>PUGOY</t>
  </si>
  <si>
    <t>www.psa-peugeot-citroen.com</t>
  </si>
  <si>
    <t>750Ave.0de0la0Grande0Armée</t>
  </si>
  <si>
    <t>PUGOY0</t>
  </si>
  <si>
    <t>Mazda Motor</t>
  </si>
  <si>
    <t>Hiroshima</t>
  </si>
  <si>
    <t>3-1,0Shinchi,0Fuchu-cho,0Aki-gun</t>
  </si>
  <si>
    <t>730-8670</t>
  </si>
  <si>
    <t>81-82-282-1111</t>
  </si>
  <si>
    <t>MZDAY0</t>
  </si>
  <si>
    <t>www.mazda.com</t>
  </si>
  <si>
    <t>Berliner0Ring02</t>
  </si>
  <si>
    <t>VLKAY0</t>
  </si>
  <si>
    <t>Honda Motor</t>
  </si>
  <si>
    <t>2-1-1 Minami-Aoyama</t>
  </si>
  <si>
    <t>107-8556</t>
  </si>
  <si>
    <t>81-3-3423-1111</t>
  </si>
  <si>
    <t>HMC</t>
  </si>
  <si>
    <t>https://global.honda/</t>
  </si>
  <si>
    <t>Subaru</t>
  </si>
  <si>
    <t>1-20-8 Ebisu</t>
  </si>
  <si>
    <t>150-8554</t>
  </si>
  <si>
    <t>81-3-6447-8000</t>
  </si>
  <si>
    <t>FUJHY</t>
  </si>
  <si>
    <t>www.subaru.co.jp</t>
  </si>
  <si>
    <t>81-3-6836-3333</t>
  </si>
  <si>
    <t>www.honda.com</t>
  </si>
  <si>
    <t>Fuji Heavy Industries</t>
  </si>
  <si>
    <t>www.fhi.co.jp</t>
  </si>
  <si>
    <t>81-3-3567-0111</t>
  </si>
  <si>
    <t>1-7-20Nishi-Shinjuku</t>
  </si>
  <si>
    <t>160-8316</t>
  </si>
  <si>
    <t>81-3-3347-2111</t>
  </si>
  <si>
    <t>FUJHY0</t>
  </si>
  <si>
    <t>1-10-10Kyobashi</t>
  </si>
  <si>
    <t>BRDCY0</t>
  </si>
  <si>
    <t>2-1-10Minami-Aoyama</t>
  </si>
  <si>
    <t>HMC000</t>
  </si>
  <si>
    <t>world.honda.com</t>
  </si>
  <si>
    <t>10-1,0Kyobashi01-chome,0Chuo-ku</t>
  </si>
  <si>
    <t>1-1,02-chome0Minami-Aoyama,0Minato-ku</t>
  </si>
  <si>
    <t>3-1-10Kyobashi</t>
  </si>
  <si>
    <t>1-20-80Ebisu</t>
  </si>
  <si>
    <t>Michelin</t>
  </si>
  <si>
    <t>Clermont-Ferrand</t>
  </si>
  <si>
    <t>23,0place0des0Carmes-Dechaux</t>
  </si>
  <si>
    <t>33-4-7332-2000</t>
  </si>
  <si>
    <t>MGDDF0</t>
  </si>
  <si>
    <t>www.michelin.com</t>
  </si>
  <si>
    <t>Magna International</t>
  </si>
  <si>
    <t>Canada</t>
  </si>
  <si>
    <t>Aurora, Ontario</t>
  </si>
  <si>
    <t>3370Magna0Drive</t>
  </si>
  <si>
    <t>L4G07K1</t>
  </si>
  <si>
    <t>905-726-2462</t>
  </si>
  <si>
    <t>MGA000</t>
  </si>
  <si>
    <t>www.magna.com</t>
  </si>
  <si>
    <t>Suzuki Motor</t>
  </si>
  <si>
    <t>Hamamatsu</t>
  </si>
  <si>
    <t>3000Takatsuka,0Hamamatsu</t>
  </si>
  <si>
    <t>432-8611</t>
  </si>
  <si>
    <t>81-53-440-2061</t>
  </si>
  <si>
    <t>SZKMF0</t>
  </si>
  <si>
    <t>www.globalsuzuki.com</t>
  </si>
  <si>
    <t>Bombay0House,0240Homi0Mody0Street</t>
  </si>
  <si>
    <t>TTM000</t>
  </si>
  <si>
    <t>Vahrenwalder0Strasse09</t>
  </si>
  <si>
    <t>D-30165</t>
  </si>
  <si>
    <t>CTTAY0</t>
  </si>
  <si>
    <t>www.continental-corporation.com</t>
  </si>
  <si>
    <t>Denso</t>
  </si>
  <si>
    <t>Kariya</t>
  </si>
  <si>
    <t>1-1,0Showa-cho</t>
  </si>
  <si>
    <t>448-8661</t>
  </si>
  <si>
    <t>81-566-25-5511</t>
  </si>
  <si>
    <t>DNZOY0</t>
  </si>
  <si>
    <t>www.globaldenso.com</t>
  </si>
  <si>
    <t>Volvo</t>
  </si>
  <si>
    <t>Sweden</t>
  </si>
  <si>
    <t>Göteborg</t>
  </si>
  <si>
    <t>SE-40500800</t>
  </si>
  <si>
    <t>S-405008</t>
  </si>
  <si>
    <t>46-31-66-0000</t>
  </si>
  <si>
    <t>VOLVY0</t>
  </si>
  <si>
    <t>www.volvogroup.com</t>
  </si>
  <si>
    <t>13-150Quai0Le0Gallo</t>
  </si>
  <si>
    <t>RNSDF0</t>
  </si>
  <si>
    <t>www.renault.com</t>
  </si>
  <si>
    <t>75,0avenue0de0la0Grande-Armee</t>
  </si>
  <si>
    <t>PEUGY0</t>
  </si>
  <si>
    <t>Hyundai Motor</t>
  </si>
  <si>
    <t>South Korea</t>
  </si>
  <si>
    <t>Seoul</t>
  </si>
  <si>
    <t>2310Yangjae-dong,0Seocho-gu</t>
  </si>
  <si>
    <t>137-938</t>
  </si>
  <si>
    <t>82-2-3464-1114</t>
  </si>
  <si>
    <t>HYMTF0</t>
  </si>
  <si>
    <t>worldwide.hyundai.com</t>
  </si>
  <si>
    <t>BMW</t>
  </si>
  <si>
    <t>Munich</t>
  </si>
  <si>
    <t>Petuelring0130</t>
  </si>
  <si>
    <t>D-80788</t>
  </si>
  <si>
    <t>49-89-3820</t>
  </si>
  <si>
    <t>BAMXY0</t>
  </si>
  <si>
    <t>www.bmwgroup.com</t>
  </si>
  <si>
    <t>1-1,0Takashima01-chome,0Nishi-ku,0Yokohama-shi</t>
  </si>
  <si>
    <t>NSANY0</t>
  </si>
  <si>
    <t>Daimler</t>
  </si>
  <si>
    <t>Stuttgart</t>
  </si>
  <si>
    <t>Mercedesstr.01370</t>
  </si>
  <si>
    <t>49-711-17-0</t>
  </si>
  <si>
    <t>DDAIF0</t>
  </si>
  <si>
    <t>www.daimler.com</t>
  </si>
  <si>
    <t>P.O.0Box01849</t>
  </si>
  <si>
    <t>49-5361-900</t>
  </si>
  <si>
    <t>www.volkswagenag.com</t>
  </si>
  <si>
    <t>Toyota Motor</t>
  </si>
  <si>
    <t>Toyota</t>
  </si>
  <si>
    <t>10Toyota-cho,0Toyota0City</t>
  </si>
  <si>
    <t>471-8571</t>
  </si>
  <si>
    <t>81-565-28-2121</t>
  </si>
  <si>
    <t>TM0000</t>
  </si>
  <si>
    <t>www.toyota-global.com</t>
  </si>
  <si>
    <t>122/122 Bis Ave.du Général Leclerc</t>
  </si>
  <si>
    <t>23, place des Carmes</t>
  </si>
  <si>
    <t>MGDDY</t>
  </si>
  <si>
    <t>www.groupe.renault.com</t>
  </si>
  <si>
    <t>Rueil-Malmaison</t>
  </si>
  <si>
    <t>7 rue Henri Sainte-Claire Deville</t>
  </si>
  <si>
    <t>33-1-5594-8100</t>
  </si>
  <si>
    <t>www.groupe-psa.com</t>
  </si>
  <si>
    <t>23 Pl. des Carmes Déchaux</t>
  </si>
  <si>
    <t>230Pl.0des0Carmes0Déchaux</t>
  </si>
  <si>
    <t>MGDDY0</t>
  </si>
  <si>
    <t>RNLSY0</t>
  </si>
  <si>
    <t>BMW Group</t>
  </si>
  <si>
    <t>Petuelring 130</t>
  </si>
  <si>
    <t>49-89-382 0</t>
  </si>
  <si>
    <t>BMWYY</t>
  </si>
  <si>
    <t>Mercedes-Benz Group</t>
  </si>
  <si>
    <t>Mercedesstr.120</t>
  </si>
  <si>
    <t>MBGYY</t>
  </si>
  <si>
    <t>group.mercedes-benz.com</t>
  </si>
  <si>
    <t>VWAGY</t>
  </si>
  <si>
    <t>Mercedesstrasse 120</t>
  </si>
  <si>
    <t>DMLRY</t>
  </si>
  <si>
    <t>Mercedesstrasse 137</t>
  </si>
  <si>
    <t>DDAIY</t>
  </si>
  <si>
    <t>BAMXY</t>
  </si>
  <si>
    <t>Vahrenwalder0Str.09</t>
  </si>
  <si>
    <t>Mercedesstrasse0137</t>
  </si>
  <si>
    <t>DDAIY0</t>
  </si>
  <si>
    <t>49-89-38200</t>
  </si>
  <si>
    <t>BMWYY0</t>
  </si>
  <si>
    <t>BYD</t>
  </si>
  <si>
    <t>Shenzhen</t>
  </si>
  <si>
    <t>3009 BYD Rd.</t>
  </si>
  <si>
    <t>86-755-8988-8888</t>
  </si>
  <si>
    <t>BYDDY</t>
  </si>
  <si>
    <t>www.byd.com</t>
  </si>
  <si>
    <t>Jardine0House</t>
  </si>
  <si>
    <t>JMHLY0</t>
  </si>
  <si>
    <t>Aisin</t>
  </si>
  <si>
    <t>2-1 Asahi-machi</t>
  </si>
  <si>
    <t>448-8650</t>
  </si>
  <si>
    <t>81-566-24-8441</t>
  </si>
  <si>
    <t>ASEKY</t>
  </si>
  <si>
    <t>www.aisin.com</t>
  </si>
  <si>
    <t>300 Takatsuka-cho</t>
  </si>
  <si>
    <t>SZKMY</t>
  </si>
  <si>
    <t>1-1 Showa-cho</t>
  </si>
  <si>
    <t>DNZOY</t>
  </si>
  <si>
    <t>www.denso.com/global</t>
  </si>
  <si>
    <t>1 Toyota-cho</t>
  </si>
  <si>
    <t>TM</t>
  </si>
  <si>
    <t>https://global.toyota/en/</t>
  </si>
  <si>
    <t>Osaka</t>
  </si>
  <si>
    <t>4-5-33 Kitahama</t>
  </si>
  <si>
    <t>541-0041</t>
  </si>
  <si>
    <t>81-6-6220-4480</t>
  </si>
  <si>
    <t>SMTOY</t>
  </si>
  <si>
    <t>www.global-sei.com</t>
  </si>
  <si>
    <t>3-1 Shinchi, Fuchu-cho</t>
  </si>
  <si>
    <t>MZDAY</t>
  </si>
  <si>
    <t>81-6-6220-4141</t>
  </si>
  <si>
    <t>Aisin Seiki</t>
  </si>
  <si>
    <t>www.denso.com</t>
  </si>
  <si>
    <t>3-10Shinchi,0Fuchu-cho</t>
  </si>
  <si>
    <t>2-10Asahi-machi</t>
  </si>
  <si>
    <t>AESKY0</t>
  </si>
  <si>
    <t>3000Takatsuka-cho</t>
  </si>
  <si>
    <t>SZKMY0</t>
  </si>
  <si>
    <t>1-10Showa-cho</t>
  </si>
  <si>
    <t>1-1-10Takashima</t>
  </si>
  <si>
    <t>10Toyota-cho</t>
  </si>
  <si>
    <t>4-5-330Kitahama</t>
  </si>
  <si>
    <t>ASEKY0</t>
  </si>
  <si>
    <t>337 Magna Dr.</t>
  </si>
  <si>
    <t>L4G 7K1</t>
  </si>
  <si>
    <t>MGA</t>
  </si>
  <si>
    <t>Gropegårdsgatan 2</t>
  </si>
  <si>
    <t>417 15</t>
  </si>
  <si>
    <t>VLVLY</t>
  </si>
  <si>
    <t>12 Heolleung-ro</t>
  </si>
  <si>
    <t>HYMTF</t>
  </si>
  <si>
    <t>Stellantis</t>
  </si>
  <si>
    <t>Netherlands</t>
  </si>
  <si>
    <t>Hoofddorp</t>
  </si>
  <si>
    <t>Taurusavenue 1</t>
  </si>
  <si>
    <t>31-23-700-1511</t>
  </si>
  <si>
    <t>STLA</t>
  </si>
  <si>
    <t>www.stellantis.com</t>
  </si>
  <si>
    <t>Hyundai Mobis</t>
  </si>
  <si>
    <t>203 Teheran-ro</t>
  </si>
  <si>
    <t>82-2-2018-5114</t>
  </si>
  <si>
    <t>www.mobis.co.kr</t>
  </si>
  <si>
    <t>Kia Motors</t>
  </si>
  <si>
    <t>www.kia.com</t>
  </si>
  <si>
    <t>Amazonvägen</t>
  </si>
  <si>
    <t>405 08</t>
  </si>
  <si>
    <t>3370Magna0Dr.</t>
  </si>
  <si>
    <t>240Homi0Mody0St.</t>
  </si>
  <si>
    <t>120Heolleung-ro</t>
  </si>
  <si>
    <t>EXOR Group</t>
  </si>
  <si>
    <t>Italy</t>
  </si>
  <si>
    <t>Turin</t>
  </si>
  <si>
    <t>Via0Nizza0250</t>
  </si>
  <si>
    <t>39-11-509-0320</t>
  </si>
  <si>
    <t>EXOSF0</t>
  </si>
  <si>
    <t>www.exor.com</t>
  </si>
  <si>
    <t>2030Teheran-ro</t>
  </si>
  <si>
    <t>Gropegårdsgatan02</t>
  </si>
  <si>
    <t>VLVLY0</t>
  </si>
  <si>
    <t>ZF Friedrichshafen</t>
  </si>
  <si>
    <t>Friedrichshafen</t>
  </si>
  <si>
    <t>Löwentaler Str. 20</t>
  </si>
  <si>
    <t>49-7541-770</t>
  </si>
  <si>
    <t>www.zf.com</t>
  </si>
  <si>
    <t xml:space="preserve"> Paris</t>
  </si>
  <si>
    <t>Rodamco0Tower0679-4,0Yeoksam-Dong,0Gangnam-Gu</t>
  </si>
  <si>
    <t>135-977</t>
  </si>
  <si>
    <t xml:space="preserve"> Friedrichshafen</t>
  </si>
  <si>
    <t>Graf0von0Soden0Platz01</t>
  </si>
  <si>
    <t xml:space="preserve"> Clermont-Ferrand</t>
  </si>
  <si>
    <t xml:space="preserve"> Tokyo</t>
  </si>
  <si>
    <t xml:space="preserve"> Kariya</t>
  </si>
  <si>
    <t xml:space="preserve"> Hamamatsu</t>
  </si>
  <si>
    <t xml:space="preserve"> Hiroshima</t>
  </si>
  <si>
    <t>3-10Shinchi,00Fuchu-cho</t>
  </si>
  <si>
    <t xml:space="preserve"> Seoul</t>
  </si>
  <si>
    <t xml:space="preserve"> Aurora</t>
  </si>
  <si>
    <t>L4G7K1</t>
  </si>
  <si>
    <t xml:space="preserve"> Göteborg</t>
  </si>
  <si>
    <t xml:space="preserve"> Mumbai</t>
  </si>
  <si>
    <t xml:space="preserve"> Hanover</t>
  </si>
  <si>
    <t xml:space="preserve"> Boulogne-Billancourt</t>
  </si>
  <si>
    <t>Robert Bosch</t>
  </si>
  <si>
    <t xml:space="preserve"> Stuttgart</t>
  </si>
  <si>
    <t>Postfach0106050</t>
  </si>
  <si>
    <t>49-711-8110</t>
  </si>
  <si>
    <t>www.bosch.com</t>
  </si>
  <si>
    <t xml:space="preserve"> Yokohama</t>
  </si>
  <si>
    <t xml:space="preserve"> Munich</t>
  </si>
  <si>
    <t xml:space="preserve"> Turin</t>
  </si>
  <si>
    <t xml:space="preserve"> Toyota</t>
  </si>
  <si>
    <t xml:space="preserve"> Wolfsburg</t>
  </si>
  <si>
    <t>Kia</t>
  </si>
  <si>
    <t>Bosch Group</t>
  </si>
  <si>
    <t>Gerlingen-Schillerhöhe</t>
  </si>
  <si>
    <t>Robert Bosch Platz 1</t>
  </si>
  <si>
    <t>49-711-400-40990</t>
  </si>
  <si>
    <t>Postfach 106050</t>
  </si>
  <si>
    <t>Graf von Soden Platz 1</t>
  </si>
  <si>
    <t>2310Yangjae-dong</t>
  </si>
  <si>
    <t>www.kiamotors.com</t>
  </si>
  <si>
    <t>Bosch (Robert)</t>
  </si>
  <si>
    <t>2-1,0Asahi-machi,0Kariya,0Aichi</t>
  </si>
  <si>
    <t>D-70049</t>
  </si>
  <si>
    <t>2500Via0Nizza</t>
  </si>
  <si>
    <t>39-11-509-0266</t>
  </si>
  <si>
    <t>Contemporary Amperex Technology</t>
  </si>
  <si>
    <t>Ningde</t>
  </si>
  <si>
    <t>2 Xingang Rd.</t>
  </si>
  <si>
    <t>86-593-8901-666</t>
  </si>
  <si>
    <t>www.catl.com/en/</t>
  </si>
  <si>
    <t>Zhejiang Geely Holding Group</t>
  </si>
  <si>
    <t>Hangzhou</t>
  </si>
  <si>
    <t>1760 Jiangling Rd.</t>
  </si>
  <si>
    <t>86-571-2809-8272</t>
  </si>
  <si>
    <t>www.zgh.com</t>
  </si>
  <si>
    <t>Dongfeng Motor</t>
  </si>
  <si>
    <t>Wuhan</t>
  </si>
  <si>
    <t>1 Dongfeng Rd.</t>
  </si>
  <si>
    <t xml:space="preserve"> 86 27 8428 5000</t>
  </si>
  <si>
    <t>www.dfmc.com.cn</t>
  </si>
  <si>
    <t>Guangzhou Automobile Industry Group</t>
  </si>
  <si>
    <t>Guangzhou</t>
  </si>
  <si>
    <t>23 Xingguo Rd.</t>
  </si>
  <si>
    <t>86-20-8315-1139</t>
  </si>
  <si>
    <t>www.gac.com.cn</t>
  </si>
  <si>
    <t>China FAW Group</t>
  </si>
  <si>
    <t>Changchun</t>
  </si>
  <si>
    <t>1 Xin HongQi St.</t>
  </si>
  <si>
    <t>86-431-8202-1917</t>
  </si>
  <si>
    <t>www.faw.com.cn</t>
  </si>
  <si>
    <t>SAIC Motor</t>
  </si>
  <si>
    <t>Shanghai</t>
  </si>
  <si>
    <t>400 Caoxi Rd.</t>
  </si>
  <si>
    <t>86-21-2201-1888</t>
  </si>
  <si>
    <t>www.saicmotor.com</t>
  </si>
  <si>
    <t>86-571-2809-6201</t>
  </si>
  <si>
    <t>1 HongQi St.</t>
  </si>
  <si>
    <t>489 Weihai Rd.</t>
  </si>
  <si>
    <t>www.geely.com</t>
  </si>
  <si>
    <t>86-571-2800-1111</t>
  </si>
  <si>
    <t>www.gagc.com.cn</t>
  </si>
  <si>
    <t>8899 Dongfeng St.</t>
  </si>
  <si>
    <t>86-27-8428-5016</t>
  </si>
  <si>
    <t>86-20-8315-0573</t>
  </si>
  <si>
    <t>2259 Dongfeng St.</t>
  </si>
  <si>
    <t>86-431-8573-0701</t>
  </si>
  <si>
    <t>www.faw.com.</t>
  </si>
  <si>
    <t>www.gaig.com.cn</t>
  </si>
  <si>
    <t>Dongfeng Motor Group</t>
  </si>
  <si>
    <t xml:space="preserve"> Hangzhou</t>
  </si>
  <si>
    <t>17600Jiangling0Rd.</t>
  </si>
  <si>
    <t xml:space="preserve"> Guangzhou</t>
  </si>
  <si>
    <t>230Xingguo0Rd.</t>
  </si>
  <si>
    <t>Beijing Automotive Group</t>
  </si>
  <si>
    <t xml:space="preserve"> Beijing</t>
  </si>
  <si>
    <t>990Shuanghe0St.</t>
  </si>
  <si>
    <t>86-10-8766-4009</t>
  </si>
  <si>
    <t>www.baicgroup.com.cn000</t>
  </si>
  <si>
    <t xml:space="preserve"> Wuhan</t>
  </si>
  <si>
    <t>10Dongfeng0Rd.</t>
  </si>
  <si>
    <t xml:space="preserve"> Changchun</t>
  </si>
  <si>
    <t>22590Dongfeng0St.</t>
  </si>
  <si>
    <t xml:space="preserve"> Shanghai</t>
  </si>
  <si>
    <t>4890Weihai0Rd.</t>
  </si>
  <si>
    <t>86-431-8590-07150</t>
  </si>
  <si>
    <t>23,150F0Cheng0Yue0Bldg0,No.448-45,00Dong0Feng0Zhong0Road</t>
  </si>
  <si>
    <t>86-20-8315-1380</t>
  </si>
  <si>
    <t>No.56,West0Huancheng0Road</t>
  </si>
  <si>
    <t>290Baiye0Road</t>
  </si>
  <si>
    <t>86-27-8428-5555</t>
  </si>
  <si>
    <t>22590Dongfeng0Street</t>
  </si>
  <si>
    <t>4890WeiHai0Road</t>
  </si>
  <si>
    <t>Beijing</t>
  </si>
  <si>
    <t>99 Shuanghe St.</t>
  </si>
  <si>
    <t>86-10-8766-4048</t>
  </si>
  <si>
    <t>www.baicgroup.com.cn</t>
  </si>
  <si>
    <t>No.99,Shuanghe0Street</t>
  </si>
  <si>
    <t>86-10-6769-98880</t>
  </si>
  <si>
    <t>Suma de ROE (Análisis Dupont)</t>
  </si>
  <si>
    <t>Suma de Multiplicador de capital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</si>
</sst>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1" fillId="2" borderId="1" xfId="0" applyFont="1" applyFill="1" applyBorder="1"/>
    <xf numFmtId="0" fontId="0" fillId="0" borderId="0" xfId="0" applyAlignment="1">
      <alignment horizontal="left" indent="1"/>
    </xf>
    <xf numFmtId="0" fontId="1" fillId="0" borderId="1" xfId="0" applyFont="1" applyBorder="1" applyAlignment="1">
      <alignment horizontal="left"/>
    </xf>
    <xf numFmtId="0" fontId="2" fillId="0" borderId="0" xfId="1"/>
    <xf numFmtId="0" fontId="0" fillId="0" borderId="0" xfId="0" applyNumberFormat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armando abreu rosique" refreshedDate="45828.577127893521" createdVersion="8" refreshedVersion="8" minRefreshableVersion="3" recordCount="586" xr:uid="{376235D1-84AA-45DC-BDB6-A843CCAD2C96}">
  <cacheSource type="worksheet">
    <worksheetSource ref="A2:AD588" sheet="Originales sin dirección"/>
  </cacheSource>
  <cacheFields count="29">
    <cacheField name="AÑO" numFmtId="0">
      <sharedItems containsSemiMixedTypes="0" containsString="0" containsNumber="1" containsInteger="1" minValue="2012" maxValue="2023" count="12">
        <n v="2023"/>
        <n v="2022"/>
        <n v="2021"/>
        <n v="2020"/>
        <n v="2019"/>
        <n v="2018"/>
        <n v="2017"/>
        <n v="2014"/>
        <n v="2013"/>
        <n v="2012"/>
        <n v="2015"/>
        <n v="2016"/>
      </sharedItems>
    </cacheField>
    <cacheField name="RANK_16" numFmtId="0">
      <sharedItems containsSemiMixedTypes="0" containsString="0" containsNumber="1" containsInteger="1" minValue="2" maxValue="500"/>
    </cacheField>
    <cacheField name="EMPRESA" numFmtId="0">
      <sharedItems count="82">
        <s v="Dell Technologies"/>
        <s v="Meta Platforms"/>
        <s v="Hewlett Packard Enterprise"/>
        <s v="Facebook"/>
        <s v="Charter Communications"/>
        <s v="Google"/>
        <s v="DirecTV"/>
        <s v="Salesforce"/>
        <s v="HP"/>
        <s v="AT&amp;T"/>
        <s v="Amazon.com"/>
        <s v="Comcast"/>
        <s v="Hewlett-Packard"/>
        <s v="Verizon Communications"/>
        <s v="Alphabet"/>
        <s v="Apple"/>
        <s v="Oracle"/>
        <s v="Honeywell International"/>
        <s v="Microsoft"/>
        <s v="CarMax"/>
        <s v="Emerson Electric"/>
        <s v="EMC"/>
        <s v="Dell"/>
        <s v="Uber Technologies"/>
        <s v="Sprint Nextel"/>
        <s v="Meituan"/>
        <s v="SoftBank Group"/>
        <s v="JD.com"/>
        <s v="Toshiba"/>
        <s v="Vodafone Group"/>
        <s v="Xiaomi"/>
        <s v="Lenovo Group"/>
        <s v="Telecom Italia"/>
        <s v="Altice"/>
        <s v="Sony"/>
        <s v="Sharp"/>
        <s v="Fujitsu"/>
        <s v="Panasonic"/>
        <s v="Deutsche Telekom"/>
        <s v="Ricoh"/>
        <s v="LG Display"/>
        <s v="Royal Philips"/>
        <s v="Mitsubishi Electric"/>
        <s v="KDDI"/>
        <s v="Hitachi"/>
        <s v="Nippon Telegraph and Telephone"/>
        <s v="Canon"/>
        <s v="Nippon Telegraph &amp; Telephone"/>
        <s v="Softbank"/>
        <s v="Nippon Tel. &amp; Tel."/>
        <s v="Sumitomo Electric Industries"/>
        <s v="Telstra"/>
        <s v="BT Group"/>
        <s v="Schneider Electric"/>
        <s v="Quanta Computer"/>
        <s v="Vivendi"/>
        <s v="France Télécom"/>
        <s v="América Móvil"/>
        <s v="Telefónica"/>
        <s v="Siemens"/>
        <s v="Hon Hai Precision Industry"/>
        <s v="Samsung Electronics"/>
        <s v="Orange"/>
        <s v="SAP"/>
        <s v="Haier Smart Home"/>
        <s v="Tencent Holdings"/>
        <s v="Alibaba Group Holding"/>
        <s v="Midea Group"/>
        <s v="Panasonic Holdings"/>
        <s v="Flex"/>
        <s v="Compal Electronics"/>
        <s v="Pegatron"/>
        <s v="LG Electronics"/>
        <s v="Wistron"/>
        <s v="China Electronics"/>
        <s v="Luxshare Precision Industry"/>
        <s v="Gree Electric Appliances"/>
        <s v="Gree Electrical Appliances"/>
        <s v="Amer International Group"/>
        <s v="China United Network Communications"/>
        <s v="China Telecommunications"/>
        <s v="China Mobile Communications"/>
      </sharedItems>
    </cacheField>
    <cacheField name="Ventas en millones" numFmtId="0">
      <sharedItems containsSemiMixedTypes="0" containsString="0" containsNumber="1" minValue="21941.1" maxValue="513983"/>
    </cacheField>
    <cacheField name="VENTAS_CAMBIO%" numFmtId="0">
      <sharedItems containsSemiMixedTypes="0" containsString="0" containsNumber="1" minValue="-53.3" maxValue="197.3"/>
    </cacheField>
    <cacheField name="GANANCIA_MILL" numFmtId="0">
      <sharedItems containsSemiMixedTypes="0" containsString="0" containsNumber="1" minValue="-15204.7" maxValue="99803" count="435">
        <n v="2442"/>
        <n v="5563"/>
        <n v="39370"/>
        <n v="-322"/>
        <n v="29146"/>
        <n v="3250"/>
        <n v="1908"/>
        <n v="1230"/>
        <n v="22112"/>
        <n v="10217"/>
        <n v="12920"/>
        <n v="2949"/>
        <n v="10737"/>
        <n v="208"/>
        <n v="5055"/>
        <n v="3203"/>
        <n v="-8524"/>
        <n v="-2722"/>
        <n v="4654"/>
        <n v="3222"/>
        <n v="-5176"/>
        <n v="5327"/>
        <n v="2756"/>
        <n v="-241"/>
        <n v="2859"/>
        <n v="-39"/>
        <n v="6203"/>
        <n v="-12650"/>
        <n v="21256"/>
        <n v="22065"/>
        <n v="15528"/>
        <n v="13127"/>
        <n v="17879"/>
        <n v="11497"/>
        <n v="875"/>
        <n v="17801"/>
        <n v="9625"/>
        <n v="23200"/>
        <n v="59972"/>
        <n v="99803"/>
        <n v="6503"/>
        <n v="76033"/>
        <n v="94680"/>
        <n v="2844"/>
        <n v="40269"/>
        <n v="57411"/>
        <n v="3825"/>
        <n v="30736"/>
        <n v="59531"/>
        <n v="8901"/>
        <n v="2496"/>
        <n v="19478"/>
        <n v="45687"/>
        <n v="9938"/>
        <n v="16348"/>
        <n v="4554"/>
        <n v="53394"/>
        <n v="10955"/>
        <n v="14444"/>
        <n v="39510"/>
        <n v="10925"/>
        <n v="37037"/>
        <n v="9981"/>
        <n v="41733"/>
        <n v="4966"/>
        <n v="6717"/>
        <n v="5370"/>
        <n v="72738"/>
        <n v="1151.3"/>
        <n v="5542"/>
        <n v="13746"/>
        <n v="14159"/>
        <n v="33364"/>
        <n v="61271"/>
        <n v="4779"/>
        <n v="10135"/>
        <n v="10534"/>
        <n v="44281"/>
        <n v="21331"/>
        <n v="6765"/>
        <n v="11731"/>
        <n v="16571"/>
        <n v="19370"/>
        <n v="10073"/>
        <n v="4809"/>
        <n v="8695"/>
        <n v="16798"/>
        <n v="2371"/>
        <n v="12976"/>
        <n v="2710"/>
        <n v="1990"/>
        <n v="4768"/>
        <n v="8163"/>
        <n v="12193"/>
        <n v="13345"/>
        <n v="2714"/>
        <n v="2147"/>
        <n v="4239"/>
        <n v="8380"/>
        <n v="22074"/>
        <n v="6224"/>
        <n v="2004"/>
        <n v="3924"/>
        <n v="6816"/>
        <n v="21863"/>
        <n v="18249"/>
        <n v="1968"/>
        <n v="2372"/>
        <n v="16978"/>
        <n v="7264"/>
        <n v="-9141"/>
        <n v="20081"/>
        <n v="3522"/>
        <n v="596"/>
        <n v="274"/>
        <n v="5113"/>
        <n v="-4326"/>
        <n v="5013"/>
        <n v="-2310"/>
        <n v="-1672"/>
        <n v="-994"/>
        <n v="-7167.3"/>
        <n v="1543.1"/>
        <n v="1075.2"/>
        <n v="130.5"/>
        <n v="47052.6"/>
        <n v="2049.1"/>
        <n v="596.29999999999995"/>
        <n v="-376.7"/>
        <n v="1999.4"/>
        <n v="-1722.5"/>
        <n v="-573"/>
        <n v="535.1"/>
        <n v="-6904"/>
        <n v="-1492.3"/>
        <n v="-3831.8"/>
        <n v="1231.0999999999999"/>
        <n v="115.4"/>
        <n v="-894.8"/>
        <n v="485.2"/>
        <n v="1202.2"/>
        <n v="1234.5999999999999"/>
        <n v="391"/>
        <n v="207.1"/>
        <n v="-6567.2"/>
        <n v="290.39999999999998"/>
        <n v="-2090.9"/>
        <n v="933.7"/>
        <n v="518.20000000000005"/>
        <n v="-9082.7999999999993"/>
        <n v="1580.3"/>
        <n v="5005.1000000000004"/>
        <n v="4795.6000000000004"/>
        <n v="6923.4"/>
        <n v="8962.4"/>
        <n v="-15204.7"/>
        <n v="1732.8"/>
        <n v="1811.4"/>
        <n v="1956"/>
        <n v="5194"/>
        <n v="5986.4"/>
        <n v="7853.1"/>
        <n v="10513.9"/>
        <n v="780.4"/>
        <n v="1821.9"/>
        <n v="6145.7"/>
        <n v="4731.8"/>
        <n v="11053.6"/>
        <n v="8642.6"/>
        <n v="9138.7999999999993"/>
        <n v="2289.5"/>
        <n v="2044.2"/>
        <n v="5570.9"/>
        <n v="8264"/>
        <n v="2007.2"/>
        <n v="12727.9"/>
        <n v="7707.5"/>
        <n v="1385"/>
        <n v="1942.6"/>
        <n v="5045.1000000000004"/>
        <n v="676.4"/>
        <n v="13163.4"/>
        <n v="2134.3000000000002"/>
        <n v="7384.4"/>
        <n v="1819.5"/>
        <n v="1903.3"/>
        <n v="4118.8"/>
        <n v="3949.7"/>
        <n v="1434"/>
        <n v="6145.2"/>
        <n v="2362.5"/>
        <n v="1532"/>
        <n v="3214.6"/>
        <n v="507.3"/>
        <n v="5850.9"/>
        <n v="-1281.4000000000001"/>
        <n v="2645"/>
        <n v="5844.1"/>
        <n v="837.1"/>
        <n v="2814.1"/>
        <n v="2907.8"/>
        <n v="-878"/>
        <n v="2111.3000000000002"/>
        <n v="6311"/>
        <n v="457.1"/>
        <n v="3511.8"/>
        <n v="3302.1"/>
        <n v="2364.6"/>
        <n v="635.1"/>
        <n v="779.2"/>
        <n v="210.8"/>
        <n v="1053.8"/>
        <n v="6951.2"/>
        <n v="677.5"/>
        <n v="-6753.3"/>
        <n v="5048"/>
        <n v="5782"/>
        <n v="3204.8"/>
        <n v="20585.7"/>
        <n v="3205.8"/>
        <n v="3657"/>
        <n v="2257.1"/>
        <n v="275.5"/>
        <n v="3788.2"/>
        <n v="2422.5"/>
        <n v="5494.4"/>
        <n v="2754.5"/>
        <n v="2306"/>
        <n v="1935.2"/>
        <n v="3245.7"/>
        <n v="1560.8"/>
        <n v="2941.8"/>
        <n v="2506.4"/>
        <n v="2611.3000000000002"/>
        <n v="2486.5"/>
        <n v="2402.1999999999998"/>
        <n v="8415.1"/>
        <n v="4937.3999999999996"/>
        <n v="6214.3"/>
        <n v="5862.5"/>
        <n v="4737.8"/>
        <n v="4818.6000000000004"/>
        <n v="2556.1999999999998"/>
        <n v="4031.9"/>
        <n v="2958.1"/>
        <n v="3398.8"/>
        <n v="3609.6"/>
        <n v="8338"/>
        <n v="5620"/>
        <n v="12315.7"/>
        <n v="2424.8000000000002"/>
        <n v="1922.8"/>
        <n v="2833.1"/>
        <n v="-9281.1"/>
        <n v="2484.6"/>
        <n v="3896.6"/>
        <n v="-6058.7"/>
        <n v="94132"/>
        <n v="2186.9"/>
        <n v="367.8"/>
        <n v="1607.7"/>
        <n v="27984.2"/>
        <n v="10625"/>
        <n v="-551.79999999999995"/>
        <n v="2025.8"/>
        <n v="2029.8"/>
        <n v="2998.2"/>
        <n v="9700.5"/>
        <n v="34854.400000000001"/>
        <n v="1286.5"/>
        <n v="2950.1"/>
        <n v="1178.3"/>
        <n v="23166.2"/>
        <n v="22224"/>
        <n v="7160.2"/>
        <n v="11900.6"/>
        <n v="13094.4"/>
        <n v="6185.9"/>
        <n v="6489.5"/>
        <n v="2210.4"/>
        <n v="-128.1"/>
        <n v="817.2"/>
        <n v="1961.5"/>
        <n v="2273"/>
        <n v="1557.2"/>
        <n v="2562.8000000000002"/>
        <n v="1378.4"/>
        <n v="1609.8"/>
        <n v="666.3"/>
        <n v="2115.1"/>
        <n v="3787.8"/>
        <n v="4751"/>
        <n v="4988.3"/>
        <n v="9489.9"/>
        <n v="9620.6"/>
        <n v="613"/>
        <n v="2180.5"/>
        <n v="1802.6"/>
        <n v="3456.7"/>
        <n v="2733"/>
        <n v="3931.1"/>
        <n v="4281.6000000000004"/>
        <n v="39895.199999999997"/>
        <n v="781.4"/>
        <n v="252.1"/>
        <n v="469.3"/>
        <n v="599.6"/>
        <n v="66.2"/>
        <n v="462.9"/>
        <n v="2619.6999999999998"/>
        <n v="4608.8"/>
        <n v="19316.5"/>
        <n v="3518.5"/>
        <n v="854.7"/>
        <n v="-79.900000000000006"/>
        <n v="715.5"/>
        <n v="110"/>
        <n v="2209.4"/>
        <n v="3045"/>
        <n v="4627.1000000000004"/>
        <n v="16531.900000000001"/>
        <n v="389.3"/>
        <n v="3910.1"/>
        <n v="627.29999999999995"/>
        <n v="1551.9"/>
        <n v="6097.5"/>
        <n v="3594.8"/>
        <n v="27245.3"/>
        <n v="374.8"/>
        <n v="1790.8"/>
        <n v="0"/>
        <n v="-1145.8"/>
        <n v="59.3"/>
        <n v="3923.5"/>
        <n v="858.8"/>
        <n v="-2022.3"/>
        <n v="1089.3"/>
        <n v="232.1"/>
        <n v="3435.3"/>
        <n v="623.20000000000005"/>
        <n v="550.5"/>
        <n v="2574.8000000000002"/>
        <n v="483.7"/>
        <n v="2407.3000000000002"/>
        <n v="2134.6"/>
        <n v="3892.1"/>
        <n v="1227"/>
        <n v="379.3"/>
        <n v="3467.8"/>
        <n v="3980.9"/>
        <n v="9269.6"/>
        <n v="1632.4"/>
        <n v="6078.9"/>
        <n v="3878.8"/>
        <n v="2194.6999999999998"/>
        <n v="4711.8999999999996"/>
        <n v="7288.3"/>
        <n v="4307.8"/>
        <n v="21922.7"/>
        <n v="244.7"/>
        <n v="972.4"/>
        <n v="506.9"/>
        <n v="926.8"/>
        <n v="42397.7"/>
        <n v="452.3"/>
        <n v="735.6"/>
        <n v="901.6"/>
        <n v="1204.9000000000001"/>
        <n v="34293.5"/>
        <n v="294.8"/>
        <n v="317.89999999999998"/>
        <n v="860.1"/>
        <n v="686.2"/>
        <n v="1668.5"/>
        <n v="22116.400000000001"/>
        <n v="162.80000000000001"/>
        <n v="295.7"/>
        <n v="501.5"/>
        <n v="368.7"/>
        <n v="1127.2"/>
        <n v="273.60000000000002"/>
        <n v="561.70000000000005"/>
        <n v="750.2"/>
        <n v="321.89999999999998"/>
        <n v="161.5"/>
        <n v="206.4"/>
        <n v="3485.1"/>
        <n v="-501.1"/>
        <n v="-158.1"/>
        <n v="1362.2"/>
        <n v="4393.3999999999996"/>
        <n v="3575.6"/>
        <n v="4429.8"/>
        <n v="3213.8"/>
        <n v="3945.3"/>
        <n v="1124.8"/>
        <n v="3961.3"/>
        <n v="3058.5"/>
        <n v="1199.9000000000001"/>
        <n v="2021.9"/>
        <n v="552.4"/>
        <n v="1140.5"/>
        <n v="957.7"/>
        <n v="828.7"/>
        <n v="646.20000000000005"/>
        <n v="2037.7"/>
        <n v="10451.200000000001"/>
        <n v="833.3"/>
        <n v="560"/>
        <n v="569.20000000000005"/>
        <n v="375.3"/>
        <n v="1085.0999999999999"/>
        <n v="2060.8000000000002"/>
        <n v="14718.3"/>
        <n v="977.5"/>
        <n v="1935"/>
        <n v="14628.9"/>
        <n v="-97.2"/>
        <n v="800.2"/>
        <n v="1886.1"/>
        <n v="12920.1"/>
        <n v="350.3"/>
        <n v="616.9"/>
        <n v="1664.6"/>
        <n v="11745.3"/>
        <n v="23.2"/>
        <n v="1764.6"/>
        <n v="9614.2999999999993"/>
        <n v="176.3"/>
        <n v="1715.7"/>
        <n v="10144.200000000001"/>
        <n v="1555.8"/>
        <n v="9197.9"/>
        <n v="1066.5"/>
        <n v="11850.6"/>
      </sharedItems>
    </cacheField>
    <cacheField name="GANANCIA_CAMBIO%" numFmtId="0">
      <sharedItems containsSemiMixedTypes="0" containsString="0" containsNumber="1" minValue="-1852.7" maxValue="13794.5"/>
    </cacheField>
    <cacheField name="ACTIVOS_MILL" numFmtId="0">
      <sharedItems containsSemiMixedTypes="0" containsString="0" containsNumber="1" minValue="9985.2999999999993" maxValue="551622"/>
    </cacheField>
    <cacheField name="ACCIONES_MILL" numFmtId="0">
      <sharedItems containsSemiMixedTypes="0" containsString="0" containsNumber="1" minValue="-6544.0001000000002" maxValue="274401.5" count="438">
        <n v="-3122"/>
        <n v="-1685"/>
        <n v="124879"/>
        <n v="16049"/>
        <n v="128290"/>
        <n v="2479"/>
        <n v="21239"/>
        <n v="36285"/>
        <n v="84127"/>
        <n v="59194"/>
        <n v="87309.001900000003"/>
        <n v="-5431"/>
        <n v="71715"/>
        <n v="58359"/>
        <n v="9119"/>
        <n v="-2918"/>
        <n v="97500"/>
        <n v="146043"/>
        <n v="14050"/>
        <n v="23805"/>
        <n v="161673"/>
        <n v="-639"/>
        <n v="-5213"/>
        <n v="10741"/>
        <n v="-6544.0001000000002"/>
        <n v="8192"/>
        <n v="49356"/>
        <n v="22436"/>
        <n v="91144"/>
        <n v="81790"/>
        <n v="53145"/>
        <n v="22524"/>
        <n v="16428"/>
        <n v="38836.001900000003"/>
        <n v="33157"/>
        <n v="67842"/>
        <n v="12298"/>
        <n v="125713"/>
        <n v="256144"/>
        <n v="50672"/>
        <n v="-1650"/>
        <n v="251635"/>
        <n v="63090"/>
        <n v="-2228"/>
        <n v="222544"/>
        <n v="65339"/>
        <n v="45726"/>
        <n v="177628"/>
        <n v="107147"/>
        <n v="47289"/>
        <n v="-3889"/>
        <n v="139036"/>
        <n v="128249"/>
        <n v="48663"/>
        <n v="120331"/>
        <n v="27768"/>
        <n v="119355"/>
        <n v="46878"/>
        <n v="104500"/>
        <n v="111547"/>
        <n v="44648.001900000003"/>
        <n v="123549.0019"/>
        <n v="43688"/>
        <n v="118210"/>
        <n v="16697"/>
        <n v="-6220"/>
        <n v="80943"/>
        <n v="166542"/>
        <n v="5235.3999999999996"/>
        <n v="18569"/>
        <n v="5238"/>
        <n v="96092"/>
        <n v="138245"/>
        <n v="141988"/>
        <n v="17549"/>
        <n v="12074"/>
        <n v="90323"/>
        <n v="118304"/>
        <n v="93404"/>
        <n v="18180"/>
        <n v="71613"/>
        <n v="82718"/>
        <n v="184089"/>
        <n v="43549"/>
        <n v="19369"/>
        <n v="53943"/>
        <n v="71997"/>
        <n v="19285"/>
        <n v="123135"/>
        <n v="8081"/>
        <n v="21140"/>
        <n v="18283"/>
        <n v="52269"/>
        <n v="80083"/>
        <n v="122671"/>
        <n v="21896"/>
        <n v="10119"/>
        <n v="17657"/>
        <n v="52711"/>
        <n v="89784"/>
        <n v="86370"/>
        <n v="10585.001899999999"/>
        <n v="17467.001899999999"/>
        <n v="50694.001900000003"/>
        <n v="78944.001900000003"/>
        <n v="90988.001900000003"/>
        <n v="10295"/>
        <n v="10680"/>
        <n v="66363"/>
        <n v="92362"/>
        <n v="7340"/>
        <n v="166332"/>
        <n v="40139"/>
        <n v="13384"/>
        <n v="9746.0018999999993"/>
        <n v="27269.001899999999"/>
        <n v="7087"/>
        <n v="26731"/>
        <n v="-5765"/>
        <n v="13243"/>
        <n v="18668.7"/>
        <n v="68026.600000000006"/>
        <n v="30935.200000000001"/>
        <n v="10529.2"/>
        <n v="65513.9"/>
        <n v="92342.6"/>
        <n v="10388.299999999999"/>
        <n v="3396.5"/>
        <n v="8705.7000000000007"/>
        <n v="22365.5"/>
        <n v="-2668"/>
        <n v="4877"/>
        <n v="3223.6"/>
        <n v="77211"/>
        <n v="4703.2"/>
        <n v="2926.4"/>
        <n v="21919.7"/>
        <n v="3292.6019000000001"/>
        <n v="23506.601900000001"/>
        <n v="8490.1018999999997"/>
        <n v="15035.001899999999"/>
        <n v="32900.501900000003"/>
        <n v="9553.1"/>
        <n v="9537.9"/>
        <n v="1954.6"/>
        <n v="14684.7"/>
        <n v="25544.1"/>
        <n v="11004.9"/>
        <n v="23380.5"/>
        <n v="13447.1"/>
        <n v="24401.3"/>
        <n v="38589.800000000003"/>
        <n v="37237.1"/>
        <n v="54465.2"/>
        <n v="64497.2"/>
        <n v="82165.2"/>
        <n v="9938.5"/>
        <n v="24511.5"/>
        <n v="24961.1"/>
        <n v="35761.800000000003"/>
        <n v="41039.300000000003"/>
        <n v="58845.8"/>
        <n v="68218.899999999994"/>
        <n v="24947"/>
        <n v="24903.200000000001"/>
        <n v="43035.4"/>
        <n v="31876.1"/>
        <n v="50414.5"/>
        <n v="68378.899999999994"/>
        <n v="13162.2"/>
        <n v="25775.8"/>
        <n v="21685.599999999999"/>
        <n v="37801.5"/>
        <n v="33851.800000000003"/>
        <n v="29480.5"/>
        <n v="68866.7"/>
        <n v="83716.600000000006"/>
        <n v="23864.9"/>
        <n v="18307.400000000001"/>
        <n v="31904"/>
        <n v="22414.9"/>
        <n v="32190.6"/>
        <n v="26632.1"/>
        <n v="81253.7"/>
        <n v="24662.6"/>
        <n v="16362.1"/>
        <n v="29437.9"/>
        <n v="23256.9"/>
        <n v="24337.8"/>
        <n v="78606.600000000006"/>
        <n v="27693.001899999999"/>
        <n v="14803.6019"/>
        <n v="25810.501899999999"/>
        <n v="11936.2019"/>
        <n v="18989.7019"/>
        <n v="21930.001899999999"/>
        <n v="25747.7019"/>
        <n v="82658.601899999994"/>
        <n v="13830.5"/>
        <n v="30052.400000000001"/>
        <n v="23601.9"/>
        <n v="8857.1"/>
        <n v="22154.9"/>
        <n v="88500.4"/>
        <n v="10992.2"/>
        <n v="11764.7"/>
        <n v="-397.8"/>
        <n v="21937.5"/>
        <n v="2666.6"/>
        <n v="4264"/>
        <n v="24340.5"/>
        <n v="32040.1"/>
        <n v="23241.7"/>
        <n v="108516.4"/>
        <n v="34167.699999999997"/>
        <n v="26971.7"/>
        <n v="39531.9"/>
        <n v="22265"/>
        <n v="109387.7"/>
        <n v="-986.80010000000004"/>
        <n v="27143.4"/>
        <n v="33913.5"/>
        <n v="36771.699999999997"/>
        <n v="27788.3"/>
        <n v="25238.400000000001"/>
        <n v="42092.6"/>
        <n v="23753.8"/>
        <n v="35054.699999999997"/>
        <n v="21613.599999999999"/>
        <n v="32364.5"/>
        <n v="22645.1"/>
        <n v="33571.199999999997"/>
        <n v="23714.7019"/>
        <n v="24052.301899999999"/>
        <n v="33548.101900000001"/>
        <n v="42878.5"/>
        <n v="51811.4"/>
        <n v="48526"/>
        <n v="44175.9"/>
        <n v="36367.699999999997"/>
        <n v="43961.3"/>
        <n v="32955"/>
        <n v="35326.699999999997"/>
        <n v="27816.9"/>
        <n v="30905.9"/>
        <n v="25272.6"/>
        <n v="31934.3"/>
        <n v="38476.400000000001"/>
        <n v="38048.2019"/>
        <n v="68914.7"/>
        <n v="60653.4"/>
        <n v="16107.7"/>
        <n v="13245.6"/>
        <n v="69852.100000000006"/>
        <n v="10420.1"/>
        <n v="14917.1"/>
        <n v="94683.3"/>
        <n v="118019.80190000001"/>
        <n v="13545"/>
        <n v="20828.5"/>
        <n v="5587.6"/>
        <n v="104591.9"/>
        <n v="144105.20000000001"/>
        <n v="32888.6"/>
        <n v="12564.5"/>
        <n v="4990.6000000000004"/>
        <n v="21601.200000000001"/>
        <n v="149618.9"/>
        <n v="126934.2"/>
        <n v="10240.1"/>
        <n v="18956.599999999999"/>
        <n v="3559"/>
        <n v="107890.3"/>
        <n v="143085.9"/>
        <n v="28742.3"/>
        <n v="47119.7"/>
        <n v="73250.3"/>
        <n v="25127.599999999999"/>
        <n v="40453.699999999997"/>
        <n v="8795.9"/>
        <n v="3000.2"/>
        <n v="3010.1019000000001"/>
        <n v="27259.3"/>
        <n v="26068.400000000001"/>
        <n v="23454.2"/>
        <n v="17290.3"/>
        <n v="14109"/>
        <n v="15172.2"/>
        <n v="10578.6019"/>
        <n v="26768.9"/>
        <n v="19187"/>
        <n v="47235.199999999997"/>
        <n v="49810.8"/>
        <n v="19044.8"/>
        <n v="25249.4"/>
        <n v="3436"/>
        <n v="12576.1"/>
        <n v="13749.4"/>
        <n v="46197.7"/>
        <n v="9953.2000000000007"/>
        <n v="20513.400000000001"/>
        <n v="39428.6"/>
        <n v="215173.4"/>
        <n v="10728.7"/>
        <n v="3283.3"/>
        <n v="4122.7"/>
        <n v="4601.1000000000004"/>
        <n v="9926.4"/>
        <n v="10142.700000000001"/>
        <n v="19148.900000000001"/>
        <n v="33475.5"/>
        <n v="154375.9"/>
        <n v="10836.7"/>
        <n v="10400.9"/>
        <n v="19128"/>
        <n v="12667.3"/>
        <n v="9917.7000000000007"/>
        <n v="6502.1"/>
        <n v="19433.2"/>
        <n v="30682.1"/>
        <n v="147468"/>
        <n v="10056.1019"/>
        <n v="11540.3019"/>
        <n v="4137.7019"/>
        <n v="15450.6019"/>
        <n v="15454.901900000001"/>
        <n v="29188.7019"/>
        <n v="25660.101900000001"/>
        <n v="136886.5019"/>
        <n v="3138.6"/>
        <n v="21954"/>
        <n v="11899.1"/>
        <n v="19323.5"/>
        <n v="11634.7"/>
        <n v="13043.3"/>
        <n v="10401.6"/>
        <n v="971.5"/>
        <n v="9931.9"/>
        <n v="3201.7"/>
        <n v="1199.3"/>
        <n v="4188.7"/>
        <n v="13148.2"/>
        <n v="23874.2"/>
        <n v="4230.1000000000004"/>
        <n v="24843"/>
        <n v="15363.2"/>
        <n v="24619.4"/>
        <n v="35764.1"/>
        <n v="10663.7"/>
        <n v="12510.9"/>
        <n v="25547.5"/>
        <n v="98181.7"/>
        <n v="15205.5"/>
        <n v="23737"/>
        <n v="30776.799999999999"/>
        <n v="24437.599999999999"/>
        <n v="72403.100000000006"/>
        <n v="39098.1"/>
        <n v="29437.7"/>
        <n v="147572.1"/>
        <n v="3787"/>
        <n v="5508.4"/>
        <n v="5942.5"/>
        <n v="15097.5"/>
        <n v="274401.5"/>
        <n v="2811.5"/>
        <n v="4018.2"/>
        <n v="6011.6"/>
        <n v="14498.8"/>
        <n v="5814.4"/>
        <n v="249270.2"/>
        <n v="2548.5"/>
        <n v="3804.4"/>
        <n v="5140.8"/>
        <n v="5790.2"/>
        <n v="14203.1"/>
        <n v="246267.2"/>
        <n v="2243.1"/>
        <n v="3439.7"/>
        <n v="4388.8999999999996"/>
        <n v="4881.2"/>
        <n v="12775.2"/>
        <n v="3159.9"/>
        <n v="4042"/>
        <n v="4579"/>
        <n v="3600.8018999999999"/>
        <n v="11125.1019"/>
        <n v="3308.7"/>
        <n v="14885.6"/>
        <n v="10447.9"/>
        <n v="10515.5"/>
        <n v="6574.1"/>
        <n v="20723.7"/>
        <n v="16317.7"/>
        <n v="19657.8"/>
        <n v="17653.7"/>
        <n v="18010.2"/>
        <n v="5739"/>
        <n v="13301.9"/>
        <n v="12099.6"/>
        <n v="10004.5"/>
        <n v="7577"/>
        <n v="12116.9"/>
        <n v="9470.7999999999993"/>
        <n v="8744.6"/>
        <n v="4083.6"/>
        <n v="12465.6"/>
        <n v="60519.5"/>
        <n v="135406.79999999999"/>
        <n v="7990.6018999999997"/>
        <n v="12365.401900000001"/>
        <n v="6950.3"/>
        <n v="11604.1"/>
        <n v="22381.599999999999"/>
        <n v="57445.7"/>
        <n v="182777.2"/>
        <n v="23491"/>
        <n v="60156.1"/>
        <n v="186106.4"/>
        <n v="9949.7999999999993"/>
        <n v="22637.3"/>
        <n v="57227.1"/>
        <n v="168938.5"/>
        <n v="6317.4"/>
        <n v="20412.2"/>
        <n v="53533.1"/>
        <n v="143530.5"/>
        <n v="4830.8"/>
        <n v="11152.3"/>
        <n v="50919.1"/>
        <n v="130459.2"/>
        <n v="4871.3999999999996"/>
        <n v="57901.5"/>
        <n v="134371.1"/>
        <n v="60093.7019"/>
        <n v="130149.60189999999"/>
        <n v="56985.5"/>
        <n v="118852.6"/>
      </sharedItems>
    </cacheField>
    <cacheField name="VALOR_MERCADO_MILL" numFmtId="0">
      <sharedItems containsSemiMixedTypes="0" containsString="0" containsNumber="1" minValue="0" maxValue="2849537.6"/>
    </cacheField>
    <cacheField name="GANANCIAS_%VTAS" numFmtId="0">
      <sharedItems containsSemiMixedTypes="0" containsString="0" containsNumber="1" minValue="-28.7" maxValue="142.70189999999999"/>
    </cacheField>
    <cacheField name="GANANCIAS_%ACTIVOS" numFmtId="0">
      <sharedItems containsSemiMixedTypes="0" containsString="0" containsNumber="1" minValue="-29.568300000000001" maxValue="46.301900000000003"/>
    </cacheField>
    <cacheField name="GANANCIAS_%CAPITAL0CONTABLE" numFmtId="0">
      <sharedItems containsSemiMixedTypes="0" containsString="0" containsNumber="1" minValue="-208.16263510036001" maxValue="286.44209121987802"/>
    </cacheField>
    <cacheField name="GANANCIAS_POR_ACCIÓN" numFmtId="0">
      <sharedItems containsSemiMixedTypes="0" containsString="0" containsNumber="1" minValue="-6.41" maxValue="112.2"/>
    </cacheField>
    <cacheField name="EPS_CAMBIO%" numFmtId="0">
      <sharedItems containsSemiMixedTypes="0" containsString="0" containsNumber="1" minValue="-293.10000000000002" maxValue="1190.3018999999999"/>
    </cacheField>
    <cacheField name="5_AÑO_EPS_TASA_ANUAL0" numFmtId="0">
      <sharedItems containsSemiMixedTypes="0" containsString="0" containsNumber="1" minValue="-30.4" maxValue="102.6"/>
    </cacheField>
    <cacheField name="10_AÑO_EPS_TASA_ANUAL0" numFmtId="0">
      <sharedItems containsSemiMixedTypes="0" containsString="0" containsNumber="1" minValue="-14.5" maxValue="96.5"/>
    </cacheField>
    <cacheField name="RETORNO_INVERSIONISTAS" numFmtId="0">
      <sharedItems containsSemiMixedTypes="0" containsString="0" containsNumber="1" minValue="-64.2" maxValue="142.30000000000001"/>
    </cacheField>
    <cacheField name="5_AÑOS_RETORNO_INVERSIONISTAS" numFmtId="0">
      <sharedItems containsSemiMixedTypes="0" containsString="0" containsNumber="1" minValue="-21.4" maxValue="50.701900000000002"/>
    </cacheField>
    <cacheField name="10_AÑOS_RETORNO_INVERSIONISTAS" numFmtId="0">
      <sharedItems containsSemiMixedTypes="0" containsString="0" containsNumber="1" minValue="-9.1999999999999993" maxValue="54"/>
    </cacheField>
    <cacheField name="EMPLEO" numFmtId="0">
      <sharedItems containsSemiMixedTypes="0" containsString="0" containsNumber="1" containsInteger="1" minValue="15109" maxValue="1608000"/>
    </cacheField>
    <cacheField name="INDUSTRIA" numFmtId="0">
      <sharedItems/>
    </cacheField>
    <cacheField name="EMISORA" numFmtId="0">
      <sharedItems containsBlank="1" count="119">
        <s v="DELL"/>
        <s v="META"/>
        <s v="HPE"/>
        <s v="FB"/>
        <s v="CHTR"/>
        <s v="GOOG00"/>
        <s v="DTV000"/>
        <s v="FB0000"/>
        <s v="CRM"/>
        <s v="HPQ"/>
        <s v="T"/>
        <s v="AMZN"/>
        <m/>
        <s v="AMZN00"/>
        <s v="CMCS0A"/>
        <s v="HPQ000"/>
        <s v="VZ"/>
        <s v="VZ0000"/>
        <s v="GOOGL"/>
        <s v="AAPL"/>
        <s v="ORCL"/>
        <s v="ORCL00"/>
        <s v="AAPL00"/>
        <s v="GOOGL0"/>
        <s v="HON"/>
        <s v="CMCSA"/>
        <s v="MSFT"/>
        <s v="KMX"/>
        <s v="EMR"/>
        <s v="EMC"/>
        <s v="EMR000"/>
        <s v="HON000"/>
        <s v="CMCSA0"/>
        <s v="MSFT00"/>
        <s v="T00000"/>
        <s v="DELL00"/>
        <s v="UBER"/>
        <s v="S00000"/>
        <s v="CHTR00"/>
        <s v="MPNGY"/>
        <s v="SFTBY"/>
        <s v="JD"/>
        <s v="TOSYY"/>
        <s v="VOD"/>
        <s v="XIACY"/>
        <s v="LNVGY"/>
        <s v="TI"/>
        <s v="ALVVF"/>
        <s v="SNE"/>
        <s v="SHCAY0"/>
        <s v="TI0000"/>
        <s v="FJTSY0"/>
        <s v="PC0000"/>
        <s v="DTEGY0"/>
        <s v="RICOY0"/>
        <s v="LPL000"/>
        <s v="PHG000"/>
        <s v="TOSBF0"/>
        <s v="SNE000"/>
        <s v="ALVVF0"/>
        <s v="JD0000"/>
        <s v="LNVGY0"/>
        <s v="VOD000"/>
        <s v="MIELY"/>
        <s v="KDDIY"/>
        <s v="HTHIY"/>
        <s v="SONY"/>
        <s v="NTTYY"/>
        <s v="CAJ"/>
        <s v="NTT"/>
        <s v="CAJ000"/>
        <s v="MIELY0"/>
        <s v="KDDIY0"/>
        <s v="SFTBY0"/>
        <s v="HTHIY0"/>
        <s v="NTT000"/>
        <s v="NTTYY0"/>
        <s v="SMTOY0"/>
        <s v="TLSYY0"/>
        <s v="BT0000"/>
        <s v="SBGSY0"/>
        <s v="QUCCF0"/>
        <s v="VIV000"/>
        <s v="FTE000"/>
        <s v="AMX000"/>
        <s v="TEF000"/>
        <s v="SI0000"/>
        <s v="HNHPF0"/>
        <s v="SSNLF0"/>
        <s v="SBGSY"/>
        <s v="ORAN"/>
        <s v="ORAN00"/>
        <s v="SAP"/>
        <s v="DTEGY"/>
        <s v="SIEGY"/>
        <s v="SAP000"/>
        <s v="BTGOF"/>
        <s v="BT"/>
        <s v="HSHCY"/>
        <s v="TCEHY"/>
        <s v="BABA"/>
        <s v="HRSHF"/>
        <s v="XIACF"/>
        <s v="????"/>
        <s v="TCEHY0"/>
        <s v="BABA00"/>
        <s v="????00"/>
        <s v="PCRFY"/>
        <s v="PCRFY0"/>
        <s v="TEF"/>
        <s v="AMX"/>
        <s v="HNHPF"/>
        <s v="FLEX"/>
        <s v="LPL"/>
        <s v="???"/>
        <s v="SSNLF"/>
        <s v="TLSYY"/>
        <s v="PHG"/>
        <s v="???000"/>
      </sharedItems>
    </cacheField>
    <cacheField name="WEB" numFmtId="0">
      <sharedItems/>
    </cacheField>
    <cacheField name="Capital Contable en millones" numFmtId="0">
      <sharedItems containsMixedTypes="1" containsNumber="1" minValue="-5213" maxValue="273533.54838709702" count="391">
        <s v="∞"/>
        <n v="124984.126984127"/>
        <n v="16100"/>
        <n v="128396.475770925"/>
        <n v="2479.0236460717001"/>
        <n v="21200"/>
        <n v="36176.470588235301"/>
        <n v="84076.045627376399"/>
        <n v="59057.803468208098"/>
        <n v="87286.091650396207"/>
        <n v="71580"/>
        <n v="52000"/>
        <n v="9124.5487364620894"/>
        <n v="97977.011494252904"/>
        <n v="143263.157894737"/>
        <n v="14060.4229607251"/>
        <n v="23866.666666666701"/>
        <n v="161750"/>
        <n v="-5213"/>
        <n v="10741"/>
        <n v="3900"/>
        <n v="47715.384615384603"/>
        <n v="22589.285714285699"/>
        <n v="91227.4678111588"/>
        <n v="81722.222222222204"/>
        <n v="53178.082191780799"/>
        <n v="22516.295025728999"/>
        <n v="16432.904411764699"/>
        <n v="38838.723190065502"/>
        <n v="29166.666666666701"/>
        <n v="67942.748091603004"/>
        <n v="12298"/>
        <n v="125405.40540540501"/>
        <n v="256290.59829059799"/>
        <n v="50661.421319797002"/>
        <n v="251764.90066225201"/>
        <n v="63077.948034643603"/>
        <n v="222480.66298342499"/>
        <n v="65313.993174061397"/>
        <n v="45535.714285714297"/>
        <n v="177664.739884393"/>
        <n v="107070.14388489199"/>
        <n v="47345.744680851101"/>
        <n v="139128.57142857101"/>
        <n v="128334.269662921"/>
        <n v="48715.686274509797"/>
        <n v="120205.882352941"/>
        <n v="27768.2926829268"/>
        <n v="119449.66442953001"/>
        <n v="46878"/>
        <n v="104500"/>
        <n v="111547"/>
        <n v="44588.378860414901"/>
        <n v="123448.848239611"/>
        <n v="43395.652173912997"/>
        <n v="119237.142857143"/>
        <n v="16720.538720538701"/>
        <n v="81363.636363636397"/>
        <n v="166448.51258581199"/>
        <n v="5233.1818181818198"/>
        <n v="18597.315436241599"/>
        <n v="5238.5670731707296"/>
        <n v="96319.727891156494"/>
        <n v="138439.834024896"/>
        <n v="141831.01851851901"/>
        <n v="17569.852941176501"/>
        <n v="12079.8569725864"/>
        <n v="90034.188034188002"/>
        <n v="118398.395721925"/>
        <n v="93557.017543859605"/>
        <n v="18185.483870967699"/>
        <n v="71530.487804878096"/>
        <n v="82855"/>
        <n v="184476.19047619001"/>
        <n v="43606.060606060601"/>
        <n v="19391.129032258101"/>
        <n v="54006.211180124199"/>
        <n v="72094.420600858401"/>
        <n v="19276.422764227598"/>
        <n v="123580.952380952"/>
        <n v="8089.5522388059699"/>
        <n v="21170.2127659574"/>
        <n v="18268.199233716499"/>
        <n v="52326.9230769231"/>
        <n v="80217.105263157893"/>
        <n v="122431.19266055"/>
        <n v="21896"/>
        <n v="10119"/>
        <n v="17657"/>
        <n v="52711"/>
        <n v="89784"/>
        <n v="86370"/>
        <n v="10602.108782715"/>
        <n v="17438.527413240699"/>
        <n v="50858.460367559797"/>
        <n v="78922.384385186597"/>
        <n v="90782.463349235593"/>
        <n v="10357.8947368421"/>
        <n v="10781.8181818182"/>
        <n v="65300"/>
        <n v="90800"/>
        <n v="7342.1686746987998"/>
        <n v="165958.67768595001"/>
        <n v="40022.727272727301"/>
        <n v="13244.4444444444"/>
        <n v="9779.0784824583297"/>
        <n v="27194.060174769598"/>
        <n v="7091.8032786885296"/>
        <n v="26731"/>
        <e v="#NAME?"/>
        <n v="13269.841269841299"/>
        <n v="18754.7169811321"/>
        <n v="68260"/>
        <n v="30862"/>
        <n v="10541.1764705882"/>
        <n v="65250"/>
        <n v="92260"/>
        <n v="10401.522842639601"/>
        <n v="3388.0681818181802"/>
        <n v="8760.4651162790706"/>
        <n v="22465.168539325801"/>
        <n v="4897.4358974359002"/>
        <n v="3223.4939759036101"/>
        <n v="77573.033707865194"/>
        <n v="4707.5709779179797"/>
        <n v="2927.2727272727302"/>
        <n v="21983.928571428602"/>
        <n v="3295.3539507124701"/>
        <n v="23546.748769769201"/>
        <n v="8509.4442203475992"/>
        <n v="15023.931816193701"/>
        <n v="32473.237065677698"/>
        <n v="24312.307692307699"/>
        <n v="38500.769230769198"/>
        <n v="37175.193798449603"/>
        <n v="54514.960629921297"/>
        <n v="64477.6978417266"/>
        <n v="82187.567567567603"/>
        <n v="9958.6206896551703"/>
        <n v="24478.378378378398"/>
        <n v="25076.9230769231"/>
        <n v="35820.689655172398"/>
        <n v="41002.739726027401"/>
        <n v="59045.864661654101"/>
        <n v="68272.077922077893"/>
        <n v="25174.193548387098"/>
        <n v="24957.534246575298"/>
        <n v="42976.9230769231"/>
        <n v="31971.621621621602"/>
        <n v="50473.0593607306"/>
        <n v="68592.063492063506"/>
        <n v="13168.2997118156"/>
        <n v="25724.719101123599"/>
        <n v="21746.808510638301"/>
        <n v="37897.278911564601"/>
        <n v="33868.852459016402"/>
        <n v="29517.647058823499"/>
        <n v="68799.459459459496"/>
        <n v="83777.173913043502"/>
        <n v="23879.310344827602"/>
        <n v="18326.415094339602"/>
        <n v="31931.012658227799"/>
        <n v="22546.666666666701"/>
        <n v="32184.352078239601"/>
        <n v="26678.75"/>
        <n v="81147.2527472527"/>
        <n v="24587.8378378378"/>
        <n v="16407.758620689699"/>
        <n v="29420"/>
        <n v="23233.529411764699"/>
        <n v="24305.084745762699"/>
        <n v="78784.615384615405"/>
        <n v="27787.906232724501"/>
        <n v="14871.0432056223"/>
        <n v="25712.891640470702"/>
        <n v="11792.4637950673"/>
        <n v="18995.256786107399"/>
        <n v="22092.722539266601"/>
        <n v="25674.875508401401"/>
        <n v="82289.246539658401"/>
        <n v="27088.888888888901"/>
        <n v="33688.059701492501"/>
        <n v="39357.142857142899"/>
        <n v="27854.411764705899"/>
        <n v="25234.375"/>
        <n v="41941.9847328244"/>
        <n v="23745.689655172398"/>
        <n v="34939.3939393939"/>
        <n v="21502.222222222201"/>
        <n v="32457"/>
        <n v="22620.2898550725"/>
        <n v="33429.5454545455"/>
        <n v="23641.045472981299"/>
        <n v="23952.705491703298"/>
        <n v="33592.726191923699"/>
        <n v="42896.428571428602"/>
        <n v="51945.0617283951"/>
        <n v="48405.882352941197"/>
        <n v="44073.0496453901"/>
        <n v="36413.043478260901"/>
        <n v="43868.518518518496"/>
        <n v="33004.109589041102"/>
        <n v="35502.777777777803"/>
        <n v="27806.206896551699"/>
        <n v="30813.541666666701"/>
        <n v="25364.1791044776"/>
        <n v="31943.362831858401"/>
        <n v="38423.963133640602"/>
        <n v="37968.098690033003"/>
        <n v="68802.793296089396"/>
        <n v="60620"/>
        <n v="16157.9831932773"/>
        <n v="13238.785046729001"/>
        <n v="69782.706766917298"/>
        <n v="10439.4957983193"/>
        <n v="14929.501915708801"/>
        <n v="94667.1875"/>
        <n v="117957.09124720099"/>
        <n v="13583.2298136646"/>
        <n v="20433.333333333299"/>
        <n v="5582.2916666666697"/>
        <n v="104418.656716418"/>
        <n v="143581.08108108101"/>
        <n v="32458.823529411799"/>
        <n v="12582.608695652199"/>
        <n v="4987.2235872235897"/>
        <n v="21569.784172661901"/>
        <n v="149238.461538462"/>
        <n v="126743.272727273"/>
        <n v="10210.317460317499"/>
        <n v="18910.897435897401"/>
        <n v="3559.8187311178199"/>
        <n v="107749.76744186001"/>
        <n v="143380.64516129001"/>
        <n v="28755.8232931727"/>
        <n v="47037.944664031602"/>
        <n v="73153.072625698303"/>
        <n v="25145.934959349601"/>
        <n v="40559.375"/>
        <n v="8806.3745019920298"/>
        <n v="2979.0697674418602"/>
        <n v="3015.28675111339"/>
        <n v="27243.055555555598"/>
        <n v="26126.436781609202"/>
        <n v="23593.939393939399"/>
        <n v="17316.216216216199"/>
        <n v="14065.306122448999"/>
        <n v="15186.792452830199"/>
        <n v="10573.001793109999"/>
        <n v="26773.417721518999"/>
        <n v="19227.411167512699"/>
        <n v="47039.603960396002"/>
        <n v="49883"/>
        <n v="19056.024096385499"/>
        <n v="25250.918635170601"/>
        <n v="3443.8202247191002"/>
        <n v="12604.046242774601"/>
        <n v="13760.3053435115"/>
        <n v="46089.333333333299"/>
        <n v="9938.1818181818198"/>
        <n v="20474.479166666701"/>
        <n v="39280.733944954103"/>
        <n v="215649.72972973"/>
        <n v="10704.1095890411"/>
        <n v="3274.0259740259698"/>
        <n v="4116.6666666666697"/>
        <n v="4612.3076923076896"/>
        <n v="9457.1428571428605"/>
        <n v="10063.043478260901"/>
        <n v="19121.897810219001"/>
        <n v="33397.101449275397"/>
        <n v="154532"/>
        <n v="10826.1538461538"/>
        <n v="10423.1707317073"/>
        <n v="19975"/>
        <n v="12776.785714285699"/>
        <n v="10000"/>
        <n v="6498.2352941176496"/>
        <n v="19394.904458598699"/>
        <n v="30643.046357615902"/>
        <n v="147606.25"/>
        <n v="9977.1905994515491"/>
        <n v="11533.571864703699"/>
        <n v="4126.4578769759"/>
        <n v="15516.0519501295"/>
        <n v="15459.804930439999"/>
        <n v="29171.989149311801"/>
        <n v="25673.658574907698"/>
        <n v="136897.98461453401"/>
        <n v="3149.57983193277"/>
        <n v="21954"/>
        <s v="NaN"/>
        <n v="19323.5"/>
        <n v="13043.3"/>
        <n v="10401.6"/>
        <n v="971.5"/>
        <n v="9931.9"/>
        <n v="3201.7"/>
        <n v="1199.3"/>
        <n v="4188.7"/>
        <n v="13148.2"/>
        <n v="23874.2"/>
        <n v="4230.1000000000004"/>
        <n v="24843"/>
        <n v="15363.2"/>
        <n v="24619.4"/>
        <n v="35764.1"/>
        <n v="10663.7"/>
        <n v="12510.9"/>
        <n v="25547.5"/>
        <n v="98181.7"/>
        <n v="15205.5"/>
        <n v="23737"/>
        <n v="30776.799999999999"/>
        <n v="24437.599999999999"/>
        <n v="72403.100000000006"/>
        <n v="39098.1"/>
        <n v="29437.7"/>
        <n v="147572.1"/>
        <n v="3764.6153846153802"/>
        <n v="5493.7853107344599"/>
        <n v="5963.5294117647099"/>
        <n v="15193.442622950801"/>
        <n v="273533.54838709702"/>
        <n v="2818.0451127819501"/>
        <n v="4002.65486725664"/>
        <n v="6029.50819672131"/>
        <n v="14541.935483871001"/>
        <n v="5820.7729468599"/>
        <n v="248503.623188406"/>
        <n v="2541.3793103448302"/>
        <n v="3784.5238095238101"/>
        <n v="5150.2994011976098"/>
        <n v="5766.3865546218503"/>
        <n v="14260.6837606838"/>
        <n v="245737.77777777801"/>
        <n v="2230.1369863013701"/>
        <n v="3438.3720930232598"/>
        <n v="4399.1228070175403"/>
        <n v="4851.3157894736796"/>
        <n v="12809.090909090901"/>
        <n v="3144.8275862068999"/>
        <n v="4041.0071942446002"/>
        <n v="4574.3902439024396"/>
        <n v="3616.0819600310101"/>
        <n v="10753.046141553999"/>
        <n v="10439.583333333299"/>
        <n v="10540"/>
        <n v="6580.6763285024199"/>
        <n v="20723.584905660398"/>
        <n v="16326.9406392694"/>
        <n v="19688"/>
        <n v="17658.241758241798"/>
        <n v="18015.068493150698"/>
        <n v="5738.7755102040801"/>
        <n v="13292.9530201342"/>
        <n v="12088.932806324099"/>
        <n v="9999.1666666666697"/>
        <n v="7572.6591760299598"/>
        <n v="12008.695652173899"/>
        <n v="9504.1666666666697"/>
        <n v="8744.6"/>
        <n v="4083.6"/>
        <n v="12465.6"/>
        <n v="60519.5"/>
        <n v="135406.79999999999"/>
        <n v="8011.03644526481"/>
        <n v="12439.1923410116"/>
        <n v="22606.25"/>
        <n v="57244.444444444402"/>
        <n v="181707.40740740701"/>
        <n v="23273.809523809501"/>
        <n v="60468.75"/>
        <n v="185175.94936708899"/>
        <n v="9720"/>
        <n v="22862.857142857101"/>
        <n v="57154.545454545398"/>
        <n v="170001.315789474"/>
        <n v="6369.0909090909099"/>
        <n v="20563.333333333299"/>
        <n v="53696.774193548401"/>
        <n v="143235.36585365899"/>
        <n v="4804.4776119403004"/>
        <n v="11600"/>
        <n v="50417.142857142899"/>
        <n v="129922.972972973"/>
        <n v="4897.2222222222199"/>
        <n v="57190"/>
        <n v="135256"/>
        <n v="59794.765363772603"/>
        <n v="129513.22885425"/>
      </sharedItems>
    </cacheField>
    <cacheField name="Año real" numFmtId="0">
      <sharedItems containsSemiMixedTypes="0" containsString="0" containsNumber="1" containsInteger="1" minValue="2011" maxValue="2022" count="12">
        <n v="2022"/>
        <n v="2021"/>
        <n v="2020"/>
        <n v="2019"/>
        <n v="2018"/>
        <n v="2017"/>
        <n v="2016"/>
        <n v="2013"/>
        <n v="2012"/>
        <n v="2011"/>
        <n v="2014"/>
        <n v="2015"/>
      </sharedItems>
    </cacheField>
    <cacheField name="Rotación de activos" numFmtId="0">
      <sharedItems containsSemiMixedTypes="0" containsString="0" containsNumber="1" minValue="0.135894264062802" maxValue="2.6991018696108098"/>
    </cacheField>
    <cacheField name="ROE (Análisis Dupont)" numFmtId="0">
      <sharedItems containsMixedTypes="1" containsNumber="1" minValue="-2.0815999999999999" maxValue="2.8643999999999998" count="280">
        <n v="0"/>
        <n v="0.315"/>
        <n v="-0.02"/>
        <n v="0.22700000000000001"/>
        <n v="1.3109999999999999"/>
        <n v="0.09"/>
        <n v="3.4000000000000002E-2"/>
        <n v="0.26300000000000001"/>
        <n v="0.17299999999999999"/>
        <n v="0.14799999999999999"/>
        <n v="0.15"/>
        <n v="4.0000000000000001E-3"/>
        <n v="0.55400000000000005"/>
        <n v="-8.6999999999999994E-2"/>
        <n v="-1.9E-2"/>
        <n v="0.33100000000000002"/>
        <n v="0.13500000000000001"/>
        <n v="-3.2000000000000001E-2"/>
        <n v="-0.52869999999999995"/>
        <n v="-2.24E-2"/>
        <n v="-0.01"/>
        <n v="0.13"/>
        <n v="-0.56000000000000005"/>
        <n v="0.23300000000000001"/>
        <n v="0.27"/>
        <n v="0.29199999999999998"/>
        <n v="0.58299999999999996"/>
        <n v="1.0880000000000001"/>
        <n v="0.29599999999999999"/>
        <n v="0.03"/>
        <n v="0.26200000000000001"/>
        <n v="0.78259999999999996"/>
        <n v="0.185"/>
        <n v="0.23400000000000001"/>
        <n v="1.97"/>
        <n v="0.30199999999999999"/>
        <n v="1.5009999999999999"/>
        <n v="0.18099999999999999"/>
        <n v="0.879"/>
        <n v="8.4000000000000005E-2"/>
        <n v="0.55600000000000005"/>
        <n v="0.188"/>
        <n v="0.14000000000000001"/>
        <n v="0.35599999999999998"/>
        <n v="0.20399999999999999"/>
        <n v="0.13600000000000001"/>
        <n v="0.16400000000000001"/>
        <n v="0.44700000000000001"/>
        <n v="0.23369999999999999"/>
        <n v="0.13819999999999999"/>
        <n v="0.35420000000000001"/>
        <n v="0.245"/>
        <n v="0.3"/>
        <n v="0.23"/>
        <n v="0.35"/>
        <n v="0.29699999999999999"/>
        <n v="6.6000000000000003E-2"/>
        <n v="0.437"/>
        <n v="0.22"/>
        <n v="0.29799999999999999"/>
        <n v="2.6240000000000001"/>
        <n v="0.14699999999999999"/>
        <n v="0.24099999999999999"/>
        <n v="0.432"/>
        <n v="0.27200000000000002"/>
        <n v="0.83899999999999997"/>
        <n v="0.11700000000000001"/>
        <n v="0.374"/>
        <n v="0.22800000000000001"/>
        <n v="0.372"/>
        <n v="0.2"/>
        <n v="0.105"/>
        <n v="0.23100000000000001"/>
        <n v="0.248"/>
        <n v="0.161"/>
        <n v="0.123"/>
        <n v="0.33500000000000002"/>
        <n v="9.4E-2"/>
        <n v="0.26100000000000001"/>
        <n v="0.156"/>
        <n v="0.152"/>
        <n v="0.109"/>
        <n v="0.1239"/>
        <n v="0.2122"/>
        <n v="0.24010000000000001"/>
        <n v="0.159"/>
        <n v="0.24590000000000001"/>
        <n v="7.2099999999999997E-2"/>
        <n v="0.189"/>
        <n v="0.22500000000000001"/>
        <n v="0.13400000000000001"/>
        <n v="0.27700000000000002"/>
        <n v="0.20100000000000001"/>
        <n v="0.19"/>
        <n v="0.26"/>
        <n v="0.08"/>
        <n v="-1.2450000000000001"/>
        <n v="0.121"/>
        <n v="8.7999999999999995E-2"/>
        <n v="4.4999999999999998E-2"/>
        <n v="2.8000000000000001E-2"/>
        <n v="-0.61"/>
        <n v="0.1875"/>
        <n v="-0.126"/>
        <n v="-5.2999999999999999E-2"/>
        <n v="-0.105"/>
        <n v="0.05"/>
        <n v="0.10199999999999999"/>
        <n v="2E-3"/>
        <n v="0.51"/>
        <n v="0.19700000000000001"/>
        <n v="0.17599999999999999"/>
        <n v="-4.2999999999999997E-2"/>
        <n v="8.8999999999999996E-2"/>
        <n v="-0.11700000000000001"/>
        <n v="0.16600000000000001"/>
        <n v="-8.8999999999999996E-2"/>
        <n v="-0.317"/>
        <n v="-1.3089999999999999"/>
        <n v="5.6000000000000001E-2"/>
        <n v="3.5000000000000003E-2"/>
        <n v="-3.7999999999999999E-2"/>
        <n v="5.7000000000000002E-2"/>
        <n v="3.7999999999999999E-2"/>
        <n v="6.5000000000000002E-2"/>
        <n v="0.129"/>
        <n v="0.127"/>
        <n v="0.13900000000000001"/>
        <n v="-0.185"/>
        <n v="0.17399999999999999"/>
        <n v="7.3999999999999996E-2"/>
        <n v="7.8E-2"/>
        <n v="0.14499999999999999"/>
        <n v="0.14599999999999999"/>
        <n v="0.13300000000000001"/>
        <n v="0.154"/>
        <n v="3.1E-2"/>
        <n v="7.2999999999999995E-2"/>
        <n v="0.14299999999999999"/>
        <n v="0.219"/>
        <n v="0.126"/>
        <n v="0.69399999999999995"/>
        <n v="0.24399999999999999"/>
        <n v="6.8000000000000005E-2"/>
        <n v="9.1999999999999998E-2"/>
        <n v="5.8000000000000003E-2"/>
        <n v="0.106"/>
        <n v="0.158"/>
        <n v="0.40899999999999997"/>
        <n v="9.0999999999999998E-2"/>
        <n v="0.11600000000000001"/>
        <n v="0.17"/>
        <n v="5.8999999999999997E-2"/>
        <n v="8.5000000000000006E-2"/>
        <n v="0.10299999999999999"/>
        <n v="0.125"/>
        <n v="4.2999999999999997E-2"/>
        <n v="0.308"/>
        <n v="-5.8000000000000003E-2"/>
        <n v="7.0999999999999994E-2"/>
        <n v="6.7000000000000004E-2"/>
        <n v="7.0000000000000001E-3"/>
        <n v="9.6000000000000002E-2"/>
        <n v="0.13100000000000001"/>
        <n v="0.1"/>
        <n v="6.9000000000000006E-2"/>
        <n v="0.16200000000000001"/>
        <n v="0.14099999999999999"/>
        <n v="0.108"/>
        <n v="7.1999999999999995E-2"/>
        <n v="0.113"/>
        <n v="0.217"/>
        <n v="0.17899999999999999"/>
        <n v="0.04"/>
        <n v="0.11899999999999999"/>
        <n v="0.214"/>
        <n v="-0.13300000000000001"/>
        <n v="0.23799999999999999"/>
        <n v="-6.4000000000000001E-2"/>
        <n v="0.79800000000000004"/>
        <n v="1.7999999999999999E-2"/>
        <n v="0.28799999999999998"/>
        <n v="0.26800000000000002"/>
        <n v="-1.7000000000000001E-2"/>
        <n v="0.40699999999999997"/>
        <n v="0.27500000000000002"/>
        <n v="0.215"/>
        <n v="0.155"/>
        <n v="0.249"/>
        <n v="0.253"/>
        <n v="0.246"/>
        <n v="0.16"/>
        <n v="0.251"/>
        <n v="0.27100000000000002"/>
        <n v="8.6999999999999994E-2"/>
        <n v="9.8000000000000004E-2"/>
        <n v="6.3E-2"/>
        <n v="7.9000000000000001E-2"/>
        <n v="0.10100000000000001"/>
        <n v="0.498"/>
        <n v="0.38100000000000001"/>
        <n v="0.17799999999999999"/>
        <n v="7.4999999999999997E-2"/>
        <n v="0.192"/>
        <n v="7.6999999999999999E-2"/>
        <n v="0.114"/>
        <n v="4.5999999999999999E-2"/>
        <n v="0.13700000000000001"/>
        <n v="0.13800000000000001"/>
        <n v="0.32500000000000001"/>
        <n v="8.2000000000000003E-2"/>
        <n v="-4.0000000000000001E-3"/>
        <n v="1.0999999999999999E-2"/>
        <n v="0.34"/>
        <n v="0.157"/>
        <n v="0.151"/>
        <n v="0.112"/>
        <n v="3.9E-2"/>
        <n v="0.33900000000000002"/>
        <n v="0.378"/>
        <n v="0.20899999999999999"/>
        <n v="0.19900000000000001"/>
        <n v="8.1600000000000006E-2"/>
        <s v="NaN"/>
        <n v="-5.9299999999999999E-2"/>
        <n v="0.30080000000000001"/>
        <n v="8.2600000000000007E-2"/>
        <n v="-2.0815999999999999"/>
        <n v="0.10970000000000001"/>
        <n v="7.2499999999999995E-2"/>
        <n v="2.8643999999999998"/>
        <n v="0.14879999999999999"/>
        <n v="4.19E-2"/>
        <n v="0.10780000000000001"/>
        <n v="0.1143"/>
        <n v="9.69E-2"/>
        <n v="0.1389"/>
        <n v="0.15809999999999999"/>
        <n v="3.4299999999999997E-2"/>
        <n v="3.56E-2"/>
        <n v="0.2772"/>
        <n v="0.15579999999999999"/>
        <n v="9.4399999999999998E-2"/>
        <n v="0.1074"/>
        <n v="0.25609999999999999"/>
        <n v="8.9800000000000005E-2"/>
        <n v="6.5100000000000005E-2"/>
        <n v="0.18640000000000001"/>
        <n v="0.14630000000000001"/>
        <n v="0.14860000000000001"/>
        <n v="0.17699999999999999"/>
        <n v="6.0999999999999999E-2"/>
        <n v="0.122"/>
        <n v="6.2E-2"/>
        <n v="0.20699999999999999"/>
        <n v="0.16700000000000001"/>
        <n v="8.5999999999999993E-2"/>
        <n v="7.5999999999999998E-2"/>
        <n v="1.4999999999999999E-2"/>
        <n v="-4.8000000000000001E-2"/>
        <n v="-1.4999999999999999E-2"/>
        <n v="0.21199999999999999"/>
        <n v="0.182"/>
        <n v="0.19600000000000001"/>
        <n v="0.12"/>
        <n v="0.26700000000000002"/>
        <n v="0.1095"/>
        <n v="0.2029"/>
        <n v="5.1799999999999999E-2"/>
        <n v="3.3700000000000001E-2"/>
        <n v="7.7200000000000005E-2"/>
        <n v="0.104"/>
        <n v="4.8000000000000001E-2"/>
        <n v="3.5999999999999997E-2"/>
        <n v="8.1000000000000003E-2"/>
        <n v="4.2000000000000003E-2"/>
        <n v="3.2000000000000001E-2"/>
        <n v="3.3000000000000002E-2"/>
        <n v="5.5E-2"/>
        <n v="2.5999999999999999E-2"/>
      </sharedItems>
    </cacheField>
    <cacheField name="Multiplicador de capital" numFmtId="0">
      <sharedItems containsMixedTypes="1" containsNumber="1" minValue="-4.8837521580663701" maxValue="49.783712307692298" count="390">
        <n v="0"/>
        <n v="1.32806464312929"/>
        <n v="3.35496894409938"/>
        <n v="1.24081287312153"/>
        <n v="49.783712307692298"/>
        <n v="2.6175943396226402"/>
        <n v="4.0393658536585404"/>
        <n v="1.1576900325615"/>
        <n v="1.09995624938827"/>
        <n v="1.2707637368421101"/>
        <n v="1.3103939647946401"/>
        <n v="1.90094230769231"/>
        <n v="15.8389202769535"/>
        <n v="4.1117094087283004"/>
        <n v="3.2295462894930198"/>
        <n v="10.134190159002999"/>
        <n v="6.0421508379888298"/>
        <n v="3.2504544049458999"/>
        <n v="-4.8837521580663701"/>
        <n v="5.0744809608043902"/>
        <n v="8.3474358974359006"/>
        <n v="3.4573964210865702"/>
        <n v="4.8150260869565198"/>
        <n v="4.1619044034625503"/>
        <n v="4.4858789938817099"/>
        <n v="4.98004044307058"/>
        <n v="10.844590538584599"/>
        <n v="14.8872039823256"/>
        <n v="7.0573380761937896"/>
        <n v="7.7218971428571397"/>
        <n v="4.6580541542610003"/>
        <n v="18.922426410798501"/>
        <n v="1.4810127155172399"/>
        <n v="1.42519469085573"/>
        <n v="6.9629905914651902"/>
        <n v="1.42699796141149"/>
        <n v="5.5645754330376"/>
        <n v="1.4366012565496999"/>
        <n v="4.9589373465015401"/>
        <n v="3.01442509803922"/>
        <n v="1.3102881311816801"/>
        <n v="3.41575145722397"/>
        <n v="2.3693787214919699"/>
        <n v="1.2039008111715801"/>
        <n v="2.5066258673145501"/>
        <n v="2.2765357214731301"/>
        <n v="1.22673697088329"/>
        <n v="3.84906631532718"/>
        <n v="2.4318109338127898"/>
        <n v="1.9272153248858701"/>
        <n v="1.25486124401914"/>
        <n v="2.0783974468161399"/>
        <n v="1.83482786526316"/>
        <n v="1.6768078678078699"/>
        <n v="1.80495040577096"/>
        <n v="1.47658687369707"/>
        <n v="3.7244613370922299"/>
        <n v="3.16203910614525"/>
        <n v="2.1919090434160999"/>
        <n v="5.0329418917745201"/>
        <n v="3.46662937567665"/>
        <n v="25.027263785828598"/>
        <n v="2.8644703015749702"/>
        <n v="3.0377745174439501"/>
        <n v="2.3533568572407799"/>
        <n v="3.6759556392550699"/>
        <n v="9.5562389738529898"/>
        <n v="3.0418333966204698"/>
        <n v="2.5448909012894898"/>
        <n v="3.43314706296001"/>
        <n v="3.1768745011086499"/>
        <n v="3.5185556218566201"/>
        <n v="3.12410838211333"/>
        <n v="2.88310376871451"/>
        <n v="3.7299402362751901"/>
        <n v="2.79230775629029"/>
        <n v="3.3422081656124201"/>
        <n v="2.6866711513275399"/>
        <n v="4.3266326444538201"/>
        <n v="3.2676637638717598"/>
        <n v="2.7304354243542401"/>
        <n v="2.2017728643216099"/>
        <n v="2.6995545302013402"/>
        <n v="3.1833325983094398"/>
        <n v="2.1968257196752199"/>
        <n v="3.2889657549644098"/>
        <n v="2.09558823529412"/>
        <n v="2.3892677142010101"/>
        <n v="2.5741065866228698"/>
        <n v="3.0228794748724201"/>
        <n v="1.91998574356233"/>
        <n v="3.39040175987033"/>
        <n v="2.3307627290419202"/>
        <n v="2.60543788608563"/>
        <n v="3.1226466324823901"/>
        <n v="1.8046971224900501"/>
        <n v="3.0599191710778699"/>
        <n v="2.2995020325203299"/>
        <n v="4.40927487352445"/>
        <n v="1.85713629402757"/>
        <n v="2.9990638766519799"/>
        <n v="4.3732310469314104"/>
        <n v="3.32385150141925"/>
        <n v="3.7245587734241901"/>
        <n v="4.94124161073825"/>
        <n v="4.1066241642335797"/>
        <n v="3.8859956667318598"/>
        <n v="7.2717753120665698"/>
        <n v="3.8609105532901902"/>
        <n v="8.9078684210526298"/>
        <n v="1.88999919517103"/>
        <n v="4.8490433636097299"/>
        <n v="2.7964195450716098"/>
        <n v="3.0026344866071399"/>
        <n v="2.7899463601532601"/>
        <n v="4.4835996097984001"/>
        <n v="2.0336156849348499"/>
        <n v="8.8512091229247005"/>
        <n v="3.4775779134589899"/>
        <n v="3.3070973792137601"/>
        <n v="4.7120575916230401"/>
        <n v="8.4337058493739505"/>
        <n v="2.1324381952491298"/>
        <n v="2.7860227836226001"/>
        <n v="16.516363354037299"/>
        <n v="6.7488483470067404"/>
        <n v="6.4295066074523399"/>
        <n v="4.1088092859856999"/>
        <n v="3.5145773596455099"/>
        <n v="3.3697104472633499"/>
        <n v="5.0128756696095902"/>
        <n v="1.7298234512434301"/>
        <n v="2.3319508101736202"/>
        <n v="2.5334017224122101"/>
        <n v="4.4278359043244704"/>
        <n v="2.9570658752119998"/>
        <n v="4.7647620143771299"/>
        <n v="3.08874099722992"/>
        <n v="1.7187453903058401"/>
        <n v="1.6455527607361999"/>
        <n v="3.1932718521370802"/>
        <n v="2.2266097487638601"/>
        <n v="4.2519167335192503"/>
        <n v="2.87881379887577"/>
        <n v="1.7801245515120501"/>
        <n v="1.7381845326307701"/>
        <n v="2.2164476463218201"/>
        <n v="3.3519945052622702"/>
        <n v="4.7211265379604797"/>
        <n v="3.02723944183463"/>
        <n v="2.9487709764958199"/>
        <n v="1.73616667394628"/>
        <n v="1.81002191566383"/>
        <n v="1.7477956703584701"/>
        <n v="5.59767710551791"/>
        <n v="2.9468710641689899"/>
        <n v="4.7407814329150897"/>
        <n v="2.4046657411612098"/>
        <n v="1.8452040433212999"/>
        <n v="2.0472798311541198"/>
        <n v="1.76077096588769"/>
        <n v="7.03068894145476"/>
        <n v="6.87020510658341"/>
        <n v="3.2513479829452301"/>
        <n v="2.3505392178105202"/>
        <n v="1.4971710909590501"/>
        <n v="2.2018181053958901"/>
        <n v="1.75646159075459"/>
        <n v="7.93080107349925"/>
        <n v="4.59507140864714"/>
        <n v="2.3759169107596199"/>
        <n v="1.4528694483809499"/>
        <n v="2.3594578749347299"/>
        <n v="1.8679734925029601"/>
        <n v="5.1402235405085701"/>
        <n v="8.5304190316874298"/>
        <n v="6.7404322729046298"/>
        <n v="4.1671633408695596"/>
        <n v="2.3939774427884499"/>
        <n v="2.2990496308449502"/>
        <n v="3.47293970138674"/>
        <n v="3.1220940108892901"/>
        <n v="2.2265736761522601"/>
        <n v="2.39974637770898"/>
        <n v="3.1434754659289501"/>
        <n v="2.0341375930295902"/>
        <n v="3.1598916738941898"/>
        <n v="2.0526855105415498"/>
        <n v="3.0760606340696901"/>
        <n v="2.0444963480266498"/>
        <n v="2.97076130260385"/>
        <n v="2.1556618576045299"/>
        <n v="2.8289163419752601"/>
        <n v="3.5204258006434701"/>
        <n v="1.7948743651652601"/>
        <n v="6.13331641929389"/>
        <n v="6.6151030501883596"/>
        <n v="1.83602452408155"/>
        <n v="1.9651749253731301"/>
        <n v="7.3903886191903396"/>
        <n v="1.78323853401403"/>
        <n v="4.6802985681871503"/>
        <n v="1.6793300925122201"/>
        <n v="5.0820740340083201"/>
        <n v="1.7724918206425799"/>
        <n v="4.8938460494237601"/>
        <n v="3.4957429959222801"/>
        <n v="3.6338480134697502"/>
        <n v="2.4570412319234798"/>
        <n v="2.81671560541076"/>
        <n v="4.3427201997087597"/>
        <n v="4.5550025766827904"/>
        <n v="2.2984376420898398"/>
        <n v="5.0741531031151901"/>
        <n v="4.0998621618847197"/>
        <n v="2.0298363675375901"/>
        <n v="1.72177100886946"/>
        <n v="2.5173615163016101"/>
        <n v="1.9406916802610099"/>
        <n v="6.9720649374883399"/>
        <n v="2.1912511345687902"/>
        <n v="1.7778317176470599"/>
        <n v="2.4081032982964801"/>
        <n v="2.7207633033863199"/>
        <n v="8.9248856044930491"/>
        <n v="2.13768944700153"/>
        <n v="1.7922115870316"/>
        <n v="2.0027224683253801"/>
        <n v="3.0539207151185401"/>
        <n v="2.0558569540015599"/>
        <n v="10.672060256301499"/>
        <n v="1.8965822836719"/>
        <n v="1.7992505174586"/>
        <n v="2.2506189212591798"/>
        <n v="2.2403614943784298"/>
        <n v="1.96311918071847"/>
        <n v="2.26549540083092"/>
        <n v="1.8131048616996699"/>
        <n v="2.7875943720593601"/>
        <n v="8.3695253708040607"/>
        <n v="6.0880113618453304"/>
        <n v="2.2287000764720899"/>
        <n v="2.5294953365596098"/>
        <n v="2.6239111225276099"/>
        <n v="3.1381624785390998"/>
        <n v="3.81806123041207"/>
        <n v="3.2794350851037399"/>
        <n v="2.3466656381509798"/>
        <n v="4.3695579405229097"/>
        <n v="4.3196298907017301"/>
        <n v="2.86179492738371"/>
        <n v="2.8274863179840799"/>
        <n v="4.3339313375272699"/>
        <n v="4.9176507910109599"/>
        <n v="4.5983817292006499"/>
        <n v="6.4733973859206602"/>
        <n v="9.3429176744702094"/>
        <n v="2.8389562299302802"/>
        <n v="7.3031467252103903"/>
        <n v="6.3667407087074901"/>
        <n v="2.8006834127429001"/>
        <n v="1.4104599174838099"/>
        <n v="1.92509239825953"/>
        <n v="3.2890698135660501"/>
        <n v="4.4280971659919004"/>
        <n v="2.9868779186124099"/>
        <n v="3.31469033232628"/>
        <n v="7.3093890689133696"/>
        <n v="6.8191714700156503"/>
        <n v="2.4084664988717202"/>
        <n v="1.4049103098387401"/>
        <n v="2.8706316612192699"/>
        <n v="1.84770071370071"/>
        <n v="3.87345181476846"/>
        <n v="2.6333774982529699"/>
        <n v="3.0976599999999999"/>
        <n v="11.554029148185"/>
        <n v="6.8870821346469597"/>
        <n v="2.29374061507208"/>
        <n v="1.3995681077190201"/>
        <n v="2.0626347462111498"/>
        <n v="3.0568240622746199"/>
        <n v="4.5384444863701603"/>
        <n v="2.3583963315935299"/>
        <n v="5.0655361016751899"/>
        <n v="5.6138818358179599"/>
        <n v="3.0225298733170098"/>
        <n v="1.48195169250476"/>
        <n v="4.4758668623265701"/>
        <n v="3.9432950715131598"/>
        <s v="NaN"/>
        <n v="6.8337412994540303"/>
        <n v="2.8476382510560998"/>
        <n v="2.0091235963697902"/>
        <n v="16.841482243952701"/>
        <n v="2.45671019643774"/>
        <n v="3.7435737264578202"/>
        <n v="33.653547902943401"/>
        <n v="4.5920213908849998"/>
        <n v="2.6090035137889598"/>
        <n v="2.0858458084459399"/>
        <n v="3.4195409091983602"/>
        <n v="1.4977659702934401"/>
        <n v="2.2035838887731698"/>
        <n v="1.7785120677189501"/>
        <n v="2.99076168560092"/>
        <n v="3.1629922072076302"/>
        <n v="6.9331063312791201"/>
        <n v="5.7920422741951301"/>
        <n v="1.85309482316969"/>
        <n v="3.2671401795402999"/>
        <n v="7.3899945233180304"/>
        <n v="5.0854994671310898"/>
        <n v="4.23005532458179"/>
        <n v="2.3845622632180099"/>
        <n v="3.3882260263286499"/>
        <n v="2.6474215037180202"/>
        <n v="1.42076991518044"/>
        <n v="3.92263179403351"/>
        <n v="4.8375388728918098"/>
        <n v="3.4740836456894901"/>
        <n v="2.8858304920155402"/>
        <n v="1.30320248504046"/>
        <n v="6.3674991995731096"/>
        <n v="4.8417614415211103"/>
        <n v="4.0500483958673197"/>
        <n v="3.0946499556344298"/>
        <n v="4.4482064901651599"/>
        <n v="1.4445737063875099"/>
        <n v="6.0089023066485696"/>
        <n v="4.3936307014784504"/>
        <n v="4.5901797465411001"/>
        <n v="4.2263035558146296"/>
        <n v="3.10993503146539"/>
        <n v="1.4161103072832799"/>
        <n v="4.9470952088452096"/>
        <n v="3.7830111599594201"/>
        <n v="4.8773132602193403"/>
        <n v="3.9189161920260398"/>
        <n v="3.1018204400283902"/>
        <n v="3.1751502192982399"/>
        <n v="4.0055113049670599"/>
        <n v="3.1690999733404399"/>
        <n v="3.8594811053122098"/>
        <n v="3.1311592600619198"/>
        <n v="5.8555306326082599"/>
        <n v="5.8912998102466796"/>
        <n v="3.2692232418147098"/>
        <n v="2.9562838803660001"/>
        <n v="3.0816428571428598"/>
        <n v="3.1020774075578998"/>
        <n v="2.4233443275872801"/>
        <n v="3.06582792183104"/>
        <n v="4.2308851351351402"/>
        <n v="2.7527893873223399"/>
        <n v="3.17716217099886"/>
        <n v="1.8406433869489101"/>
        <n v="2.62013640635046"/>
        <n v="7.89076538740043"/>
        <n v="1.95276457693994"/>
        <n v="2.1333165610776899"/>
        <n v="6.6317220099911802"/>
        <n v="7.0745892696701302"/>
        <n v="1.8652120390948399"/>
        <n v="1.8222777585763801"/>
        <n v="2.1398978917556701"/>
        <n v="7.0561092387500004"/>
        <n v="4.1347326513685401"/>
        <n v="2.6508913043478302"/>
        <n v="1.8255964615478699"/>
        <n v="4.0130817391304303"/>
        <n v="2.5768301808785501"/>
        <n v="1.8248741327099101"/>
        <n v="5.5131378600823"/>
        <n v="3.9045119970007498"/>
        <n v="2.4342508350564702"/>
        <n v="1.7913261352466301"/>
        <n v="6.3310762203825304"/>
        <n v="3.83733992543362"/>
        <n v="2.2896328847771201"/>
        <n v="1.7817987790861001"/>
        <n v="7.6126694625660098"/>
        <n v="7.6401810344827599"/>
        <n v="2.2972106993086299"/>
        <n v="1.8968593033294201"/>
        <n v="7.7918252977878604"/>
        <n v="2.0806749431718798"/>
        <n v="1.8565786360679"/>
        <n v="1.8617566156961001"/>
        <n v="1.791420861424890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6">
  <r>
    <x v="0"/>
    <n v="97"/>
    <x v="0"/>
    <n v="102301"/>
    <n v="-4.4000000000000004"/>
    <x v="0"/>
    <n v="-56.1"/>
    <n v="89611"/>
    <x v="0"/>
    <n v="29401.7"/>
    <n v="2.4"/>
    <n v="2.7"/>
    <n v="0"/>
    <n v="3.24"/>
    <n v="-53.8"/>
    <n v="0"/>
    <n v="0"/>
    <n v="-26.8"/>
    <n v="0"/>
    <n v="0"/>
    <n v="133000"/>
    <s v="Computers, Office Equipment"/>
    <x v="0"/>
    <s v="www.delltechnologies.com"/>
    <x v="0"/>
    <x v="0"/>
    <n v="1.1416120788742501"/>
    <x v="0"/>
    <x v="0"/>
  </r>
  <r>
    <x v="1"/>
    <n v="86"/>
    <x v="0"/>
    <n v="106995"/>
    <n v="13.6"/>
    <x v="1"/>
    <n v="71.2"/>
    <n v="92735"/>
    <x v="1"/>
    <n v="38164.400000000001"/>
    <n v="5.2"/>
    <n v="6"/>
    <n v="0"/>
    <n v="7.02"/>
    <n v="66.400000000000006"/>
    <n v="0"/>
    <n v="0"/>
    <n v="51.5"/>
    <n v="0"/>
    <n v="0"/>
    <n v="133000"/>
    <s v="Computers, Office Equipment"/>
    <x v="0"/>
    <s v="www.delltechnologies.com"/>
    <x v="0"/>
    <x v="1"/>
    <n v="1.1537714994338699"/>
    <x v="0"/>
    <x v="0"/>
  </r>
  <r>
    <x v="1"/>
    <n v="71"/>
    <x v="1"/>
    <n v="117929"/>
    <n v="37.200000000000003"/>
    <x v="2"/>
    <n v="35.1"/>
    <n v="165987"/>
    <x v="2"/>
    <n v="605251"/>
    <n v="33.4"/>
    <n v="23.7"/>
    <n v="31.5"/>
    <n v="13.77"/>
    <n v="36.5"/>
    <n v="31.6"/>
    <n v="0"/>
    <n v="23.1"/>
    <n v="23.9"/>
    <n v="0"/>
    <n v="71970"/>
    <s v="Internet Services and Retailing"/>
    <x v="1"/>
    <s v="https://investor.fb.com"/>
    <x v="1"/>
    <x v="1"/>
    <n v="0.71047130196943098"/>
    <x v="1"/>
    <x v="1"/>
  </r>
  <r>
    <x v="2"/>
    <n v="453"/>
    <x v="2"/>
    <n v="26982"/>
    <n v="-7.4"/>
    <x v="3"/>
    <n v="-130.69999999999999"/>
    <n v="54015"/>
    <x v="3"/>
    <n v="20480"/>
    <n v="-1.2"/>
    <n v="-0.6"/>
    <n v="-2"/>
    <n v="-0.25"/>
    <n v="-132.5"/>
    <n v="0"/>
    <n v="0"/>
    <n v="-21.9"/>
    <n v="8.6999999999999993"/>
    <n v="0"/>
    <n v="59400"/>
    <s v="Computers, Office Equipment"/>
    <x v="2"/>
    <s v="www.hpe.com"/>
    <x v="2"/>
    <x v="2"/>
    <n v="0.49952790891419102"/>
    <x v="2"/>
    <x v="2"/>
  </r>
  <r>
    <x v="2"/>
    <n v="86"/>
    <x v="3"/>
    <n v="85965"/>
    <n v="21.6"/>
    <x v="4"/>
    <n v="57.7"/>
    <n v="159316"/>
    <x v="4"/>
    <n v="838724.2"/>
    <n v="33.9"/>
    <n v="18.3"/>
    <n v="22.7"/>
    <n v="10.09"/>
    <n v="56.9"/>
    <n v="50.9"/>
    <n v="0"/>
    <n v="33.1"/>
    <n v="21.2"/>
    <n v="0"/>
    <n v="58604"/>
    <s v="Internet Services and Retailing"/>
    <x v="3"/>
    <s v="www.facebook.com"/>
    <x v="3"/>
    <x v="2"/>
    <n v="0.53958798865148505"/>
    <x v="3"/>
    <x v="3"/>
  </r>
  <r>
    <x v="2"/>
    <n v="76"/>
    <x v="0"/>
    <n v="94224"/>
    <n v="2.2000000000000002"/>
    <x v="5"/>
    <n v="-29.6"/>
    <n v="123415"/>
    <x v="5"/>
    <n v="67229.100000000006"/>
    <n v="3.4"/>
    <n v="2.6"/>
    <n v="131.1"/>
    <n v="4.22"/>
    <n v="-30"/>
    <n v="0"/>
    <n v="0"/>
    <n v="42.6"/>
    <n v="0"/>
    <n v="0"/>
    <n v="158000"/>
    <s v="Computers, Office Equipment"/>
    <x v="0"/>
    <s v="www.delltechnologies.com"/>
    <x v="4"/>
    <x v="2"/>
    <n v="0.76347283555483503"/>
    <x v="4"/>
    <x v="4"/>
  </r>
  <r>
    <x v="3"/>
    <n v="404"/>
    <x v="2"/>
    <n v="30852"/>
    <n v="6.9"/>
    <x v="6"/>
    <n v="454.7"/>
    <n v="55493"/>
    <x v="6"/>
    <n v="21144.9"/>
    <n v="6.2"/>
    <n v="3.4"/>
    <n v="9"/>
    <n v="1.23"/>
    <n v="485.7"/>
    <n v="0"/>
    <n v="0"/>
    <n v="-5.8"/>
    <n v="0"/>
    <n v="0"/>
    <n v="60000"/>
    <s v="Computers, Office Equipment"/>
    <x v="2"/>
    <s v="www.hpe.com"/>
    <x v="5"/>
    <x v="3"/>
    <n v="0.55596201322689398"/>
    <x v="5"/>
    <x v="5"/>
  </r>
  <r>
    <x v="3"/>
    <n v="264"/>
    <x v="4"/>
    <n v="43634"/>
    <n v="4.9000000000000004"/>
    <x v="7"/>
    <n v="-87.6"/>
    <n v="146130"/>
    <x v="7"/>
    <n v="85923.4"/>
    <n v="2.8"/>
    <n v="0.8"/>
    <n v="3.4"/>
    <n v="5.22"/>
    <n v="-84.7"/>
    <n v="0"/>
    <n v="0"/>
    <n v="-15.2"/>
    <n v="13.5"/>
    <n v="0"/>
    <n v="98000"/>
    <s v="Telecommunications"/>
    <x v="4"/>
    <s v="www.charter.com"/>
    <x v="6"/>
    <x v="3"/>
    <n v="0.29859713953329198"/>
    <x v="6"/>
    <x v="6"/>
  </r>
  <r>
    <x v="3"/>
    <n v="184"/>
    <x v="3"/>
    <n v="55838"/>
    <n v="37.4"/>
    <x v="8"/>
    <n v="38.799999999999997"/>
    <n v="97334"/>
    <x v="8"/>
    <n v="475731.6"/>
    <n v="39.6"/>
    <n v="22.7"/>
    <n v="26.3"/>
    <n v="7.57"/>
    <n v="40.4"/>
    <n v="66"/>
    <n v="0"/>
    <n v="-25.7"/>
    <n v="19.100000000000001"/>
    <n v="0"/>
    <n v="35587"/>
    <s v="Internet Services and Retailing"/>
    <x v="3"/>
    <s v="www.facebook.com"/>
    <x v="7"/>
    <x v="3"/>
    <n v="0.57367415291676105"/>
    <x v="7"/>
    <x v="7"/>
  </r>
  <r>
    <x v="4"/>
    <n v="404"/>
    <x v="2"/>
    <n v="30852"/>
    <n v="6.9"/>
    <x v="6"/>
    <n v="454.7"/>
    <n v="55493"/>
    <x v="6"/>
    <n v="21144.9"/>
    <n v="6.2"/>
    <n v="3.4"/>
    <n v="9"/>
    <n v="1.23"/>
    <n v="485.7"/>
    <n v="0"/>
    <n v="0"/>
    <n v="-5.8"/>
    <n v="0"/>
    <n v="0"/>
    <n v="60000"/>
    <s v="Computers, Office Equipment"/>
    <x v="2"/>
    <s v="www.hpe.com"/>
    <x v="5"/>
    <x v="4"/>
    <n v="0.55596201322689398"/>
    <x v="5"/>
    <x v="5"/>
  </r>
  <r>
    <x v="4"/>
    <n v="264"/>
    <x v="4"/>
    <n v="43634"/>
    <n v="4.9000000000000004"/>
    <x v="7"/>
    <n v="-87.6"/>
    <n v="146130"/>
    <x v="7"/>
    <n v="85923.4"/>
    <n v="2.8"/>
    <n v="0.8"/>
    <n v="3.4"/>
    <n v="5.22"/>
    <n v="-84.7"/>
    <n v="0"/>
    <n v="0"/>
    <n v="-15.2"/>
    <n v="13.5"/>
    <n v="0"/>
    <n v="98000"/>
    <s v="Telecommunications"/>
    <x v="4"/>
    <s v="www.charter.com"/>
    <x v="6"/>
    <x v="4"/>
    <n v="0.29859713953329198"/>
    <x v="6"/>
    <x v="6"/>
  </r>
  <r>
    <x v="4"/>
    <n v="184"/>
    <x v="3"/>
    <n v="55838"/>
    <n v="37.4"/>
    <x v="8"/>
    <n v="38.799999999999997"/>
    <n v="97334"/>
    <x v="8"/>
    <n v="475731.6"/>
    <n v="39.6"/>
    <n v="22.7"/>
    <n v="26.3"/>
    <n v="7.57"/>
    <n v="40.4"/>
    <n v="66"/>
    <n v="0"/>
    <n v="-25.7"/>
    <n v="19.100000000000001"/>
    <n v="0"/>
    <n v="35587"/>
    <s v="Internet Services and Retailing"/>
    <x v="3"/>
    <s v="www.facebook.com"/>
    <x v="7"/>
    <x v="4"/>
    <n v="0.57367415291676105"/>
    <x v="7"/>
    <x v="7"/>
  </r>
  <r>
    <x v="5"/>
    <n v="404"/>
    <x v="2"/>
    <n v="30852"/>
    <n v="6.9"/>
    <x v="6"/>
    <n v="454.7"/>
    <n v="55493"/>
    <x v="6"/>
    <n v="21144.9"/>
    <n v="6.2"/>
    <n v="3.4"/>
    <n v="9"/>
    <n v="1.23"/>
    <n v="485.7"/>
    <n v="0"/>
    <n v="0"/>
    <n v="-5.8"/>
    <n v="0"/>
    <n v="0"/>
    <n v="60000"/>
    <s v="Computers, Office Equipment"/>
    <x v="2"/>
    <s v="www.hpe.com"/>
    <x v="5"/>
    <x v="5"/>
    <n v="0.55596201322689398"/>
    <x v="5"/>
    <x v="5"/>
  </r>
  <r>
    <x v="5"/>
    <n v="264"/>
    <x v="4"/>
    <n v="43634"/>
    <n v="4.9000000000000004"/>
    <x v="7"/>
    <n v="-87.6"/>
    <n v="146130"/>
    <x v="7"/>
    <n v="85923.4"/>
    <n v="2.8"/>
    <n v="0.8"/>
    <n v="3.4"/>
    <n v="5.22"/>
    <n v="-84.7"/>
    <n v="0"/>
    <n v="0"/>
    <n v="-15.2"/>
    <n v="13.5"/>
    <n v="0"/>
    <n v="98000"/>
    <s v="Telecommunications"/>
    <x v="4"/>
    <s v="www.charter.com"/>
    <x v="6"/>
    <x v="5"/>
    <n v="0.29859713953329198"/>
    <x v="6"/>
    <x v="6"/>
  </r>
  <r>
    <x v="5"/>
    <n v="184"/>
    <x v="3"/>
    <n v="55838"/>
    <n v="37.4"/>
    <x v="8"/>
    <n v="38.799999999999997"/>
    <n v="97334"/>
    <x v="8"/>
    <n v="475731.6"/>
    <n v="39.6"/>
    <n v="22.7"/>
    <n v="26.3"/>
    <n v="7.57"/>
    <n v="40.4"/>
    <n v="66"/>
    <n v="0"/>
    <n v="-25.7"/>
    <n v="19.100000000000001"/>
    <n v="0"/>
    <n v="35587"/>
    <s v="Internet Services and Retailing"/>
    <x v="3"/>
    <s v="www.facebook.com"/>
    <x v="7"/>
    <x v="5"/>
    <n v="0.57367415291676105"/>
    <x v="7"/>
    <x v="7"/>
  </r>
  <r>
    <x v="6"/>
    <n v="393"/>
    <x v="3"/>
    <n v="27638"/>
    <n v="54.2"/>
    <x v="9"/>
    <n v="177"/>
    <n v="64961"/>
    <x v="9"/>
    <n v="410521.8"/>
    <n v="37"/>
    <n v="15.7"/>
    <n v="17.3"/>
    <n v="3.49"/>
    <n v="170.5"/>
    <n v="0"/>
    <n v="0"/>
    <n v="9.9"/>
    <n v="0"/>
    <n v="0"/>
    <n v="17048"/>
    <s v="Internet Services and Retailing"/>
    <x v="3"/>
    <s v="www.facebook.com"/>
    <x v="8"/>
    <x v="6"/>
    <n v="0.42545527316389797"/>
    <x v="8"/>
    <x v="8"/>
  </r>
  <r>
    <x v="7"/>
    <n v="162"/>
    <x v="5"/>
    <n v="60629"/>
    <n v="16.100000000000001"/>
    <x v="10"/>
    <n v="20.3"/>
    <n v="110920"/>
    <x v="10"/>
    <n v="375416.60190000001"/>
    <n v="21.3019"/>
    <n v="11.601900000000001"/>
    <n v="14.8019"/>
    <n v="38.130000000000003"/>
    <n v="18.001899999999999"/>
    <n v="23.401900000000001"/>
    <n v="0"/>
    <n v="58.401899999999998"/>
    <n v="29.501899999999999"/>
    <n v="0"/>
    <n v="47756"/>
    <s v="Internet Services and Retailing"/>
    <x v="5"/>
    <s v="www.google.com"/>
    <x v="9"/>
    <x v="7"/>
    <n v="0.54660115398485398"/>
    <x v="9"/>
    <x v="9"/>
  </r>
  <r>
    <x v="8"/>
    <n v="386"/>
    <x v="6"/>
    <n v="29740"/>
    <n v="9.1999999999999993"/>
    <x v="11"/>
    <n v="13"/>
    <n v="20555"/>
    <x v="11"/>
    <n v="32432.799999999999"/>
    <n v="9.9"/>
    <n v="14.3469"/>
    <n v="0"/>
    <n v="4.58"/>
    <n v="32"/>
    <n v="30.5"/>
    <n v="0"/>
    <n v="17.3"/>
    <n v="16.8"/>
    <n v="0"/>
    <n v="28450"/>
    <s v="Telecommunications"/>
    <x v="6"/>
    <s v="www.directv.com"/>
    <x v="0"/>
    <x v="8"/>
    <n v="1.44684991486256"/>
    <x v="0"/>
    <x v="0"/>
  </r>
  <r>
    <x v="8"/>
    <n v="189"/>
    <x v="5"/>
    <n v="52203"/>
    <n v="37.700000000000003"/>
    <x v="12"/>
    <n v="10.3"/>
    <n v="93798"/>
    <x v="12"/>
    <n v="261814.6"/>
    <n v="20.6"/>
    <n v="11.446899999999999"/>
    <n v="15"/>
    <n v="32.31"/>
    <n v="8.6"/>
    <n v="19.399999999999999"/>
    <n v="0"/>
    <n v="9.5"/>
    <n v="0.5"/>
    <n v="0"/>
    <n v="53861"/>
    <s v="Internet Services and Retailing"/>
    <x v="5"/>
    <s v="www.google.com"/>
    <x v="10"/>
    <x v="8"/>
    <n v="0.55654704791146903"/>
    <x v="10"/>
    <x v="10"/>
  </r>
  <r>
    <x v="9"/>
    <n v="393"/>
    <x v="3"/>
    <n v="27638"/>
    <n v="54.2"/>
    <x v="9"/>
    <n v="177"/>
    <n v="64961"/>
    <x v="9"/>
    <n v="410521.8"/>
    <n v="37"/>
    <n v="15.7"/>
    <n v="17.3"/>
    <n v="3.49"/>
    <n v="170.5"/>
    <n v="0"/>
    <n v="0"/>
    <n v="9.9"/>
    <n v="0"/>
    <n v="0"/>
    <n v="17048"/>
    <s v="Internet Services and Retailing"/>
    <x v="7"/>
    <s v="www.facebook.com"/>
    <x v="8"/>
    <x v="9"/>
    <n v="0.42545527316389797"/>
    <x v="8"/>
    <x v="8"/>
  </r>
  <r>
    <x v="0"/>
    <n v="491"/>
    <x v="7"/>
    <n v="31352"/>
    <n v="18.3"/>
    <x v="13"/>
    <n v="-85.6"/>
    <n v="98849"/>
    <x v="13"/>
    <n v="199780"/>
    <n v="0.7"/>
    <n v="0.2"/>
    <n v="0.4"/>
    <n v="0.21"/>
    <n v="-85.8"/>
    <n v="4.3"/>
    <n v="0"/>
    <n v="-47.8"/>
    <n v="5.3"/>
    <n v="12.2"/>
    <n v="79390"/>
    <s v="Computer Software"/>
    <x v="8"/>
    <s v="www.salesforce.com"/>
    <x v="11"/>
    <x v="0"/>
    <n v="0.31717063399730899"/>
    <x v="11"/>
    <x v="11"/>
  </r>
  <r>
    <x v="0"/>
    <n v="261"/>
    <x v="4"/>
    <n v="54022"/>
    <n v="4.5"/>
    <x v="14"/>
    <n v="8.6"/>
    <n v="144523"/>
    <x v="14"/>
    <n v="60477.4"/>
    <n v="9.4"/>
    <n v="3.5"/>
    <n v="55.4"/>
    <n v="30.74"/>
    <n v="25.6"/>
    <n v="-2"/>
    <n v="0"/>
    <n v="-48"/>
    <n v="0.2"/>
    <n v="14.9"/>
    <n v="101700"/>
    <s v="Telecommunications"/>
    <x v="4"/>
    <s v="www.charter.com"/>
    <x v="12"/>
    <x v="0"/>
    <n v="0.37379517447049898"/>
    <x v="12"/>
    <x v="12"/>
  </r>
  <r>
    <x v="0"/>
    <n v="213"/>
    <x v="8"/>
    <n v="62983"/>
    <n v="-0.8"/>
    <x v="15"/>
    <n v="-50.7"/>
    <n v="38587"/>
    <x v="15"/>
    <n v="28919.4"/>
    <n v="5.0999999999999996"/>
    <n v="8.3000000000000007"/>
    <n v="0"/>
    <n v="3.05"/>
    <n v="-42.8"/>
    <n v="15.6"/>
    <n v="0"/>
    <n v="-26.4"/>
    <n v="8.3000000000000007"/>
    <n v="17.899999999999999"/>
    <n v="58000"/>
    <s v="Computers, Office Equipment"/>
    <x v="9"/>
    <s v="www.hp.com"/>
    <x v="0"/>
    <x v="0"/>
    <n v="1.6322336538212401"/>
    <x v="0"/>
    <x v="0"/>
  </r>
  <r>
    <x v="0"/>
    <n v="78"/>
    <x v="9"/>
    <n v="120741"/>
    <n v="-28.5"/>
    <x v="16"/>
    <n v="-142.4"/>
    <n v="402853"/>
    <x v="16"/>
    <n v="137250"/>
    <n v="-7.1"/>
    <n v="-2.1"/>
    <n v="-8.6999999999999993"/>
    <n v="-1.1299999999999999"/>
    <n v="-140.9"/>
    <n v="0"/>
    <n v="0"/>
    <n v="5.8"/>
    <n v="-2.8"/>
    <n v="2.6"/>
    <n v="160700"/>
    <s v="Telecommunications"/>
    <x v="10"/>
    <s v="www.att.com"/>
    <x v="13"/>
    <x v="0"/>
    <n v="0.29971478430097298"/>
    <x v="13"/>
    <x v="13"/>
  </r>
  <r>
    <x v="0"/>
    <n v="4"/>
    <x v="10"/>
    <n v="513983"/>
    <n v="9.4"/>
    <x v="17"/>
    <n v="-108.2"/>
    <n v="462675"/>
    <x v="17"/>
    <n v="1058439.5"/>
    <n v="-0.5"/>
    <n v="-0.6"/>
    <n v="-1.9"/>
    <n v="-0.27"/>
    <n v="-108.3"/>
    <n v="0"/>
    <n v="0"/>
    <n v="-49.6"/>
    <n v="7.5"/>
    <n v="20.9"/>
    <n v="1541000"/>
    <s v="Internet Services and Retailing"/>
    <x v="11"/>
    <s v="www.amazon.com"/>
    <x v="14"/>
    <x v="0"/>
    <n v="1.11089425622737"/>
    <x v="14"/>
    <x v="14"/>
  </r>
  <r>
    <x v="1"/>
    <n v="259"/>
    <x v="4"/>
    <n v="51682"/>
    <n v="7.5"/>
    <x v="18"/>
    <n v="44.4"/>
    <n v="142491"/>
    <x v="18"/>
    <n v="112803.4"/>
    <n v="9"/>
    <n v="3.3"/>
    <n v="33.1"/>
    <n v="24.47"/>
    <n v="58.9"/>
    <n v="9"/>
    <n v="0"/>
    <n v="-1.4"/>
    <n v="17.8"/>
    <n v="26.3"/>
    <n v="93700"/>
    <s v="Telecommunications"/>
    <x v="4"/>
    <s v="www.charter.com"/>
    <x v="15"/>
    <x v="1"/>
    <n v="0.36270360935076601"/>
    <x v="15"/>
    <x v="15"/>
  </r>
  <r>
    <x v="2"/>
    <n v="230"/>
    <x v="4"/>
    <n v="48097"/>
    <n v="5.0999999999999996"/>
    <x v="19"/>
    <n v="93.2"/>
    <n v="144206"/>
    <x v="19"/>
    <n v="128965.7"/>
    <n v="6.7"/>
    <n v="2.2000000000000002"/>
    <n v="13.5"/>
    <n v="15.4"/>
    <n v="106.7"/>
    <n v="0"/>
    <n v="0"/>
    <n v="36.4"/>
    <n v="26.7"/>
    <n v="31.4"/>
    <n v="96100"/>
    <s v="Telecommunications"/>
    <x v="4"/>
    <s v="www.charter.com"/>
    <x v="16"/>
    <x v="2"/>
    <n v="0.33352981151963201"/>
    <x v="16"/>
    <x v="16"/>
  </r>
  <r>
    <x v="2"/>
    <n v="26"/>
    <x v="9"/>
    <n v="171760"/>
    <n v="-5.2"/>
    <x v="20"/>
    <n v="-137.19999999999999"/>
    <n v="525761"/>
    <x v="20"/>
    <n v="215878.5"/>
    <n v="-3"/>
    <n v="-1"/>
    <n v="-3.2"/>
    <n v="-0.75"/>
    <n v="-139.69999999999999"/>
    <n v="0"/>
    <n v="0"/>
    <n v="-21.3"/>
    <n v="2.2000000000000002"/>
    <n v="5.5"/>
    <n v="230760"/>
    <s v="Telecommunications"/>
    <x v="10"/>
    <s v="www.att.com"/>
    <x v="17"/>
    <x v="2"/>
    <n v="0.326688362202598"/>
    <x v="17"/>
    <x v="17"/>
  </r>
  <r>
    <x v="3"/>
    <n v="173"/>
    <x v="8"/>
    <n v="58472"/>
    <n v="12.3"/>
    <x v="21"/>
    <n v="110.9"/>
    <n v="34622"/>
    <x v="21"/>
    <n v="29795.9"/>
    <n v="9.1"/>
    <n v="15.4"/>
    <n v="0"/>
    <n v="3.26"/>
    <n v="120.3"/>
    <n v="4.5"/>
    <n v="0"/>
    <n v="-0.2"/>
    <n v="11.5"/>
    <n v="3.7"/>
    <n v="55000"/>
    <s v="Computers, Office Equipment"/>
    <x v="9"/>
    <s v="www.hp.com"/>
    <x v="0"/>
    <x v="3"/>
    <n v="1.6888683496043"/>
    <x v="0"/>
    <x v="0"/>
  </r>
  <r>
    <x v="4"/>
    <n v="173"/>
    <x v="8"/>
    <n v="58472"/>
    <n v="12.3"/>
    <x v="21"/>
    <n v="110.9"/>
    <n v="34622"/>
    <x v="21"/>
    <n v="29795.9"/>
    <n v="9.1"/>
    <n v="15.4"/>
    <n v="0"/>
    <n v="3.26"/>
    <n v="120.3"/>
    <n v="4.5"/>
    <n v="0"/>
    <n v="-0.2"/>
    <n v="11.5"/>
    <n v="3.7"/>
    <n v="55000"/>
    <s v="Computers, Office Equipment"/>
    <x v="9"/>
    <s v="www.hp.com"/>
    <x v="0"/>
    <x v="4"/>
    <n v="1.6888683496043"/>
    <x v="0"/>
    <x v="0"/>
  </r>
  <r>
    <x v="5"/>
    <n v="173"/>
    <x v="8"/>
    <n v="58472"/>
    <n v="12.3"/>
    <x v="21"/>
    <n v="110.9"/>
    <n v="34622"/>
    <x v="21"/>
    <n v="29795.9"/>
    <n v="9.1"/>
    <n v="15.4"/>
    <n v="0"/>
    <n v="3.26"/>
    <n v="120.3"/>
    <n v="4.5"/>
    <n v="0"/>
    <n v="-0.2"/>
    <n v="11.5"/>
    <n v="3.7"/>
    <n v="55000"/>
    <s v="Computers, Office Equipment"/>
    <x v="9"/>
    <s v="www.hp.com"/>
    <x v="0"/>
    <x v="5"/>
    <n v="1.6888683496043"/>
    <x v="0"/>
    <x v="0"/>
  </r>
  <r>
    <x v="10"/>
    <n v="360"/>
    <x v="6"/>
    <n v="33260"/>
    <n v="4.7"/>
    <x v="22"/>
    <n v="-3.6"/>
    <n v="25459"/>
    <x v="22"/>
    <n v="42788.4"/>
    <n v="8.2862297053517704"/>
    <n v="10.825248438666099"/>
    <n v="-52.867830423940198"/>
    <n v="5.4"/>
    <n v="4.4000000000000004"/>
    <n v="41.6"/>
    <n v="0"/>
    <n v="25.5"/>
    <n v="21.1"/>
    <n v="17.899999999999999"/>
    <n v="30925"/>
    <s v="Telecommunications"/>
    <x v="12"/>
    <s v="www.directv.com"/>
    <x v="18"/>
    <x v="10"/>
    <n v="1.30641423465179"/>
    <x v="18"/>
    <x v="18"/>
  </r>
  <r>
    <x v="10"/>
    <n v="88"/>
    <x v="10"/>
    <n v="88988"/>
    <n v="19.5"/>
    <x v="23"/>
    <n v="-188"/>
    <n v="54505"/>
    <x v="23"/>
    <n v="172797.3"/>
    <n v="-0.27082303231896399"/>
    <n v="-0.44216126960829299"/>
    <n v="-2.2437389442323799"/>
    <n v="-0.52"/>
    <n v="-188.1"/>
    <n v="0"/>
    <n v="0"/>
    <n v="-22.2"/>
    <n v="18.2"/>
    <n v="21.5"/>
    <n v="154100"/>
    <s v="Internet Services and Retailing"/>
    <x v="12"/>
    <s v="www.amazon.com"/>
    <x v="19"/>
    <x v="10"/>
    <n v="1.6326575543528099"/>
    <x v="19"/>
    <x v="19"/>
  </r>
  <r>
    <x v="7"/>
    <n v="379"/>
    <x v="6"/>
    <n v="31754"/>
    <n v="6.8"/>
    <x v="24"/>
    <n v="-3.1"/>
    <n v="21905"/>
    <x v="24"/>
    <n v="38933.901899999997"/>
    <n v="9.0018999999999991"/>
    <n v="13.101900000000001"/>
    <n v="0"/>
    <n v="5.17"/>
    <n v="12.901899999999999"/>
    <n v="30.401900000000001"/>
    <n v="0"/>
    <n v="37.701900000000002"/>
    <n v="24.701899999999998"/>
    <n v="15.401899999999999"/>
    <n v="29950"/>
    <s v="Telecommunications"/>
    <x v="6"/>
    <s v="www.directv.com"/>
    <x v="0"/>
    <x v="7"/>
    <n v="1.4496233736589801"/>
    <x v="0"/>
    <x v="0"/>
  </r>
  <r>
    <x v="8"/>
    <n v="149"/>
    <x v="10"/>
    <n v="61093"/>
    <n v="27.1"/>
    <x v="25"/>
    <n v="-106.2"/>
    <n v="32555"/>
    <x v="25"/>
    <n v="121133.3"/>
    <n v="-0.1"/>
    <n v="-0.1198"/>
    <n v="-1"/>
    <n v="-0.09"/>
    <n v="-106.6"/>
    <n v="0"/>
    <n v="0"/>
    <n v="44.9"/>
    <n v="22"/>
    <n v="29.5"/>
    <n v="88400"/>
    <s v="Internet Services and Retailing"/>
    <x v="13"/>
    <s v="www.amazon.com"/>
    <x v="20"/>
    <x v="8"/>
    <n v="1.8766088158501"/>
    <x v="20"/>
    <x v="20"/>
  </r>
  <r>
    <x v="8"/>
    <n v="145"/>
    <x v="11"/>
    <n v="62570"/>
    <n v="12"/>
    <x v="26"/>
    <n v="49.1"/>
    <n v="164971"/>
    <x v="26"/>
    <n v="110805.9"/>
    <n v="9.9"/>
    <n v="3.7601"/>
    <n v="13"/>
    <n v="2.2799999999999998"/>
    <n v="52"/>
    <n v="22.4"/>
    <n v="0"/>
    <n v="60.7"/>
    <n v="17.399999999999999"/>
    <n v="9.9"/>
    <n v="129000"/>
    <s v="Telecommunications"/>
    <x v="14"/>
    <s v="www.comcast.com"/>
    <x v="21"/>
    <x v="8"/>
    <n v="0.37927878233144002"/>
    <x v="21"/>
    <x v="21"/>
  </r>
  <r>
    <x v="8"/>
    <n v="43"/>
    <x v="12"/>
    <n v="120357"/>
    <n v="-5.4"/>
    <x v="27"/>
    <n v="-278.8"/>
    <n v="108768"/>
    <x v="27"/>
    <n v="46345.4"/>
    <n v="-10.5"/>
    <n v="-11.6303"/>
    <n v="-56"/>
    <n v="-6.41"/>
    <n v="-293.10000000000002"/>
    <n v="0"/>
    <n v="0"/>
    <n v="-43.3"/>
    <n v="-21.4"/>
    <n v="-0.8"/>
    <n v="331800"/>
    <s v="Computers, Office Equipment"/>
    <x v="15"/>
    <s v="www.hp.com"/>
    <x v="22"/>
    <x v="8"/>
    <n v="1.1065478817299199"/>
    <x v="22"/>
    <x v="22"/>
  </r>
  <r>
    <x v="0"/>
    <n v="64"/>
    <x v="13"/>
    <n v="136835"/>
    <n v="2.4"/>
    <x v="28"/>
    <n v="-3.7"/>
    <n v="379680"/>
    <x v="28"/>
    <n v="163333.4"/>
    <n v="15.5"/>
    <n v="5.6"/>
    <n v="23.3"/>
    <n v="5.0599999999999996"/>
    <n v="-4.9000000000000004"/>
    <n v="-7.2"/>
    <n v="32.200000000000003"/>
    <n v="-19.7"/>
    <n v="-1.2"/>
    <n v="3.7"/>
    <n v="117100"/>
    <s v="Telecommunications"/>
    <x v="16"/>
    <s v="www.verizon.com"/>
    <x v="23"/>
    <x v="0"/>
    <n v="0.360395596291614"/>
    <x v="23"/>
    <x v="23"/>
  </r>
  <r>
    <x v="1"/>
    <n v="54"/>
    <x v="13"/>
    <n v="133613"/>
    <n v="4.0999999999999996"/>
    <x v="29"/>
    <n v="24"/>
    <n v="366596"/>
    <x v="29"/>
    <n v="213837.1"/>
    <n v="16.5"/>
    <n v="6"/>
    <n v="27"/>
    <n v="5.32"/>
    <n v="23.7"/>
    <n v="10.6"/>
    <n v="20.100000000000001"/>
    <n v="-7.4"/>
    <n v="4"/>
    <n v="7.3"/>
    <n v="118400"/>
    <s v="Telecommunications"/>
    <x v="16"/>
    <s v="www.verizon.com"/>
    <x v="24"/>
    <x v="1"/>
    <n v="0.364469334089843"/>
    <x v="24"/>
    <x v="24"/>
  </r>
  <r>
    <x v="3"/>
    <n v="43"/>
    <x v="13"/>
    <n v="130863"/>
    <n v="3.8"/>
    <x v="30"/>
    <n v="-48.4"/>
    <n v="264829"/>
    <x v="30"/>
    <n v="244327.9"/>
    <n v="11.9"/>
    <n v="5.9"/>
    <n v="29.2"/>
    <n v="3.76"/>
    <n v="-48.9"/>
    <n v="-1.2"/>
    <n v="5.2"/>
    <n v="11.1"/>
    <n v="7.5"/>
    <n v="11.3"/>
    <n v="144500"/>
    <s v="Telecommunications"/>
    <x v="16"/>
    <s v="www.verizon.com"/>
    <x v="25"/>
    <x v="3"/>
    <n v="0.49414150262999901"/>
    <x v="25"/>
    <x v="25"/>
  </r>
  <r>
    <x v="4"/>
    <n v="43"/>
    <x v="13"/>
    <n v="130863"/>
    <n v="3.8"/>
    <x v="30"/>
    <n v="-48.4"/>
    <n v="264829"/>
    <x v="30"/>
    <n v="244327.9"/>
    <n v="11.9"/>
    <n v="5.9"/>
    <n v="29.2"/>
    <n v="3.76"/>
    <n v="-48.9"/>
    <n v="-1.2"/>
    <n v="5.2"/>
    <n v="11.1"/>
    <n v="7.5"/>
    <n v="11.3"/>
    <n v="144500"/>
    <s v="Telecommunications"/>
    <x v="16"/>
    <s v="www.verizon.com"/>
    <x v="25"/>
    <x v="4"/>
    <n v="0.49414150262999901"/>
    <x v="25"/>
    <x v="25"/>
  </r>
  <r>
    <x v="5"/>
    <n v="43"/>
    <x v="13"/>
    <n v="130863"/>
    <n v="3.8"/>
    <x v="30"/>
    <n v="-48.4"/>
    <n v="264829"/>
    <x v="30"/>
    <n v="244327.9"/>
    <n v="11.9"/>
    <n v="5.9"/>
    <n v="29.2"/>
    <n v="3.76"/>
    <n v="-48.9"/>
    <n v="-1.2"/>
    <n v="5.2"/>
    <n v="11.1"/>
    <n v="7.5"/>
    <n v="11.3"/>
    <n v="144500"/>
    <s v="Telecommunications"/>
    <x v="16"/>
    <s v="www.verizon.com"/>
    <x v="25"/>
    <x v="5"/>
    <n v="0.49414150262999901"/>
    <x v="25"/>
    <x v="25"/>
  </r>
  <r>
    <x v="6"/>
    <n v="32"/>
    <x v="13"/>
    <n v="125980"/>
    <n v="-4.3"/>
    <x v="31"/>
    <n v="-26.6"/>
    <n v="244180"/>
    <x v="31"/>
    <n v="198900"/>
    <n v="10.4"/>
    <n v="5.4"/>
    <n v="58.3"/>
    <n v="3.21"/>
    <n v="-26.5"/>
    <n v="30.4"/>
    <n v="4.2"/>
    <n v="20.7"/>
    <n v="10.7"/>
    <n v="9.6"/>
    <n v="160900"/>
    <s v="Telecommunications"/>
    <x v="16"/>
    <s v="www.verizon.com"/>
    <x v="26"/>
    <x v="6"/>
    <n v="0.51593087066917798"/>
    <x v="26"/>
    <x v="26"/>
  </r>
  <r>
    <x v="11"/>
    <n v="30"/>
    <x v="13"/>
    <n v="131620"/>
    <n v="3.6"/>
    <x v="32"/>
    <n v="85.8"/>
    <n v="244640"/>
    <x v="32"/>
    <n v="220646.39999999999"/>
    <n v="13.6"/>
    <n v="7.3"/>
    <n v="108.8"/>
    <n v="4.37"/>
    <n v="80.599999999999994"/>
    <n v="37.200000000000003"/>
    <n v="5.0999999999999996"/>
    <n v="3.5"/>
    <n v="10.3"/>
    <n v="10.8"/>
    <n v="177700"/>
    <s v="Telecommunications"/>
    <x v="16"/>
    <s v="www.verizon.com"/>
    <x v="27"/>
    <x v="11"/>
    <n v="0.53801504251144505"/>
    <x v="27"/>
    <x v="27"/>
  </r>
  <r>
    <x v="7"/>
    <n v="42"/>
    <x v="13"/>
    <n v="120550"/>
    <n v="4.0999999999999996"/>
    <x v="33"/>
    <n v="1213.9000000000001"/>
    <n v="274098"/>
    <x v="33"/>
    <n v="196994.10190000001"/>
    <n v="9.5018999999999991"/>
    <n v="4.2019000000000002"/>
    <n v="29.601900000000001"/>
    <n v="4"/>
    <n v="1190.3018999999999"/>
    <n v="12.101900000000001"/>
    <n v="13.7019"/>
    <n v="18.401900000000001"/>
    <n v="15.101900000000001"/>
    <n v="9.8018999999999998"/>
    <n v="176800"/>
    <s v="Telecommunications"/>
    <x v="17"/>
    <s v="www.verizon.com"/>
    <x v="28"/>
    <x v="7"/>
    <n v="0.43980620070193899"/>
    <x v="28"/>
    <x v="28"/>
  </r>
  <r>
    <x v="8"/>
    <n v="48"/>
    <x v="13"/>
    <n v="115846"/>
    <n v="4.5"/>
    <x v="34"/>
    <n v="-63.6"/>
    <n v="225222"/>
    <x v="34"/>
    <n v="140484.20000000001"/>
    <n v="0.8"/>
    <n v="0.38850000000000001"/>
    <n v="3"/>
    <n v="0.31"/>
    <n v="-63.5"/>
    <n v="-30.4"/>
    <n v="-14.5"/>
    <n v="13.1"/>
    <n v="6.9"/>
    <n v="7.4"/>
    <n v="183400"/>
    <s v="Telecommunications"/>
    <x v="17"/>
    <s v="www.verizon.com"/>
    <x v="29"/>
    <x v="8"/>
    <n v="0.51436360568683304"/>
    <x v="29"/>
    <x v="29"/>
  </r>
  <r>
    <x v="9"/>
    <n v="32"/>
    <x v="13"/>
    <n v="125980"/>
    <n v="-4.3"/>
    <x v="31"/>
    <n v="-26.6"/>
    <n v="244180"/>
    <x v="31"/>
    <n v="198900"/>
    <n v="10.4"/>
    <n v="5.4"/>
    <n v="58.3"/>
    <n v="3.21"/>
    <n v="-26.5"/>
    <n v="30.4"/>
    <n v="4.2"/>
    <n v="20.7"/>
    <n v="10.7"/>
    <n v="9.6"/>
    <n v="160900"/>
    <s v="Telecommunications"/>
    <x v="17"/>
    <s v="www.verizon.com"/>
    <x v="26"/>
    <x v="9"/>
    <n v="0.51593087066917798"/>
    <x v="26"/>
    <x v="26"/>
  </r>
  <r>
    <x v="2"/>
    <n v="45"/>
    <x v="13"/>
    <n v="128292"/>
    <n v="-2.7"/>
    <x v="35"/>
    <n v="-7.6"/>
    <n v="316481"/>
    <x v="35"/>
    <n v="240633.3"/>
    <n v="13.9"/>
    <n v="5.6"/>
    <n v="26.2"/>
    <n v="4.3"/>
    <n v="-7.5"/>
    <n v="-0.3"/>
    <n v="16.899999999999999"/>
    <n v="-0.1"/>
    <n v="9.6999999999999993"/>
    <n v="10"/>
    <n v="132200"/>
    <s v="Telecommunications"/>
    <x v="16"/>
    <s v="www.verizon.com"/>
    <x v="30"/>
    <x v="2"/>
    <n v="0.405370306590285"/>
    <x v="30"/>
    <x v="30"/>
  </r>
  <r>
    <x v="10"/>
    <n v="41"/>
    <x v="13"/>
    <n v="127079"/>
    <n v="5.4"/>
    <x v="36"/>
    <n v="-16.3"/>
    <n v="232708"/>
    <x v="36"/>
    <n v="198410.4"/>
    <n v="7.5740287537673403"/>
    <n v="4.1360847070147999"/>
    <n v="78.264758497316606"/>
    <n v="2.42"/>
    <n v="-39.5"/>
    <n v="13.4"/>
    <n v="-1.4"/>
    <n v="-0.5"/>
    <n v="14.1"/>
    <n v="7.8"/>
    <n v="177300"/>
    <s v="Telecommunications"/>
    <x v="12"/>
    <s v="www.verizon.com"/>
    <x v="31"/>
    <x v="10"/>
    <n v="0.54608780102102195"/>
    <x v="31"/>
    <x v="31"/>
  </r>
  <r>
    <x v="0"/>
    <n v="81"/>
    <x v="1"/>
    <n v="116609"/>
    <n v="-1.1000000000000001"/>
    <x v="37"/>
    <n v="-41.1"/>
    <n v="185727"/>
    <x v="37"/>
    <n v="549484"/>
    <n v="19.899999999999999"/>
    <n v="12.5"/>
    <n v="18.5"/>
    <n v="8.59"/>
    <n v="-37.6"/>
    <n v="9.8000000000000007"/>
    <n v="96.5"/>
    <n v="-64.2"/>
    <n v="-7.4"/>
    <n v="16.3"/>
    <n v="86482"/>
    <s v="Internet Services and Retailing"/>
    <x v="1"/>
    <s v="https://investor.fb.com"/>
    <x v="32"/>
    <x v="0"/>
    <n v="0.62785163169598401"/>
    <x v="32"/>
    <x v="32"/>
  </r>
  <r>
    <x v="0"/>
    <n v="17"/>
    <x v="14"/>
    <n v="282836"/>
    <n v="9.8000000000000007"/>
    <x v="38"/>
    <n v="-21.1"/>
    <n v="365264"/>
    <x v="38"/>
    <n v="1330200.7"/>
    <n v="21.2"/>
    <n v="16.399999999999999"/>
    <n v="23.4"/>
    <n v="4.5599999999999996"/>
    <n v="-18.7"/>
    <n v="38.299999999999997"/>
    <n v="19"/>
    <n v="-39.1"/>
    <n v="10.9"/>
    <n v="17.399999999999999"/>
    <n v="190234"/>
    <s v="Internet Services and Retailing"/>
    <x v="18"/>
    <s v="www.abc.xyz"/>
    <x v="33"/>
    <x v="0"/>
    <n v="0.77433308511104304"/>
    <x v="33"/>
    <x v="33"/>
  </r>
  <r>
    <x v="0"/>
    <n v="8"/>
    <x v="15"/>
    <n v="394328"/>
    <n v="7.8"/>
    <x v="39"/>
    <n v="5.4"/>
    <n v="352755"/>
    <x v="39"/>
    <n v="2609038.9"/>
    <n v="25.3"/>
    <n v="28.3"/>
    <n v="197"/>
    <n v="6.11"/>
    <n v="8.9"/>
    <n v="21.6"/>
    <n v="14.5"/>
    <n v="-26.4"/>
    <n v="26.4"/>
    <n v="23"/>
    <n v="164000"/>
    <s v="Computers, Office Equipment"/>
    <x v="19"/>
    <s v="www.apple.com"/>
    <x v="34"/>
    <x v="0"/>
    <n v="1.11785233377273"/>
    <x v="34"/>
    <x v="34"/>
  </r>
  <r>
    <x v="1"/>
    <n v="202"/>
    <x v="8"/>
    <n v="63487"/>
    <n v="12.1"/>
    <x v="40"/>
    <n v="128.69999999999999"/>
    <n v="38610"/>
    <x v="40"/>
    <n v="38237.199999999997"/>
    <n v="10.199999999999999"/>
    <n v="16.8"/>
    <n v="0"/>
    <n v="5.33"/>
    <n v="166.5"/>
    <n v="30.1"/>
    <n v="4.8"/>
    <n v="57.4"/>
    <n v="24.2"/>
    <n v="14.9"/>
    <n v="51000"/>
    <s v="Computers, Office Equipment"/>
    <x v="9"/>
    <s v="www.hp.com"/>
    <x v="0"/>
    <x v="1"/>
    <n v="1.6443149443149401"/>
    <x v="0"/>
    <x v="0"/>
  </r>
  <r>
    <x v="1"/>
    <n v="17"/>
    <x v="14"/>
    <n v="257637"/>
    <n v="41.2"/>
    <x v="41"/>
    <n v="88.8"/>
    <n v="359268"/>
    <x v="41"/>
    <n v="1842326.1"/>
    <n v="29.5"/>
    <n v="21.2"/>
    <n v="30.2"/>
    <n v="112.2"/>
    <n v="91.4"/>
    <n v="32.1"/>
    <n v="22.4"/>
    <n v="65.3"/>
    <n v="29.6"/>
    <n v="24.5"/>
    <n v="156500"/>
    <s v="Internet Services and Retailing"/>
    <x v="18"/>
    <s v="www.abc.xyz"/>
    <x v="35"/>
    <x v="1"/>
    <n v="0.71711647015598401"/>
    <x v="35"/>
    <x v="35"/>
  </r>
  <r>
    <x v="1"/>
    <n v="7"/>
    <x v="15"/>
    <n v="365817"/>
    <n v="33.299999999999997"/>
    <x v="42"/>
    <n v="64.900000000000006"/>
    <n v="351002"/>
    <x v="42"/>
    <n v="2849537.6"/>
    <n v="25.9"/>
    <n v="27"/>
    <n v="150.1"/>
    <n v="5.61"/>
    <n v="71"/>
    <n v="22"/>
    <n v="19"/>
    <n v="34.700000000000003"/>
    <n v="45.5"/>
    <n v="30.5"/>
    <n v="154000"/>
    <s v="Computers, Office Equipment"/>
    <x v="19"/>
    <s v="www.apple.com"/>
    <x v="36"/>
    <x v="1"/>
    <n v="1.04220773670805"/>
    <x v="36"/>
    <x v="36"/>
  </r>
  <r>
    <x v="2"/>
    <n v="182"/>
    <x v="8"/>
    <n v="56639"/>
    <n v="-3.6"/>
    <x v="43"/>
    <n v="-9.8000000000000007"/>
    <n v="34681"/>
    <x v="43"/>
    <n v="39579.5"/>
    <n v="5"/>
    <n v="8.1999999999999993"/>
    <n v="0"/>
    <n v="2"/>
    <n v="-3.4"/>
    <n v="-4.2"/>
    <n v="-5.9"/>
    <n v="24.5"/>
    <n v="19.600000000000001"/>
    <n v="4.7"/>
    <n v="53000"/>
    <s v="Computers, Office Equipment"/>
    <x v="9"/>
    <s v="www.hp.com"/>
    <x v="0"/>
    <x v="2"/>
    <n v="1.6331420662610701"/>
    <x v="0"/>
    <x v="0"/>
  </r>
  <r>
    <x v="2"/>
    <n v="21"/>
    <x v="14"/>
    <n v="182527"/>
    <n v="12.8"/>
    <x v="44"/>
    <n v="17.3"/>
    <n v="319616"/>
    <x v="44"/>
    <n v="1392561.8"/>
    <n v="22.1"/>
    <n v="12.6"/>
    <n v="18.100000000000001"/>
    <n v="58.61"/>
    <n v="19.2"/>
    <n v="20.7"/>
    <n v="16.100000000000001"/>
    <n v="30.9"/>
    <n v="17.600000000000001"/>
    <n v="19.399999999999999"/>
    <n v="135301"/>
    <s v="Internet Services and Retailing"/>
    <x v="18"/>
    <s v="www.abc.xyz"/>
    <x v="37"/>
    <x v="2"/>
    <n v="0.57108217360833002"/>
    <x v="37"/>
    <x v="37"/>
  </r>
  <r>
    <x v="2"/>
    <n v="6"/>
    <x v="15"/>
    <n v="274515"/>
    <n v="5.5"/>
    <x v="45"/>
    <n v="3.9"/>
    <n v="323888"/>
    <x v="45"/>
    <n v="2050665.9"/>
    <n v="20.9"/>
    <n v="17.7"/>
    <n v="87.9"/>
    <n v="3.28"/>
    <n v="10.3"/>
    <n v="7.3"/>
    <n v="19.7"/>
    <n v="82.3"/>
    <n v="40.299999999999997"/>
    <n v="29.6"/>
    <n v="147000"/>
    <s v="Computers, Office Equipment"/>
    <x v="19"/>
    <s v="www.apple.com"/>
    <x v="38"/>
    <x v="2"/>
    <n v="0.84756150274168895"/>
    <x v="38"/>
    <x v="38"/>
  </r>
  <r>
    <x v="3"/>
    <n v="307"/>
    <x v="16"/>
    <n v="39831"/>
    <n v="5.6"/>
    <x v="46"/>
    <n v="-59"/>
    <n v="137264"/>
    <x v="46"/>
    <n v="183562.2"/>
    <n v="9.6"/>
    <n v="2.8"/>
    <n v="8.4"/>
    <n v="0.9"/>
    <n v="-59.3"/>
    <n v="-16.8"/>
    <n v="-1.6"/>
    <n v="-3"/>
    <n v="4.9000000000000004"/>
    <n v="11.1"/>
    <n v="137000"/>
    <s v="Computer Software"/>
    <x v="20"/>
    <s v="www.oracle.com"/>
    <x v="39"/>
    <x v="3"/>
    <n v="0.29017805105490202"/>
    <x v="39"/>
    <x v="39"/>
  </r>
  <r>
    <x v="3"/>
    <n v="37"/>
    <x v="14"/>
    <n v="136819"/>
    <n v="23.4"/>
    <x v="47"/>
    <n v="142.69999999999999"/>
    <n v="232792"/>
    <x v="47"/>
    <n v="816824.2"/>
    <n v="22.5"/>
    <n v="13.2"/>
    <n v="17.3"/>
    <n v="43.7"/>
    <n v="142.80000000000001"/>
    <n v="18.399999999999999"/>
    <n v="20.7"/>
    <n v="-0.8"/>
    <n v="13.3"/>
    <n v="21.1"/>
    <n v="98771"/>
    <s v="Internet Services and Retailing"/>
    <x v="18"/>
    <s v="www.abc.xyz"/>
    <x v="40"/>
    <x v="3"/>
    <n v="0.58773067803017298"/>
    <x v="8"/>
    <x v="40"/>
  </r>
  <r>
    <x v="3"/>
    <n v="11"/>
    <x v="15"/>
    <n v="265595"/>
    <n v="15.9"/>
    <x v="48"/>
    <n v="23.1"/>
    <n v="365725"/>
    <x v="48"/>
    <n v="895667.4"/>
    <n v="22.4"/>
    <n v="16.3"/>
    <n v="55.6"/>
    <n v="11.91"/>
    <n v="29.3"/>
    <n v="16"/>
    <n v="31.6"/>
    <n v="-5.4"/>
    <n v="16.600000000000001"/>
    <n v="30.8"/>
    <n v="132000"/>
    <s v="Computers, Office Equipment"/>
    <x v="19"/>
    <s v="www.apple.com"/>
    <x v="41"/>
    <x v="3"/>
    <n v="0.72621505229339001"/>
    <x v="40"/>
    <x v="41"/>
  </r>
  <r>
    <x v="4"/>
    <n v="307"/>
    <x v="16"/>
    <n v="39831"/>
    <n v="5.6"/>
    <x v="46"/>
    <n v="-59"/>
    <n v="137264"/>
    <x v="46"/>
    <n v="183562.2"/>
    <n v="9.6"/>
    <n v="2.8"/>
    <n v="8.4"/>
    <n v="0.9"/>
    <n v="-59.3"/>
    <n v="-16.8"/>
    <n v="-1.6"/>
    <n v="-3"/>
    <n v="4.9000000000000004"/>
    <n v="11.1"/>
    <n v="137000"/>
    <s v="Computer Software"/>
    <x v="20"/>
    <s v="www.oracle.com"/>
    <x v="39"/>
    <x v="4"/>
    <n v="0.29017805105490202"/>
    <x v="39"/>
    <x v="39"/>
  </r>
  <r>
    <x v="4"/>
    <n v="37"/>
    <x v="14"/>
    <n v="136819"/>
    <n v="23.4"/>
    <x v="47"/>
    <n v="142.69999999999999"/>
    <n v="232792"/>
    <x v="47"/>
    <n v="816824.2"/>
    <n v="22.5"/>
    <n v="13.2"/>
    <n v="17.3"/>
    <n v="43.7"/>
    <n v="142.80000000000001"/>
    <n v="18.399999999999999"/>
    <n v="20.7"/>
    <n v="-0.8"/>
    <n v="13.3"/>
    <n v="21.1"/>
    <n v="98771"/>
    <s v="Internet Services and Retailing"/>
    <x v="18"/>
    <s v="www.abc.xyz"/>
    <x v="40"/>
    <x v="4"/>
    <n v="0.58773067803017298"/>
    <x v="8"/>
    <x v="40"/>
  </r>
  <r>
    <x v="4"/>
    <n v="11"/>
    <x v="15"/>
    <n v="265595"/>
    <n v="15.9"/>
    <x v="48"/>
    <n v="23.1"/>
    <n v="365725"/>
    <x v="48"/>
    <n v="895667.4"/>
    <n v="22.4"/>
    <n v="16.3"/>
    <n v="55.6"/>
    <n v="11.91"/>
    <n v="29.3"/>
    <n v="16"/>
    <n v="31.6"/>
    <n v="-5.4"/>
    <n v="16.600000000000001"/>
    <n v="30.8"/>
    <n v="132000"/>
    <s v="Computers, Office Equipment"/>
    <x v="19"/>
    <s v="www.apple.com"/>
    <x v="41"/>
    <x v="4"/>
    <n v="0.72621505229339001"/>
    <x v="40"/>
    <x v="41"/>
  </r>
  <r>
    <x v="5"/>
    <n v="307"/>
    <x v="16"/>
    <n v="39831"/>
    <n v="5.6"/>
    <x v="46"/>
    <n v="-59"/>
    <n v="137264"/>
    <x v="46"/>
    <n v="183562.2"/>
    <n v="9.6"/>
    <n v="2.8"/>
    <n v="8.4"/>
    <n v="0.9"/>
    <n v="-59.3"/>
    <n v="-16.8"/>
    <n v="-1.6"/>
    <n v="-3"/>
    <n v="4.9000000000000004"/>
    <n v="11.1"/>
    <n v="137000"/>
    <s v="Computer Software"/>
    <x v="20"/>
    <s v="www.oracle.com"/>
    <x v="39"/>
    <x v="5"/>
    <n v="0.29017805105490202"/>
    <x v="39"/>
    <x v="39"/>
  </r>
  <r>
    <x v="5"/>
    <n v="37"/>
    <x v="14"/>
    <n v="136819"/>
    <n v="23.4"/>
    <x v="47"/>
    <n v="142.69999999999999"/>
    <n v="232792"/>
    <x v="47"/>
    <n v="816824.2"/>
    <n v="22.5"/>
    <n v="13.2"/>
    <n v="17.3"/>
    <n v="43.7"/>
    <n v="142.80000000000001"/>
    <n v="18.399999999999999"/>
    <n v="20.7"/>
    <n v="-0.8"/>
    <n v="13.3"/>
    <n v="21.1"/>
    <n v="98771"/>
    <s v="Internet Services and Retailing"/>
    <x v="18"/>
    <s v="www.abc.xyz"/>
    <x v="40"/>
    <x v="5"/>
    <n v="0.58773067803017298"/>
    <x v="8"/>
    <x v="40"/>
  </r>
  <r>
    <x v="5"/>
    <n v="11"/>
    <x v="15"/>
    <n v="265595"/>
    <n v="15.9"/>
    <x v="48"/>
    <n v="23.1"/>
    <n v="365725"/>
    <x v="48"/>
    <n v="895667.4"/>
    <n v="22.4"/>
    <n v="16.3"/>
    <n v="55.6"/>
    <n v="11.91"/>
    <n v="29.3"/>
    <n v="16"/>
    <n v="31.6"/>
    <n v="-5.4"/>
    <n v="16.600000000000001"/>
    <n v="30.8"/>
    <n v="132000"/>
    <s v="Computers, Office Equipment"/>
    <x v="19"/>
    <s v="www.apple.com"/>
    <x v="41"/>
    <x v="5"/>
    <n v="0.72621505229339001"/>
    <x v="40"/>
    <x v="41"/>
  </r>
  <r>
    <x v="6"/>
    <n v="280"/>
    <x v="16"/>
    <n v="37047"/>
    <n v="-3.1"/>
    <x v="49"/>
    <n v="-10.4"/>
    <n v="112180"/>
    <x v="49"/>
    <n v="183556.1"/>
    <n v="24"/>
    <n v="7.9"/>
    <n v="18.8"/>
    <n v="2.0699999999999998"/>
    <n v="-6.3"/>
    <n v="4.4000000000000004"/>
    <n v="12.5"/>
    <n v="6.9"/>
    <n v="9.8000000000000007"/>
    <n v="9.3000000000000007"/>
    <n v="136000"/>
    <s v="Computer Software"/>
    <x v="20"/>
    <s v="www.oracle.com"/>
    <x v="42"/>
    <x v="6"/>
    <n v="0.33024603316099099"/>
    <x v="41"/>
    <x v="42"/>
  </r>
  <r>
    <x v="6"/>
    <n v="194"/>
    <x v="8"/>
    <n v="48238"/>
    <n v="-53.3"/>
    <x v="50"/>
    <n v="-45.2"/>
    <n v="29010"/>
    <x v="50"/>
    <n v="30231.200000000001"/>
    <n v="5.2"/>
    <n v="8.6"/>
    <n v="0"/>
    <n v="1.43"/>
    <n v="-42.3"/>
    <n v="-15.5"/>
    <n v="-4.0999999999999996"/>
    <n v="30.3"/>
    <n v="6.1"/>
    <n v="-1.3"/>
    <n v="49000"/>
    <s v="Computers, Office Equipment"/>
    <x v="9"/>
    <s v="www.hp.com"/>
    <x v="0"/>
    <x v="6"/>
    <n v="1.6628059289899999"/>
    <x v="0"/>
    <x v="0"/>
  </r>
  <r>
    <x v="6"/>
    <n v="65"/>
    <x v="14"/>
    <n v="90272"/>
    <n v="20.399999999999999"/>
    <x v="51"/>
    <n v="19.100000000000001"/>
    <n v="167497"/>
    <x v="51"/>
    <n v="579426.1"/>
    <n v="21.6"/>
    <n v="11.6"/>
    <n v="14"/>
    <n v="27.85"/>
    <n v="21.9"/>
    <n v="13.4"/>
    <n v="18.8"/>
    <n v="1.9"/>
    <n v="19.7"/>
    <n v="13.2"/>
    <n v="72053"/>
    <s v="Internet Services and Retailing"/>
    <x v="18"/>
    <s v="www.abc.xyz"/>
    <x v="43"/>
    <x v="6"/>
    <n v="0.53894696621432003"/>
    <x v="42"/>
    <x v="43"/>
  </r>
  <r>
    <x v="6"/>
    <n v="9"/>
    <x v="15"/>
    <n v="215639"/>
    <n v="-7.7"/>
    <x v="52"/>
    <n v="-14.4"/>
    <n v="321686"/>
    <x v="52"/>
    <n v="753717.9"/>
    <n v="21.2"/>
    <n v="14.2"/>
    <n v="35.6"/>
    <n v="8.31"/>
    <n v="-9.9"/>
    <n v="16"/>
    <n v="38.299999999999997"/>
    <n v="12.5"/>
    <n v="17"/>
    <n v="26.5"/>
    <n v="116000"/>
    <s v="Computers, Office Equipment"/>
    <x v="19"/>
    <s v="www.apple.com"/>
    <x v="44"/>
    <x v="6"/>
    <n v="0.67034002101428103"/>
    <x v="43"/>
    <x v="44"/>
  </r>
  <r>
    <x v="11"/>
    <n v="260"/>
    <x v="16"/>
    <n v="38226"/>
    <n v="-0.1"/>
    <x v="53"/>
    <n v="-9.3000000000000007"/>
    <n v="110903"/>
    <x v="53"/>
    <n v="169771"/>
    <n v="26"/>
    <n v="9"/>
    <n v="20.399999999999999"/>
    <n v="2.21"/>
    <n v="-7.1"/>
    <n v="12.8"/>
    <n v="14.9"/>
    <n v="-17.600000000000001"/>
    <n v="4.3"/>
    <n v="12.4"/>
    <n v="132000"/>
    <s v="Computer Software"/>
    <x v="20"/>
    <s v="www.oracle.com"/>
    <x v="45"/>
    <x v="11"/>
    <n v="0.34467958486244699"/>
    <x v="44"/>
    <x v="45"/>
  </r>
  <r>
    <x v="11"/>
    <n v="94"/>
    <x v="14"/>
    <n v="74989"/>
    <n v="4.9000000000000004"/>
    <x v="54"/>
    <n v="15.6"/>
    <n v="147461"/>
    <x v="54"/>
    <n v="525119.19999999995"/>
    <n v="21.8"/>
    <n v="11.1"/>
    <n v="13.6"/>
    <n v="22.84"/>
    <n v="11"/>
    <n v="11.7"/>
    <n v="24.7"/>
    <n v="46.6"/>
    <n v="21.2"/>
    <n v="14.1"/>
    <n v="61814"/>
    <s v="Internet Services and Retailing"/>
    <x v="18"/>
    <s v="www.abc.xyz"/>
    <x v="46"/>
    <x v="11"/>
    <n v="0.50853445995890401"/>
    <x v="45"/>
    <x v="46"/>
  </r>
  <r>
    <x v="11"/>
    <n v="48"/>
    <x v="8"/>
    <n v="103355"/>
    <n v="-7.3"/>
    <x v="55"/>
    <n v="-9.1999999999999993"/>
    <n v="106882"/>
    <x v="55"/>
    <n v="21272.400000000001"/>
    <n v="4.4000000000000004"/>
    <n v="4.3"/>
    <n v="16.399999999999999"/>
    <n v="2.48"/>
    <n v="-5.3"/>
    <n v="-7.6"/>
    <n v="11.7"/>
    <n v="-38.299999999999997"/>
    <n v="-8.6"/>
    <n v="-0.2"/>
    <n v="287000"/>
    <s v="Computers, Office Equipment"/>
    <x v="9"/>
    <s v="www.hp.com"/>
    <x v="47"/>
    <x v="11"/>
    <n v="0.96700099174790899"/>
    <x v="46"/>
    <x v="47"/>
  </r>
  <r>
    <x v="11"/>
    <n v="9"/>
    <x v="15"/>
    <n v="233715"/>
    <n v="27.9"/>
    <x v="56"/>
    <n v="35.1"/>
    <n v="290479"/>
    <x v="56"/>
    <n v="604304.1"/>
    <n v="22.8"/>
    <n v="18.399999999999999"/>
    <n v="44.7"/>
    <n v="9.2200000000000006"/>
    <n v="42.9"/>
    <n v="33.6"/>
    <n v="45.2"/>
    <n v="-3"/>
    <n v="19.600000000000001"/>
    <n v="27.1"/>
    <n v="110000"/>
    <s v="Computers, Office Equipment"/>
    <x v="19"/>
    <s v="www.apple.com"/>
    <x v="48"/>
    <x v="11"/>
    <n v="0.80458484090071902"/>
    <x v="47"/>
    <x v="48"/>
  </r>
  <r>
    <x v="10"/>
    <n v="300"/>
    <x v="16"/>
    <n v="38275"/>
    <n v="2.9"/>
    <x v="57"/>
    <n v="0.3"/>
    <n v="90344"/>
    <x v="57"/>
    <n v="188439.1"/>
    <n v="28.621815806662301"/>
    <n v="12.125874435490999"/>
    <n v="23.369171039720101"/>
    <n v="2.38"/>
    <n v="5.3"/>
    <n v="16.899999999999999"/>
    <n v="16.899999999999999"/>
    <n v="19"/>
    <n v="14"/>
    <n v="13.2"/>
    <n v="122000"/>
    <s v="Computer Software"/>
    <x v="12"/>
    <s v="www.oracle.com"/>
    <x v="49"/>
    <x v="10"/>
    <n v="0.42365846099353599"/>
    <x v="48"/>
    <x v="49"/>
  </r>
  <r>
    <x v="10"/>
    <n v="124"/>
    <x v="5"/>
    <n v="71487"/>
    <n v="17.899999999999999"/>
    <x v="58"/>
    <n v="11.8"/>
    <n v="131133"/>
    <x v="58"/>
    <n v="377541.5"/>
    <n v="20.205072250898802"/>
    <n v="11.0147712627638"/>
    <n v="13.822009569378"/>
    <n v="21.02"/>
    <n v="10.3"/>
    <n v="15.5"/>
    <n v="39.9"/>
    <n v="-5.3"/>
    <n v="11.4"/>
    <n v="18.600000000000001"/>
    <n v="53600"/>
    <s v="Internet Services and Retailing"/>
    <x v="12"/>
    <s v="www.google.com"/>
    <x v="50"/>
    <x v="10"/>
    <n v="0.54514881837523699"/>
    <x v="49"/>
    <x v="50"/>
  </r>
  <r>
    <x v="10"/>
    <n v="15"/>
    <x v="15"/>
    <n v="182795"/>
    <n v="7"/>
    <x v="59"/>
    <n v="6.7"/>
    <n v="231839"/>
    <x v="59"/>
    <n v="724773.4"/>
    <n v="21.614376760852299"/>
    <n v="17.0419989734255"/>
    <n v="35.420047155010899"/>
    <n v="6.45"/>
    <n v="13.6"/>
    <n v="48.3"/>
    <n v="63"/>
    <n v="40.5"/>
    <n v="31.1"/>
    <n v="38.200000000000003"/>
    <n v="97200"/>
    <s v="Computers, Office Equipment"/>
    <x v="12"/>
    <s v="www.apple.com"/>
    <x v="51"/>
    <x v="10"/>
    <n v="0.78845664448173103"/>
    <x v="50"/>
    <x v="51"/>
  </r>
  <r>
    <x v="7"/>
    <n v="306"/>
    <x v="16"/>
    <n v="37180"/>
    <n v="0.2"/>
    <x v="60"/>
    <n v="9.5"/>
    <n v="81812"/>
    <x v="60"/>
    <n v="182413.0019"/>
    <n v="29.401900000000001"/>
    <n v="13.401899999999999"/>
    <n v="24.501899999999999"/>
    <n v="2.2599999999999998"/>
    <n v="15.3019"/>
    <n v="16.3019"/>
    <n v="18.001899999999999"/>
    <n v="15.7019"/>
    <n v="17.601900000000001"/>
    <n v="11.7019"/>
    <n v="120000"/>
    <s v="Computer Software"/>
    <x v="21"/>
    <s v="www.oracle.com"/>
    <x v="52"/>
    <x v="7"/>
    <n v="0.45445655894000903"/>
    <x v="51"/>
    <x v="52"/>
  </r>
  <r>
    <x v="7"/>
    <n v="15"/>
    <x v="15"/>
    <n v="170910"/>
    <n v="9.1999999999999993"/>
    <x v="61"/>
    <n v="-11.3"/>
    <n v="207000"/>
    <x v="61"/>
    <n v="479069.4019"/>
    <n v="21.701899999999998"/>
    <n v="17.901900000000001"/>
    <n v="30.001899999999999"/>
    <n v="39.75"/>
    <n v="-10.0001"/>
    <n v="49.301900000000003"/>
    <n v="82.901899999999998"/>
    <n v="8.0018999999999991"/>
    <n v="46.701900000000002"/>
    <n v="49.101900000000001"/>
    <n v="84400"/>
    <s v="Computers, Office Equipment"/>
    <x v="22"/>
    <s v="www.apple.com"/>
    <x v="53"/>
    <x v="7"/>
    <n v="0.82565217391304302"/>
    <x v="52"/>
    <x v="53"/>
  </r>
  <r>
    <x v="8"/>
    <n v="294"/>
    <x v="16"/>
    <n v="37121"/>
    <n v="4.2"/>
    <x v="62"/>
    <n v="16.8"/>
    <n v="78327"/>
    <x v="62"/>
    <n v="152295.6"/>
    <n v="26.9"/>
    <n v="12.742699999999999"/>
    <n v="23"/>
    <n v="1.96"/>
    <n v="17.399999999999999"/>
    <n v="19.3"/>
    <n v="17.5"/>
    <n v="31.6"/>
    <n v="8.9"/>
    <n v="12.3"/>
    <n v="115000"/>
    <s v="Computer Software"/>
    <x v="21"/>
    <s v="www.oracle.com"/>
    <x v="54"/>
    <x v="8"/>
    <n v="0.47392342359595002"/>
    <x v="53"/>
    <x v="54"/>
  </r>
  <r>
    <x v="8"/>
    <n v="19"/>
    <x v="15"/>
    <n v="156508"/>
    <n v="44.6"/>
    <x v="63"/>
    <n v="61"/>
    <n v="176064"/>
    <x v="63"/>
    <n v="415683.3"/>
    <n v="26.7"/>
    <n v="23.703299999999999"/>
    <n v="35"/>
    <n v="44.15"/>
    <n v="59.5"/>
    <n v="62.2"/>
    <n v="85.8"/>
    <n v="32.6"/>
    <n v="22.1"/>
    <n v="54"/>
    <n v="76100"/>
    <s v="Computers, Office Equipment"/>
    <x v="22"/>
    <s v="www.apple.com"/>
    <x v="55"/>
    <x v="8"/>
    <n v="0.88892675390766995"/>
    <x v="54"/>
    <x v="55"/>
  </r>
  <r>
    <x v="9"/>
    <n v="280"/>
    <x v="16"/>
    <n v="37047"/>
    <n v="-3.1"/>
    <x v="49"/>
    <n v="-10.4"/>
    <n v="112180"/>
    <x v="49"/>
    <n v="183556.1"/>
    <n v="24"/>
    <n v="7.9"/>
    <n v="18.8"/>
    <n v="2.0699999999999998"/>
    <n v="-6.3"/>
    <n v="4.4000000000000004"/>
    <n v="12.5"/>
    <n v="6.9"/>
    <n v="9.8000000000000007"/>
    <n v="9.3000000000000007"/>
    <n v="136000"/>
    <s v="Computer Software"/>
    <x v="21"/>
    <s v="www.oracle.com"/>
    <x v="42"/>
    <x v="9"/>
    <n v="0.33024603316099099"/>
    <x v="41"/>
    <x v="42"/>
  </r>
  <r>
    <x v="9"/>
    <n v="194"/>
    <x v="8"/>
    <n v="48238"/>
    <n v="-53.3"/>
    <x v="50"/>
    <n v="-45.2"/>
    <n v="29010"/>
    <x v="50"/>
    <n v="30231.200000000001"/>
    <n v="5.2"/>
    <n v="8.6"/>
    <n v="0"/>
    <n v="1.43"/>
    <n v="-42.3"/>
    <n v="-15.5"/>
    <n v="-4.0999999999999996"/>
    <n v="30.3"/>
    <n v="6.1"/>
    <n v="-1.3"/>
    <n v="49000"/>
    <s v="Computers, Office Equipment"/>
    <x v="15"/>
    <s v="www.hp.com"/>
    <x v="0"/>
    <x v="9"/>
    <n v="1.6628059289899999"/>
    <x v="0"/>
    <x v="0"/>
  </r>
  <r>
    <x v="9"/>
    <n v="65"/>
    <x v="14"/>
    <n v="90272"/>
    <n v="20.399999999999999"/>
    <x v="51"/>
    <n v="19.100000000000001"/>
    <n v="167497"/>
    <x v="51"/>
    <n v="579426.1"/>
    <n v="21.6"/>
    <n v="11.6"/>
    <n v="14"/>
    <n v="27.85"/>
    <n v="21.9"/>
    <n v="13.4"/>
    <n v="18.8"/>
    <n v="1.9"/>
    <n v="19.7"/>
    <n v="13.2"/>
    <n v="72053"/>
    <s v="Internet Services and Retailing"/>
    <x v="23"/>
    <s v="www.abc.xyz"/>
    <x v="43"/>
    <x v="9"/>
    <n v="0.53894696621432003"/>
    <x v="42"/>
    <x v="43"/>
  </r>
  <r>
    <x v="9"/>
    <n v="9"/>
    <x v="15"/>
    <n v="215639"/>
    <n v="-7.7"/>
    <x v="52"/>
    <n v="-14.4"/>
    <n v="321686"/>
    <x v="52"/>
    <n v="753717.9"/>
    <n v="21.2"/>
    <n v="14.2"/>
    <n v="35.6"/>
    <n v="8.31"/>
    <n v="-9.9"/>
    <n v="16"/>
    <n v="38.299999999999997"/>
    <n v="12.5"/>
    <n v="17"/>
    <n v="26.5"/>
    <n v="116000"/>
    <s v="Computers, Office Equipment"/>
    <x v="22"/>
    <s v="www.apple.com"/>
    <x v="44"/>
    <x v="9"/>
    <n v="0.67034002101428103"/>
    <x v="43"/>
    <x v="44"/>
  </r>
  <r>
    <x v="0"/>
    <n v="425"/>
    <x v="17"/>
    <n v="35466"/>
    <n v="3.1"/>
    <x v="64"/>
    <n v="-10.4"/>
    <n v="62275"/>
    <x v="64"/>
    <n v="127695"/>
    <n v="14"/>
    <n v="8"/>
    <n v="29.7"/>
    <n v="7.27"/>
    <n v="-8.1"/>
    <n v="27.7"/>
    <n v="7"/>
    <n v="4.9000000000000004"/>
    <n v="10"/>
    <n v="15.8"/>
    <n v="97000"/>
    <s v="Electronics, Electrical Equip."/>
    <x v="24"/>
    <s v="www.honeywell.com"/>
    <x v="56"/>
    <x v="0"/>
    <n v="0.56950622240064197"/>
    <x v="55"/>
    <x v="56"/>
  </r>
  <r>
    <x v="0"/>
    <n v="352"/>
    <x v="16"/>
    <n v="42440"/>
    <n v="4.8"/>
    <x v="65"/>
    <n v="-51.1"/>
    <n v="109297"/>
    <x v="65"/>
    <n v="250865.6"/>
    <n v="15.8"/>
    <n v="6.1"/>
    <n v="0"/>
    <n v="2.41"/>
    <n v="-47"/>
    <n v="1.7"/>
    <n v="2.1"/>
    <n v="-4.7"/>
    <n v="13.4"/>
    <n v="11"/>
    <n v="143000"/>
    <s v="Computer Software"/>
    <x v="20"/>
    <s v="www.oracle.com"/>
    <x v="0"/>
    <x v="0"/>
    <n v="0.388299770350513"/>
    <x v="0"/>
    <x v="0"/>
  </r>
  <r>
    <x v="0"/>
    <n v="77"/>
    <x v="11"/>
    <n v="121427"/>
    <n v="4.3"/>
    <x v="66"/>
    <n v="-62.1"/>
    <n v="257275"/>
    <x v="66"/>
    <n v="159830.70000000001"/>
    <n v="4.4000000000000004"/>
    <n v="2.1"/>
    <n v="6.6"/>
    <n v="1.21"/>
    <n v="-60.2"/>
    <n v="-23.9"/>
    <n v="0.6"/>
    <n v="-28.7"/>
    <n v="-0.6"/>
    <n v="8.5"/>
    <n v="186000"/>
    <s v="Telecommunications"/>
    <x v="25"/>
    <s v="www.comcastcorporation.com"/>
    <x v="57"/>
    <x v="0"/>
    <n v="0.47197356913808203"/>
    <x v="56"/>
    <x v="57"/>
  </r>
  <r>
    <x v="0"/>
    <n v="30"/>
    <x v="18"/>
    <n v="198270"/>
    <n v="18"/>
    <x v="67"/>
    <n v="18.7"/>
    <n v="364840"/>
    <x v="67"/>
    <n v="2146048.6"/>
    <n v="36.700000000000003"/>
    <n v="19.899999999999999"/>
    <n v="43.7"/>
    <n v="9.65"/>
    <n v="19.899999999999999"/>
    <n v="28.9"/>
    <n v="17"/>
    <n v="-28"/>
    <n v="24.4"/>
    <n v="27"/>
    <n v="221000"/>
    <s v="Computer Software"/>
    <x v="26"/>
    <s v="www.microsoft.com"/>
    <x v="58"/>
    <x v="0"/>
    <n v="0.54344370134853603"/>
    <x v="57"/>
    <x v="58"/>
  </r>
  <r>
    <x v="1"/>
    <n v="432"/>
    <x v="19"/>
    <n v="33197.199999999997"/>
    <n v="65.2"/>
    <x v="68"/>
    <n v="54.1"/>
    <n v="26338.3"/>
    <x v="68"/>
    <n v="0"/>
    <n v="3.5"/>
    <n v="4.4000000000000004"/>
    <n v="22"/>
    <n v="6.97"/>
    <n v="54.2"/>
    <n v="16.399999999999999"/>
    <n v="14.6"/>
    <n v="37.9"/>
    <n v="15.1"/>
    <n v="15.6"/>
    <n v="32647"/>
    <s v="Automotive Retailing, Services"/>
    <x v="27"/>
    <s v="www.carmax.com"/>
    <x v="59"/>
    <x v="1"/>
    <n v="1.26041544063208"/>
    <x v="58"/>
    <x v="59"/>
  </r>
  <r>
    <x v="1"/>
    <n v="417"/>
    <x v="17"/>
    <n v="34392"/>
    <n v="5.4"/>
    <x v="69"/>
    <n v="16"/>
    <n v="64470"/>
    <x v="69"/>
    <n v="133381"/>
    <n v="16.100000000000001"/>
    <n v="8.6"/>
    <n v="29.8"/>
    <n v="7.91"/>
    <n v="17.7"/>
    <n v="5"/>
    <n v="11.7"/>
    <n v="-0.3"/>
    <n v="15.7"/>
    <n v="17.3"/>
    <n v="99000"/>
    <s v="Electronics, Electrical Equip."/>
    <x v="24"/>
    <s v="www.honeywell.com"/>
    <x v="60"/>
    <x v="1"/>
    <n v="0.53345742205677105"/>
    <x v="59"/>
    <x v="60"/>
  </r>
  <r>
    <x v="1"/>
    <n v="348"/>
    <x v="16"/>
    <n v="40479"/>
    <n v="3.6"/>
    <x v="70"/>
    <n v="35.6"/>
    <n v="131107"/>
    <x v="70"/>
    <n v="220736.6"/>
    <n v="34"/>
    <n v="10.5"/>
    <n v="262.39999999999998"/>
    <n v="4.55"/>
    <n v="47.7"/>
    <n v="17.100000000000001"/>
    <n v="10.5"/>
    <n v="36.9"/>
    <n v="19.7"/>
    <n v="14.6"/>
    <n v="132000"/>
    <s v="Computer Software"/>
    <x v="20"/>
    <s v="www.oracle.com"/>
    <x v="61"/>
    <x v="1"/>
    <n v="0.308747816668828"/>
    <x v="60"/>
    <x v="61"/>
  </r>
  <r>
    <x v="1"/>
    <n v="73"/>
    <x v="11"/>
    <n v="116385"/>
    <n v="12.4"/>
    <x v="71"/>
    <n v="34.4"/>
    <n v="275905"/>
    <x v="71"/>
    <n v="212245.8"/>
    <n v="12.2"/>
    <n v="5.0999999999999996"/>
    <n v="14.7"/>
    <n v="3.04"/>
    <n v="33.299999999999997"/>
    <n v="11.2"/>
    <n v="15"/>
    <n v="-2.2000000000000002"/>
    <n v="9.9"/>
    <n v="17.7"/>
    <n v="189000"/>
    <s v="Telecommunications"/>
    <x v="25"/>
    <s v="www.comcastcorporation.com"/>
    <x v="62"/>
    <x v="1"/>
    <n v="0.42182997770971897"/>
    <x v="61"/>
    <x v="62"/>
  </r>
  <r>
    <x v="1"/>
    <n v="2"/>
    <x v="10"/>
    <n v="469822"/>
    <n v="21.7"/>
    <x v="72"/>
    <n v="56.4"/>
    <n v="420549"/>
    <x v="72"/>
    <n v="1658807.3"/>
    <n v="7.1"/>
    <n v="7.9"/>
    <n v="24.1"/>
    <n v="64.81"/>
    <n v="54.9"/>
    <n v="67.599999999999994"/>
    <n v="47.1"/>
    <n v="2.4"/>
    <n v="34.799999999999997"/>
    <n v="34.4"/>
    <n v="1608000"/>
    <s v="Internet Services and Retailing"/>
    <x v="11"/>
    <s v="www.amazon.com"/>
    <x v="63"/>
    <x v="1"/>
    <n v="1.11716351721203"/>
    <x v="62"/>
    <x v="63"/>
  </r>
  <r>
    <x v="1"/>
    <n v="33"/>
    <x v="18"/>
    <n v="168088"/>
    <n v="17.5"/>
    <x v="73"/>
    <n v="38.4"/>
    <n v="333779"/>
    <x v="73"/>
    <n v="2311358.9"/>
    <n v="36.5"/>
    <n v="18.399999999999999"/>
    <n v="43.2"/>
    <n v="8.0500000000000007"/>
    <n v="39.799999999999997"/>
    <n v="30.8"/>
    <n v="11.6"/>
    <n v="52.5"/>
    <n v="42.2"/>
    <n v="31.9"/>
    <n v="181000"/>
    <s v="Computer Software"/>
    <x v="26"/>
    <s v="www.microsoft.com"/>
    <x v="64"/>
    <x v="1"/>
    <n v="0.50359069923512301"/>
    <x v="63"/>
    <x v="64"/>
  </r>
  <r>
    <x v="2"/>
    <n v="374"/>
    <x v="17"/>
    <n v="32637"/>
    <n v="-11.1"/>
    <x v="74"/>
    <n v="-22.2"/>
    <n v="64586"/>
    <x v="74"/>
    <n v="150972.4"/>
    <n v="14.6"/>
    <n v="7.4"/>
    <n v="27.2"/>
    <n v="6.72"/>
    <n v="-20.100000000000001"/>
    <n v="2.2000000000000002"/>
    <n v="10"/>
    <n v="22.7"/>
    <n v="19"/>
    <n v="17.899999999999999"/>
    <n v="103000"/>
    <s v="Electronics, Electrical Equip."/>
    <x v="24"/>
    <s v="www.honeywell.com"/>
    <x v="65"/>
    <x v="2"/>
    <n v="0.50532623169107904"/>
    <x v="64"/>
    <x v="65"/>
  </r>
  <r>
    <x v="2"/>
    <n v="304"/>
    <x v="16"/>
    <n v="39068"/>
    <n v="-1.1000000000000001"/>
    <x v="75"/>
    <n v="-8.6"/>
    <n v="115438"/>
    <x v="75"/>
    <n v="202337.7"/>
    <n v="25.9"/>
    <n v="8.8000000000000007"/>
    <n v="83.9"/>
    <n v="3.08"/>
    <n v="3.7"/>
    <n v="6.9"/>
    <n v="9.8000000000000007"/>
    <n v="24.2"/>
    <n v="13.9"/>
    <n v="9"/>
    <n v="135000"/>
    <s v="Computer Software"/>
    <x v="20"/>
    <s v="www.oracle.com"/>
    <x v="66"/>
    <x v="2"/>
    <n v="0.33843275178017601"/>
    <x v="65"/>
    <x v="66"/>
  </r>
  <r>
    <x v="2"/>
    <n v="64"/>
    <x v="11"/>
    <n v="103564"/>
    <n v="-4.9000000000000004"/>
    <x v="76"/>
    <n v="-19.3"/>
    <n v="273869"/>
    <x v="76"/>
    <n v="247859.3"/>
    <n v="10.199999999999999"/>
    <n v="3.8"/>
    <n v="11.7"/>
    <n v="2.2799999999999998"/>
    <n v="-19.399999999999999"/>
    <n v="7.1"/>
    <n v="13.5"/>
    <n v="19.100000000000001"/>
    <n v="15.3"/>
    <n v="19"/>
    <n v="168000"/>
    <s v="Telecommunications"/>
    <x v="25"/>
    <s v="https://corporate.comcast.com"/>
    <x v="67"/>
    <x v="2"/>
    <n v="0.37815159802679399"/>
    <x v="66"/>
    <x v="67"/>
  </r>
  <r>
    <x v="2"/>
    <n v="33"/>
    <x v="18"/>
    <n v="143015"/>
    <n v="13.6"/>
    <x v="77"/>
    <n v="12.8"/>
    <n v="301311"/>
    <x v="77"/>
    <n v="1778228.2"/>
    <n v="31"/>
    <n v="14.7"/>
    <n v="37.4"/>
    <n v="5.76"/>
    <n v="13.8"/>
    <n v="31.2"/>
    <n v="10.6"/>
    <n v="42.7"/>
    <n v="34.4"/>
    <n v="25.9"/>
    <n v="163000"/>
    <s v="Computer Software"/>
    <x v="26"/>
    <s v="www.microsoft.com"/>
    <x v="68"/>
    <x v="2"/>
    <n v="0.47464247903329099"/>
    <x v="67"/>
    <x v="68"/>
  </r>
  <r>
    <x v="2"/>
    <n v="3"/>
    <x v="10"/>
    <n v="386064"/>
    <n v="37.6"/>
    <x v="78"/>
    <n v="84.1"/>
    <n v="321195"/>
    <x v="78"/>
    <n v="1558069.6"/>
    <n v="5.5"/>
    <n v="6.6"/>
    <n v="22.8"/>
    <n v="41.83"/>
    <n v="81.8"/>
    <n v="101.8"/>
    <n v="32.4"/>
    <n v="76.3"/>
    <n v="37"/>
    <n v="33.6"/>
    <n v="1298000"/>
    <s v="Internet Services and Retailing"/>
    <x v="11"/>
    <s v="www.amazon.com"/>
    <x v="69"/>
    <x v="2"/>
    <n v="1.20196142530239"/>
    <x v="68"/>
    <x v="69"/>
  </r>
  <r>
    <x v="3"/>
    <n v="290"/>
    <x v="17"/>
    <n v="41802"/>
    <n v="3.1"/>
    <x v="79"/>
    <n v="308.8"/>
    <n v="57773"/>
    <x v="79"/>
    <n v="115752.5"/>
    <n v="16.2"/>
    <n v="11.7"/>
    <n v="37.200000000000003"/>
    <n v="8.98"/>
    <n v="319.60000000000002"/>
    <n v="12.8"/>
    <n v="9.1"/>
    <n v="-8.4"/>
    <n v="10.9"/>
    <n v="18.3"/>
    <n v="114000"/>
    <s v="Electronics, Electrical Equip."/>
    <x v="24"/>
    <s v="www.honeywell.com"/>
    <x v="70"/>
    <x v="3"/>
    <n v="0.72355598636041096"/>
    <x v="69"/>
    <x v="70"/>
  </r>
  <r>
    <x v="3"/>
    <n v="75"/>
    <x v="11"/>
    <n v="94507"/>
    <n v="11.8"/>
    <x v="80"/>
    <n v="-48.4"/>
    <n v="251684"/>
    <x v="80"/>
    <n v="180948"/>
    <n v="12.4"/>
    <n v="4.7"/>
    <n v="16.399999999999999"/>
    <n v="2.5299999999999998"/>
    <n v="-46.7"/>
    <n v="14.6"/>
    <n v="19.399999999999999"/>
    <n v="-13.2"/>
    <n v="7.4"/>
    <n v="17"/>
    <n v="184000"/>
    <s v="Telecommunications"/>
    <x v="25"/>
    <s v="www.comcastcorporation.com"/>
    <x v="71"/>
    <x v="3"/>
    <n v="0.37549864115319198"/>
    <x v="46"/>
    <x v="71"/>
  </r>
  <r>
    <x v="3"/>
    <n v="60"/>
    <x v="18"/>
    <n v="110360"/>
    <n v="22.7"/>
    <x v="81"/>
    <n v="-21.8"/>
    <n v="258848"/>
    <x v="81"/>
    <n v="904860.9"/>
    <n v="15"/>
    <n v="6.4"/>
    <n v="20"/>
    <n v="2.13"/>
    <n v="-21.4"/>
    <n v="-3.8"/>
    <n v="1.3"/>
    <n v="20.7"/>
    <n v="25.1"/>
    <n v="20.9"/>
    <n v="131000"/>
    <s v="Computer Software"/>
    <x v="26"/>
    <s v="www.microsoft.com"/>
    <x v="72"/>
    <x v="3"/>
    <n v="0.42635059957967603"/>
    <x v="70"/>
    <x v="72"/>
  </r>
  <r>
    <x v="3"/>
    <n v="25"/>
    <x v="9"/>
    <n v="170756"/>
    <n v="6.4"/>
    <x v="82"/>
    <n v="-34.200000000000003"/>
    <n v="531864"/>
    <x v="82"/>
    <n v="228444.7"/>
    <n v="11.3"/>
    <n v="3.6"/>
    <n v="10.5"/>
    <n v="2.85"/>
    <n v="-40.1"/>
    <n v="-3.4"/>
    <n v="2.8"/>
    <n v="-22.1"/>
    <n v="1.2"/>
    <n v="5.7"/>
    <n v="268220"/>
    <s v="Telecommunications"/>
    <x v="10"/>
    <s v="www.att.com"/>
    <x v="73"/>
    <x v="3"/>
    <n v="0.32105199825519298"/>
    <x v="71"/>
    <x v="73"/>
  </r>
  <r>
    <x v="3"/>
    <n v="13"/>
    <x v="10"/>
    <n v="232887"/>
    <n v="30.9"/>
    <x v="83"/>
    <n v="232.1"/>
    <n v="162648"/>
    <x v="83"/>
    <n v="874709.5"/>
    <n v="4.3"/>
    <n v="6.2"/>
    <n v="23.1"/>
    <n v="20.14"/>
    <n v="227.5"/>
    <n v="102.6"/>
    <n v="29.7"/>
    <n v="28.4"/>
    <n v="30.4"/>
    <n v="40.200000000000003"/>
    <n v="647500"/>
    <s v="Internet Services and Retailing"/>
    <x v="11"/>
    <s v="www.amazon.com"/>
    <x v="74"/>
    <x v="3"/>
    <n v="1.4318466873247799"/>
    <x v="72"/>
    <x v="74"/>
  </r>
  <r>
    <x v="4"/>
    <n v="290"/>
    <x v="17"/>
    <n v="41802"/>
    <n v="3.1"/>
    <x v="79"/>
    <n v="308.8"/>
    <n v="57773"/>
    <x v="79"/>
    <n v="115752.5"/>
    <n v="16.2"/>
    <n v="11.7"/>
    <n v="37.200000000000003"/>
    <n v="8.98"/>
    <n v="319.60000000000002"/>
    <n v="12.8"/>
    <n v="9.1"/>
    <n v="-8.4"/>
    <n v="10.9"/>
    <n v="18.3"/>
    <n v="114000"/>
    <s v="Electronics, Electrical Equip."/>
    <x v="24"/>
    <s v="www.honeywell.com"/>
    <x v="70"/>
    <x v="4"/>
    <n v="0.72355598636041096"/>
    <x v="69"/>
    <x v="70"/>
  </r>
  <r>
    <x v="4"/>
    <n v="75"/>
    <x v="11"/>
    <n v="94507"/>
    <n v="11.8"/>
    <x v="80"/>
    <n v="-48.4"/>
    <n v="251684"/>
    <x v="80"/>
    <n v="180948"/>
    <n v="12.4"/>
    <n v="4.7"/>
    <n v="16.399999999999999"/>
    <n v="2.5299999999999998"/>
    <n v="-46.7"/>
    <n v="14.6"/>
    <n v="19.399999999999999"/>
    <n v="-13.2"/>
    <n v="7.4"/>
    <n v="17"/>
    <n v="184000"/>
    <s v="Telecommunications"/>
    <x v="25"/>
    <s v="www.comcastcorporation.com"/>
    <x v="71"/>
    <x v="4"/>
    <n v="0.37549864115319198"/>
    <x v="46"/>
    <x v="71"/>
  </r>
  <r>
    <x v="4"/>
    <n v="60"/>
    <x v="18"/>
    <n v="110360"/>
    <n v="22.7"/>
    <x v="81"/>
    <n v="-21.8"/>
    <n v="258848"/>
    <x v="81"/>
    <n v="904860.9"/>
    <n v="15"/>
    <n v="6.4"/>
    <n v="20"/>
    <n v="2.13"/>
    <n v="-21.4"/>
    <n v="-3.8"/>
    <n v="1.3"/>
    <n v="20.7"/>
    <n v="25.1"/>
    <n v="20.9"/>
    <n v="131000"/>
    <s v="Computer Software"/>
    <x v="26"/>
    <s v="www.microsoft.com"/>
    <x v="72"/>
    <x v="4"/>
    <n v="0.42635059957967603"/>
    <x v="70"/>
    <x v="72"/>
  </r>
  <r>
    <x v="4"/>
    <n v="25"/>
    <x v="9"/>
    <n v="170756"/>
    <n v="6.4"/>
    <x v="82"/>
    <n v="-34.200000000000003"/>
    <n v="531864"/>
    <x v="82"/>
    <n v="228444.7"/>
    <n v="11.3"/>
    <n v="3.6"/>
    <n v="10.5"/>
    <n v="2.85"/>
    <n v="-40.1"/>
    <n v="-3.4"/>
    <n v="2.8"/>
    <n v="-22.1"/>
    <n v="1.2"/>
    <n v="5.7"/>
    <n v="268220"/>
    <s v="Telecommunications"/>
    <x v="10"/>
    <s v="www.att.com"/>
    <x v="73"/>
    <x v="4"/>
    <n v="0.32105199825519298"/>
    <x v="71"/>
    <x v="73"/>
  </r>
  <r>
    <x v="4"/>
    <n v="13"/>
    <x v="10"/>
    <n v="232887"/>
    <n v="30.9"/>
    <x v="83"/>
    <n v="232.1"/>
    <n v="162648"/>
    <x v="83"/>
    <n v="874709.5"/>
    <n v="4.3"/>
    <n v="6.2"/>
    <n v="23.1"/>
    <n v="20.14"/>
    <n v="227.5"/>
    <n v="102.6"/>
    <n v="29.7"/>
    <n v="28.4"/>
    <n v="30.4"/>
    <n v="40.200000000000003"/>
    <n v="647500"/>
    <s v="Internet Services and Retailing"/>
    <x v="11"/>
    <s v="www.amazon.com"/>
    <x v="74"/>
    <x v="4"/>
    <n v="1.4318466873247799"/>
    <x v="72"/>
    <x v="74"/>
  </r>
  <r>
    <x v="5"/>
    <n v="290"/>
    <x v="17"/>
    <n v="41802"/>
    <n v="3.1"/>
    <x v="79"/>
    <n v="308.8"/>
    <n v="57773"/>
    <x v="79"/>
    <n v="115752.5"/>
    <n v="16.2"/>
    <n v="11.7"/>
    <n v="37.200000000000003"/>
    <n v="8.98"/>
    <n v="319.60000000000002"/>
    <n v="12.8"/>
    <n v="9.1"/>
    <n v="-8.4"/>
    <n v="10.9"/>
    <n v="18.3"/>
    <n v="114000"/>
    <s v="Electronics, Electrical Equip."/>
    <x v="24"/>
    <s v="www.honeywell.com"/>
    <x v="70"/>
    <x v="5"/>
    <n v="0.72355598636041096"/>
    <x v="69"/>
    <x v="70"/>
  </r>
  <r>
    <x v="5"/>
    <n v="75"/>
    <x v="11"/>
    <n v="94507"/>
    <n v="11.8"/>
    <x v="80"/>
    <n v="-48.4"/>
    <n v="251684"/>
    <x v="80"/>
    <n v="180948"/>
    <n v="12.4"/>
    <n v="4.7"/>
    <n v="16.399999999999999"/>
    <n v="2.5299999999999998"/>
    <n v="-46.7"/>
    <n v="14.6"/>
    <n v="19.399999999999999"/>
    <n v="-13.2"/>
    <n v="7.4"/>
    <n v="17"/>
    <n v="184000"/>
    <s v="Telecommunications"/>
    <x v="25"/>
    <s v="www.comcastcorporation.com"/>
    <x v="71"/>
    <x v="5"/>
    <n v="0.37549864115319198"/>
    <x v="46"/>
    <x v="71"/>
  </r>
  <r>
    <x v="5"/>
    <n v="60"/>
    <x v="18"/>
    <n v="110360"/>
    <n v="22.7"/>
    <x v="81"/>
    <n v="-21.8"/>
    <n v="258848"/>
    <x v="81"/>
    <n v="904860.9"/>
    <n v="15"/>
    <n v="6.4"/>
    <n v="20"/>
    <n v="2.13"/>
    <n v="-21.4"/>
    <n v="-3.8"/>
    <n v="1.3"/>
    <n v="20.7"/>
    <n v="25.1"/>
    <n v="20.9"/>
    <n v="131000"/>
    <s v="Computer Software"/>
    <x v="26"/>
    <s v="www.microsoft.com"/>
    <x v="72"/>
    <x v="5"/>
    <n v="0.42635059957967603"/>
    <x v="70"/>
    <x v="72"/>
  </r>
  <r>
    <x v="5"/>
    <n v="25"/>
    <x v="9"/>
    <n v="170756"/>
    <n v="6.4"/>
    <x v="82"/>
    <n v="-34.200000000000003"/>
    <n v="531864"/>
    <x v="82"/>
    <n v="228444.7"/>
    <n v="11.3"/>
    <n v="3.6"/>
    <n v="10.5"/>
    <n v="2.85"/>
    <n v="-40.1"/>
    <n v="-3.4"/>
    <n v="2.8"/>
    <n v="-22.1"/>
    <n v="1.2"/>
    <n v="5.7"/>
    <n v="268220"/>
    <s v="Telecommunications"/>
    <x v="10"/>
    <s v="www.att.com"/>
    <x v="73"/>
    <x v="5"/>
    <n v="0.32105199825519298"/>
    <x v="71"/>
    <x v="73"/>
  </r>
  <r>
    <x v="5"/>
    <n v="13"/>
    <x v="10"/>
    <n v="232887"/>
    <n v="30.9"/>
    <x v="83"/>
    <n v="232.1"/>
    <n v="162648"/>
    <x v="83"/>
    <n v="874709.5"/>
    <n v="4.3"/>
    <n v="6.2"/>
    <n v="23.1"/>
    <n v="20.14"/>
    <n v="227.5"/>
    <n v="102.6"/>
    <n v="29.7"/>
    <n v="28.4"/>
    <n v="30.4"/>
    <n v="40.200000000000003"/>
    <n v="647500"/>
    <s v="Internet Services and Retailing"/>
    <x v="11"/>
    <s v="www.amazon.com"/>
    <x v="74"/>
    <x v="5"/>
    <n v="1.4318466873247799"/>
    <x v="72"/>
    <x v="74"/>
  </r>
  <r>
    <x v="6"/>
    <n v="260"/>
    <x v="17"/>
    <n v="39302"/>
    <n v="1.9"/>
    <x v="84"/>
    <n v="0.9"/>
    <n v="54146"/>
    <x v="84"/>
    <n v="94990.9"/>
    <n v="12.2"/>
    <n v="8.9"/>
    <n v="24.8"/>
    <n v="6.2"/>
    <n v="2.6"/>
    <n v="18.899999999999999"/>
    <n v="9.4"/>
    <n v="14.9"/>
    <n v="19"/>
    <n v="12.6"/>
    <n v="131000"/>
    <s v="Electronics, Electrical Equip."/>
    <x v="24"/>
    <s v="www.honeywell.com"/>
    <x v="75"/>
    <x v="6"/>
    <n v="0.72585232519484399"/>
    <x v="73"/>
    <x v="75"/>
  </r>
  <r>
    <x v="6"/>
    <n v="79"/>
    <x v="11"/>
    <n v="80403"/>
    <n v="7.9"/>
    <x v="85"/>
    <n v="6.5"/>
    <n v="180500"/>
    <x v="85"/>
    <n v="178257.8"/>
    <n v="10.8"/>
    <n v="4.8"/>
    <n v="16.100000000000001"/>
    <n v="3.57"/>
    <n v="10.199999999999999"/>
    <n v="18.899999999999999"/>
    <n v="16.3"/>
    <n v="24.5"/>
    <n v="26"/>
    <n v="11"/>
    <n v="159000"/>
    <s v="Telecommunications"/>
    <x v="25"/>
    <s v="www.comcastcorporation.com"/>
    <x v="76"/>
    <x v="6"/>
    <n v="0.44544598337950098"/>
    <x v="74"/>
    <x v="76"/>
  </r>
  <r>
    <x v="6"/>
    <n v="69"/>
    <x v="18"/>
    <n v="85320"/>
    <n v="-8.8000000000000007"/>
    <x v="86"/>
    <n v="37.799999999999997"/>
    <n v="193694"/>
    <x v="86"/>
    <n v="508935.1"/>
    <n v="19.7"/>
    <n v="8.6999999999999993"/>
    <n v="23.3"/>
    <n v="2.1"/>
    <n v="41.9"/>
    <n v="-4.8"/>
    <n v="5.8"/>
    <n v="15"/>
    <n v="22.4"/>
    <n v="10.199999999999999"/>
    <n v="114000"/>
    <s v="Computer Software"/>
    <x v="26"/>
    <s v="www.microsoft.com"/>
    <x v="77"/>
    <x v="6"/>
    <n v="0.44048860573894899"/>
    <x v="23"/>
    <x v="77"/>
  </r>
  <r>
    <x v="6"/>
    <n v="26"/>
    <x v="10"/>
    <n v="135987"/>
    <n v="27.1"/>
    <x v="87"/>
    <n v="297.8"/>
    <n v="83402"/>
    <x v="87"/>
    <n v="423030.8"/>
    <n v="1.7"/>
    <n v="2.8"/>
    <n v="12.3"/>
    <n v="4.9000000000000004"/>
    <n v="292"/>
    <n v="29"/>
    <n v="27"/>
    <n v="10.9"/>
    <n v="34.1"/>
    <n v="34.200000000000003"/>
    <n v="341400"/>
    <s v="Internet Services and Retailing"/>
    <x v="11"/>
    <s v="www.amazon.com"/>
    <x v="78"/>
    <x v="6"/>
    <n v="1.6305004676146899"/>
    <x v="75"/>
    <x v="78"/>
  </r>
  <r>
    <x v="6"/>
    <n v="19"/>
    <x v="9"/>
    <n v="163786"/>
    <n v="11.6"/>
    <x v="88"/>
    <n v="-2.8"/>
    <n v="403821"/>
    <x v="88"/>
    <n v="255678.6"/>
    <n v="7.9"/>
    <n v="3.2"/>
    <n v="10.5"/>
    <n v="2.1"/>
    <n v="-11.4"/>
    <n v="26"/>
    <n v="1.1000000000000001"/>
    <n v="29.9"/>
    <n v="12.7"/>
    <n v="7.3"/>
    <n v="268540"/>
    <s v="Telecommunications"/>
    <x v="10"/>
    <s v="www.att.com"/>
    <x v="79"/>
    <x v="6"/>
    <n v="0.40559059583330198"/>
    <x v="71"/>
    <x v="79"/>
  </r>
  <r>
    <x v="11"/>
    <n v="480"/>
    <x v="20"/>
    <n v="22304"/>
    <n v="-9.1"/>
    <x v="89"/>
    <n v="26.2"/>
    <n v="22088"/>
    <x v="89"/>
    <n v="34972.6"/>
    <n v="12.2"/>
    <n v="12.3"/>
    <n v="33.5"/>
    <n v="3.99"/>
    <n v="31.7"/>
    <n v="7"/>
    <n v="8.9"/>
    <n v="-19.7"/>
    <n v="-0.5"/>
    <n v="5.5"/>
    <n v="110800"/>
    <s v="Electronics, Electrical Equip."/>
    <x v="28"/>
    <s v="www.emerson.com"/>
    <x v="80"/>
    <x v="11"/>
    <n v="1.00977906555596"/>
    <x v="76"/>
    <x v="80"/>
  </r>
  <r>
    <x v="11"/>
    <n v="436"/>
    <x v="21"/>
    <n v="24704"/>
    <n v="1.1000000000000001"/>
    <x v="90"/>
    <n v="-26.7"/>
    <n v="46612"/>
    <x v="90"/>
    <n v="51888.800000000003"/>
    <n v="8.1"/>
    <n v="4.3"/>
    <n v="9.4"/>
    <n v="1.01"/>
    <n v="-23.5"/>
    <n v="2.8"/>
    <n v="7.9"/>
    <n v="-12.2"/>
    <n v="3.2"/>
    <n v="7"/>
    <n v="72000"/>
    <s v="Computers, Office Equipment"/>
    <x v="29"/>
    <s v="www.emc.com"/>
    <x v="81"/>
    <x v="11"/>
    <n v="0.52999227666695303"/>
    <x v="77"/>
    <x v="81"/>
  </r>
  <r>
    <x v="11"/>
    <n v="256"/>
    <x v="17"/>
    <n v="38581"/>
    <n v="-4.3"/>
    <x v="91"/>
    <n v="12.5"/>
    <n v="49316"/>
    <x v="91"/>
    <n v="85307.6"/>
    <n v="12.4"/>
    <n v="9.6999999999999993"/>
    <n v="26.1"/>
    <n v="6.04"/>
    <n v="13.3"/>
    <n v="18.5"/>
    <n v="12"/>
    <n v="5.9"/>
    <n v="16.899999999999999"/>
    <n v="13.5"/>
    <n v="129000"/>
    <s v="Electronics, Electrical Equip."/>
    <x v="24"/>
    <s v="www.honeywell.com"/>
    <x v="82"/>
    <x v="11"/>
    <n v="0.78232216724795201"/>
    <x v="78"/>
    <x v="82"/>
  </r>
  <r>
    <x v="11"/>
    <n v="96"/>
    <x v="11"/>
    <n v="74510"/>
    <n v="8.3000000000000007"/>
    <x v="92"/>
    <n v="-2.6"/>
    <n v="166574"/>
    <x v="92"/>
    <n v="149181.70000000001"/>
    <n v="11"/>
    <n v="4.9000000000000004"/>
    <n v="15.6"/>
    <n v="3.24"/>
    <n v="1.3"/>
    <n v="20.2"/>
    <n v="27.7"/>
    <n v="-1.1000000000000001"/>
    <n v="22.9"/>
    <n v="14.1"/>
    <n v="153000"/>
    <s v="Telecommunications"/>
    <x v="25"/>
    <s v="www.comcastcorporation.com"/>
    <x v="83"/>
    <x v="11"/>
    <n v="0.44730870363922298"/>
    <x v="79"/>
    <x v="83"/>
  </r>
  <r>
    <x v="11"/>
    <n v="63"/>
    <x v="18"/>
    <n v="93580"/>
    <n v="7.8"/>
    <x v="93"/>
    <n v="-44.8"/>
    <n v="176223"/>
    <x v="93"/>
    <n v="436830.8"/>
    <n v="13"/>
    <n v="6.9"/>
    <n v="15.2"/>
    <n v="1.48"/>
    <n v="-43.7"/>
    <n v="-6.8"/>
    <n v="2.8"/>
    <n v="22.8"/>
    <n v="18"/>
    <n v="10.3"/>
    <n v="118000"/>
    <s v="Computer Software"/>
    <x v="26"/>
    <s v="www.microsoft.com"/>
    <x v="84"/>
    <x v="11"/>
    <n v="0.53103170414758605"/>
    <x v="80"/>
    <x v="84"/>
  </r>
  <r>
    <x v="11"/>
    <n v="23"/>
    <x v="9"/>
    <n v="146801"/>
    <n v="10.8"/>
    <x v="94"/>
    <n v="114.4"/>
    <n v="402672"/>
    <x v="94"/>
    <n v="240942.9"/>
    <n v="9.1"/>
    <n v="3.3"/>
    <n v="10.9"/>
    <n v="2.37"/>
    <n v="99.2"/>
    <n v="-6.7"/>
    <n v="5.3"/>
    <n v="8.1999999999999993"/>
    <n v="8.9"/>
    <n v="9"/>
    <n v="281450"/>
    <s v="Telecommunications"/>
    <x v="10"/>
    <s v="www.att.com"/>
    <x v="85"/>
    <x v="11"/>
    <n v="0.36456719116303099"/>
    <x v="81"/>
    <x v="85"/>
  </r>
  <r>
    <x v="10"/>
    <n v="487"/>
    <x v="21"/>
    <n v="24440"/>
    <n v="5.2"/>
    <x v="95"/>
    <n v="-6.1"/>
    <n v="45885"/>
    <x v="95"/>
    <n v="50815.5"/>
    <n v="11.1047463175123"/>
    <n v="5.91478696741855"/>
    <n v="12.394957983193301"/>
    <n v="1.32"/>
    <n v="-0.8"/>
    <n v="20"/>
    <n v="13.9"/>
    <n v="20.100000000000001"/>
    <n v="11.8"/>
    <n v="7.4"/>
    <n v="70000"/>
    <s v="Computers, Office Equipment"/>
    <x v="12"/>
    <s v="www.emc.com"/>
    <x v="86"/>
    <x v="10"/>
    <n v="0.53263593767026296"/>
    <x v="82"/>
    <x v="86"/>
  </r>
  <r>
    <x v="10"/>
    <n v="484"/>
    <x v="20"/>
    <n v="24537"/>
    <n v="-0.5"/>
    <x v="96"/>
    <n v="7.1"/>
    <n v="24177"/>
    <x v="96"/>
    <n v="38796.1"/>
    <n v="8.75005094347312"/>
    <n v="8.8803408197873992"/>
    <n v="21.2175116118194"/>
    <n v="3.03"/>
    <n v="9.8000000000000007"/>
    <n v="5.9"/>
    <n v="7.4"/>
    <n v="-9.6"/>
    <n v="10.8"/>
    <n v="8.8000000000000007"/>
    <n v="115100"/>
    <s v="Electronics, Electrical Equip."/>
    <x v="12"/>
    <s v="www.emerson.com"/>
    <x v="87"/>
    <x v="10"/>
    <n v="1.01489018488646"/>
    <x v="83"/>
    <x v="87"/>
  </r>
  <r>
    <x v="10"/>
    <n v="275"/>
    <x v="17"/>
    <n v="40306"/>
    <n v="3.2"/>
    <x v="97"/>
    <n v="8"/>
    <n v="45451"/>
    <x v="97"/>
    <n v="81427.399999999994"/>
    <n v="10.517044608743101"/>
    <n v="9.3265274691425901"/>
    <n v="24.007475788639098"/>
    <n v="5.33"/>
    <n v="8.3000000000000007"/>
    <n v="13.3"/>
    <n v="13.6"/>
    <n v="11.5"/>
    <n v="23.5"/>
    <n v="13.7"/>
    <n v="127000"/>
    <s v="Electronics, Electrical Equip."/>
    <x v="12"/>
    <s v="www.honeywell.com"/>
    <x v="88"/>
    <x v="10"/>
    <n v="0.88680117049129803"/>
    <x v="84"/>
    <x v="88"/>
  </r>
  <r>
    <x v="10"/>
    <n v="135"/>
    <x v="11"/>
    <n v="68775"/>
    <n v="6.4"/>
    <x v="98"/>
    <n v="22.9"/>
    <n v="159339"/>
    <x v="98"/>
    <n v="143494.1"/>
    <n v="12.184660123591399"/>
    <n v="5.2592271822968604"/>
    <n v="15.8980099030563"/>
    <n v="3.2"/>
    <n v="25"/>
    <n v="20.5"/>
    <n v="27.3"/>
    <n v="13.5"/>
    <n v="30.4"/>
    <n v="11.4"/>
    <n v="139000"/>
    <s v="Telecommunications"/>
    <x v="12"/>
    <s v="www.comcastcorporation.com"/>
    <x v="89"/>
    <x v="10"/>
    <n v="0.431626908666428"/>
    <x v="85"/>
    <x v="89"/>
  </r>
  <r>
    <x v="10"/>
    <n v="95"/>
    <x v="18"/>
    <n v="86833"/>
    <n v="11.5"/>
    <x v="99"/>
    <n v="1"/>
    <n v="172384"/>
    <x v="99"/>
    <n v="333524.90000000002"/>
    <n v="25.421210829983998"/>
    <n v="12.8051327269352"/>
    <n v="24.585672280139001"/>
    <n v="2.63"/>
    <n v="1.9"/>
    <n v="10.199999999999999"/>
    <n v="13.4"/>
    <n v="27.5"/>
    <n v="11.7"/>
    <n v="8"/>
    <n v="128000"/>
    <s v="Computer Software"/>
    <x v="12"/>
    <s v="www.microsoft.com"/>
    <x v="90"/>
    <x v="10"/>
    <n v="0.50371844254687204"/>
    <x v="86"/>
    <x v="90"/>
  </r>
  <r>
    <x v="10"/>
    <n v="33"/>
    <x v="9"/>
    <n v="132447"/>
    <n v="2.9"/>
    <x v="100"/>
    <n v="-65.900000000000006"/>
    <n v="292829"/>
    <x v="100"/>
    <n v="169459"/>
    <n v="4.69923818584037"/>
    <n v="2.1254725454104602"/>
    <n v="7.2062058585156903"/>
    <n v="1.19"/>
    <n v="-64.900000000000006"/>
    <n v="-10.9"/>
    <n v="-3.9"/>
    <n v="0.8"/>
    <n v="9.6"/>
    <n v="8.1999999999999993"/>
    <n v="243620"/>
    <s v="Telecommunications"/>
    <x v="12"/>
    <s v="www.att.com"/>
    <x v="91"/>
    <x v="10"/>
    <n v="0.45230151385279499"/>
    <x v="87"/>
    <x v="91"/>
  </r>
  <r>
    <x v="7"/>
    <n v="482"/>
    <x v="20"/>
    <n v="24669"/>
    <n v="0.7"/>
    <x v="101"/>
    <n v="1.8"/>
    <n v="24711"/>
    <x v="101"/>
    <n v="46959.501900000003"/>
    <n v="8.1019000000000005"/>
    <n v="8.1019000000000005"/>
    <n v="18.901900000000001"/>
    <n v="2.76"/>
    <n v="3.4018999999999999"/>
    <n v="-2.0001000000000002"/>
    <n v="7.9019000000000004"/>
    <n v="36.101900000000001"/>
    <n v="17.401900000000001"/>
    <n v="11.101900000000001"/>
    <n v="131600"/>
    <s v="Electronics, Electrical Equip."/>
    <x v="30"/>
    <s v="www.emerson.com"/>
    <x v="92"/>
    <x v="7"/>
    <n v="0.99830035206992795"/>
    <x v="88"/>
    <x v="92"/>
  </r>
  <r>
    <x v="7"/>
    <n v="283"/>
    <x v="17"/>
    <n v="39055"/>
    <n v="3.7"/>
    <x v="102"/>
    <n v="34.1"/>
    <n v="45435"/>
    <x v="102"/>
    <n v="72537.7019"/>
    <n v="10.001899999999999"/>
    <n v="8.6019000000000005"/>
    <n v="22.501899999999999"/>
    <n v="4.92"/>
    <n v="33.301900000000003"/>
    <n v="5.5019"/>
    <n v="12.3019"/>
    <n v="47.001899999999999"/>
    <n v="26.101900000000001"/>
    <n v="13.3019"/>
    <n v="131000"/>
    <s v="Electronics, Electrical Equip."/>
    <x v="31"/>
    <s v="www.honeywell.com"/>
    <x v="93"/>
    <x v="7"/>
    <n v="0.85957961923627202"/>
    <x v="89"/>
    <x v="93"/>
  </r>
  <r>
    <x v="7"/>
    <n v="146"/>
    <x v="11"/>
    <n v="64657"/>
    <n v="3.3"/>
    <x v="103"/>
    <n v="9.9"/>
    <n v="158813"/>
    <x v="103"/>
    <n v="130431.7019"/>
    <n v="10.501899999999999"/>
    <n v="4.3018999999999998"/>
    <n v="13.401899999999999"/>
    <n v="2.56"/>
    <n v="12.3019"/>
    <n v="24.401900000000001"/>
    <n v="10.3019"/>
    <n v="41.501899999999999"/>
    <n v="27.501899999999999"/>
    <n v="10.2019"/>
    <n v="136000"/>
    <s v="Telecommunications"/>
    <x v="32"/>
    <s v="www.comcastcorporation.com"/>
    <x v="94"/>
    <x v="7"/>
    <n v="0.40712662061670002"/>
    <x v="90"/>
    <x v="94"/>
  </r>
  <r>
    <x v="7"/>
    <n v="104"/>
    <x v="18"/>
    <n v="77849"/>
    <n v="5.6"/>
    <x v="104"/>
    <n v="28.8"/>
    <n v="142431"/>
    <x v="104"/>
    <n v="340246.70189999999"/>
    <n v="28.101900000000001"/>
    <n v="15.3019"/>
    <n v="27.701899999999998"/>
    <n v="2.58"/>
    <n v="29.001899999999999"/>
    <n v="6.6018999999999997"/>
    <n v="10.901899999999999"/>
    <n v="44.201900000000002"/>
    <n v="16.901900000000001"/>
    <n v="6.3018999999999998"/>
    <n v="99000"/>
    <s v="Computer Software"/>
    <x v="33"/>
    <s v="www.microsoft.com"/>
    <x v="95"/>
    <x v="7"/>
    <n v="0.54657342853732704"/>
    <x v="91"/>
    <x v="95"/>
  </r>
  <r>
    <x v="7"/>
    <n v="34"/>
    <x v="9"/>
    <n v="128752"/>
    <n v="1"/>
    <x v="105"/>
    <n v="151.19999999999999"/>
    <n v="277787"/>
    <x v="105"/>
    <n v="182604.20189999999"/>
    <n v="14.2019"/>
    <n v="6.6018999999999997"/>
    <n v="20.101900000000001"/>
    <n v="3.39"/>
    <n v="171.20189999999999"/>
    <n v="9.4018999999999995"/>
    <n v="2.8018999999999998"/>
    <n v="9.6019000000000005"/>
    <n v="10.401899999999999"/>
    <n v="8.5018999999999991"/>
    <n v="243360"/>
    <s v="Telecommunications"/>
    <x v="34"/>
    <s v="www.att.com"/>
    <x v="96"/>
    <x v="7"/>
    <n v="0.46349181207183898"/>
    <x v="92"/>
    <x v="96"/>
  </r>
  <r>
    <x v="8"/>
    <n v="478"/>
    <x v="20"/>
    <n v="24507"/>
    <n v="1.1000000000000001"/>
    <x v="106"/>
    <n v="-20.6"/>
    <n v="23818"/>
    <x v="106"/>
    <n v="40342.199999999997"/>
    <n v="8"/>
    <n v="8.2627000000000006"/>
    <n v="19"/>
    <n v="2.67"/>
    <n v="-18.3"/>
    <n v="0.1"/>
    <n v="33.799999999999997"/>
    <n v="17.399999999999999"/>
    <n v="1.7"/>
    <n v="10.6"/>
    <n v="134900"/>
    <s v="Electronics, Electrical Equip."/>
    <x v="30"/>
    <s v="www.emerson.com"/>
    <x v="97"/>
    <x v="8"/>
    <n v="1.0289277017381799"/>
    <x v="93"/>
    <x v="97"/>
  </r>
  <r>
    <x v="8"/>
    <n v="165"/>
    <x v="22"/>
    <n v="56940"/>
    <n v="-8.3000000000000007"/>
    <x v="107"/>
    <n v="-32.1"/>
    <n v="47540"/>
    <x v="107"/>
    <n v="25037.7"/>
    <n v="4.2"/>
    <n v="4.9894999999999996"/>
    <n v="22"/>
    <n v="1.35"/>
    <n v="-28.2"/>
    <n v="0.6"/>
    <n v="5.4"/>
    <n v="-30.1"/>
    <n v="-16"/>
    <n v="-9.1999999999999993"/>
    <n v="110050"/>
    <s v="Computers, Office Equipment"/>
    <x v="35"/>
    <s v="www.dell.com"/>
    <x v="98"/>
    <x v="8"/>
    <n v="1.19772822885991"/>
    <x v="58"/>
    <x v="98"/>
  </r>
  <r>
    <x v="8"/>
    <n v="110"/>
    <x v="18"/>
    <n v="73723"/>
    <n v="5.4"/>
    <x v="108"/>
    <n v="-26.7"/>
    <n v="121271"/>
    <x v="108"/>
    <n v="239602.5"/>
    <n v="23"/>
    <n v="14"/>
    <n v="26"/>
    <n v="2"/>
    <n v="-25.7"/>
    <n v="7.1"/>
    <n v="11"/>
    <n v="5.8"/>
    <n v="-3.4"/>
    <n v="3.1"/>
    <n v="94000"/>
    <s v="Computer Software"/>
    <x v="33"/>
    <s v="www.microsoft.com"/>
    <x v="99"/>
    <x v="8"/>
    <n v="0.60791945312564399"/>
    <x v="94"/>
    <x v="99"/>
  </r>
  <r>
    <x v="8"/>
    <n v="34"/>
    <x v="9"/>
    <n v="127434"/>
    <n v="0.6"/>
    <x v="109"/>
    <n v="84.2"/>
    <n v="272315"/>
    <x v="109"/>
    <n v="201487.2"/>
    <n v="5.7"/>
    <n v="2.6675"/>
    <n v="8"/>
    <n v="1.25"/>
    <n v="89.4"/>
    <n v="-8.4"/>
    <n v="-3"/>
    <n v="17.399999999999999"/>
    <n v="1.5"/>
    <n v="7.3"/>
    <n v="241810"/>
    <s v="Telecommunications"/>
    <x v="34"/>
    <s v="www.att.com"/>
    <x v="100"/>
    <x v="8"/>
    <n v="0.467965407707985"/>
    <x v="95"/>
    <x v="100"/>
  </r>
  <r>
    <x v="9"/>
    <n v="260"/>
    <x v="17"/>
    <n v="39302"/>
    <n v="1.9"/>
    <x v="84"/>
    <n v="0.9"/>
    <n v="54146"/>
    <x v="84"/>
    <n v="94990.9"/>
    <n v="12.2"/>
    <n v="8.9"/>
    <n v="24.8"/>
    <n v="6.2"/>
    <n v="2.6"/>
    <n v="18.899999999999999"/>
    <n v="9.4"/>
    <n v="14.9"/>
    <n v="19"/>
    <n v="12.6"/>
    <n v="131000"/>
    <s v="Electronics, Electrical Equip."/>
    <x v="31"/>
    <s v="www.honeywell.com"/>
    <x v="75"/>
    <x v="9"/>
    <n v="0.72585232519484399"/>
    <x v="73"/>
    <x v="75"/>
  </r>
  <r>
    <x v="9"/>
    <n v="79"/>
    <x v="11"/>
    <n v="80403"/>
    <n v="7.9"/>
    <x v="85"/>
    <n v="6.5"/>
    <n v="180500"/>
    <x v="85"/>
    <n v="178257.8"/>
    <n v="10.8"/>
    <n v="4.8"/>
    <n v="16.100000000000001"/>
    <n v="3.57"/>
    <n v="10.199999999999999"/>
    <n v="18.899999999999999"/>
    <n v="16.3"/>
    <n v="24.5"/>
    <n v="26"/>
    <n v="11"/>
    <n v="159000"/>
    <s v="Telecommunications"/>
    <x v="32"/>
    <s v="www.comcastcorporation.com"/>
    <x v="76"/>
    <x v="9"/>
    <n v="0.44544598337950098"/>
    <x v="74"/>
    <x v="76"/>
  </r>
  <r>
    <x v="9"/>
    <n v="69"/>
    <x v="18"/>
    <n v="85320"/>
    <n v="-8.8000000000000007"/>
    <x v="86"/>
    <n v="37.799999999999997"/>
    <n v="193694"/>
    <x v="86"/>
    <n v="508935.1"/>
    <n v="19.7"/>
    <n v="8.6999999999999993"/>
    <n v="23.3"/>
    <n v="2.1"/>
    <n v="41.9"/>
    <n v="-4.8"/>
    <n v="5.8"/>
    <n v="15"/>
    <n v="22.4"/>
    <n v="10.199999999999999"/>
    <n v="114000"/>
    <s v="Computer Software"/>
    <x v="33"/>
    <s v="www.microsoft.com"/>
    <x v="77"/>
    <x v="9"/>
    <n v="0.44048860573894899"/>
    <x v="23"/>
    <x v="77"/>
  </r>
  <r>
    <x v="9"/>
    <n v="26"/>
    <x v="10"/>
    <n v="135987"/>
    <n v="27.1"/>
    <x v="87"/>
    <n v="297.8"/>
    <n v="83402"/>
    <x v="87"/>
    <n v="423030.8"/>
    <n v="1.7"/>
    <n v="2.8"/>
    <n v="12.3"/>
    <n v="4.9000000000000004"/>
    <n v="292"/>
    <n v="29"/>
    <n v="27"/>
    <n v="10.9"/>
    <n v="34.1"/>
    <n v="34.200000000000003"/>
    <n v="341400"/>
    <s v="Internet Services and Retailing"/>
    <x v="13"/>
    <s v="www.amazon.com"/>
    <x v="78"/>
    <x v="9"/>
    <n v="1.6305004676146899"/>
    <x v="75"/>
    <x v="78"/>
  </r>
  <r>
    <x v="9"/>
    <n v="19"/>
    <x v="9"/>
    <n v="163786"/>
    <n v="11.6"/>
    <x v="88"/>
    <n v="-2.8"/>
    <n v="403821"/>
    <x v="88"/>
    <n v="255678.6"/>
    <n v="7.9"/>
    <n v="3.2"/>
    <n v="10.5"/>
    <n v="2.1"/>
    <n v="-11.4"/>
    <n v="26"/>
    <n v="1.1000000000000001"/>
    <n v="29.9"/>
    <n v="12.7"/>
    <n v="7.3"/>
    <n v="268540"/>
    <s v="Telecommunications"/>
    <x v="34"/>
    <s v="www.att.com"/>
    <x v="79"/>
    <x v="9"/>
    <n v="0.40559059583330198"/>
    <x v="71"/>
    <x v="79"/>
  </r>
  <r>
    <x v="0"/>
    <n v="477"/>
    <x v="23"/>
    <n v="31877"/>
    <n v="82.6"/>
    <x v="110"/>
    <n v="0"/>
    <n v="32109"/>
    <x v="110"/>
    <n v="63839.7"/>
    <n v="-28.7"/>
    <n v="-28.5"/>
    <n v="-124.5"/>
    <n v="-4.6500000000000004"/>
    <n v="0"/>
    <n v="0"/>
    <n v="0"/>
    <n v="-41"/>
    <n v="0"/>
    <n v="0"/>
    <n v="32800"/>
    <s v="Internet Services and Retailing"/>
    <x v="36"/>
    <s v="www.uber.com"/>
    <x v="101"/>
    <x v="0"/>
    <n v="0.99277461147964696"/>
    <x v="96"/>
    <x v="101"/>
  </r>
  <r>
    <x v="1"/>
    <n v="32"/>
    <x v="9"/>
    <n v="168864"/>
    <n v="-1.7"/>
    <x v="111"/>
    <n v="0"/>
    <n v="551622"/>
    <x v="111"/>
    <n v="169262.4"/>
    <n v="11.9"/>
    <n v="3.6"/>
    <n v="12.1"/>
    <n v="2.76"/>
    <n v="0"/>
    <n v="5.6"/>
    <n v="15.4"/>
    <n v="-8"/>
    <n v="-4.5999999999999996"/>
    <n v="3.7"/>
    <n v="202600"/>
    <s v="Telecommunications"/>
    <x v="10"/>
    <s v="www.att.com"/>
    <x v="102"/>
    <x v="1"/>
    <n v="0.306122670959461"/>
    <x v="97"/>
    <x v="102"/>
  </r>
  <r>
    <x v="6"/>
    <n v="376"/>
    <x v="4"/>
    <n v="29003"/>
    <n v="197.3"/>
    <x v="112"/>
    <n v="0"/>
    <n v="149067"/>
    <x v="112"/>
    <n v="100595.2"/>
    <n v="12.1"/>
    <n v="2.4"/>
    <n v="8.8000000000000007"/>
    <n v="15.94"/>
    <n v="0"/>
    <n v="0"/>
    <n v="0"/>
    <n v="42.2"/>
    <n v="35.5"/>
    <n v="0"/>
    <n v="91500"/>
    <s v="Telecommunications"/>
    <x v="4"/>
    <s v="www.charter.com"/>
    <x v="103"/>
    <x v="6"/>
    <n v="0.19456351841789299"/>
    <x v="98"/>
    <x v="103"/>
  </r>
  <r>
    <x v="11"/>
    <n v="44"/>
    <x v="10"/>
    <n v="107006"/>
    <n v="20.2"/>
    <x v="113"/>
    <n v="0"/>
    <n v="65444"/>
    <x v="113"/>
    <n v="279510.7"/>
    <n v="0.6"/>
    <n v="0.9"/>
    <n v="4.5"/>
    <n v="1.25"/>
    <n v="0"/>
    <n v="-13.2"/>
    <n v="4.0999999999999996"/>
    <n v="117.8"/>
    <n v="30.3"/>
    <n v="30.5"/>
    <n v="230800"/>
    <s v="Internet Services and Retailing"/>
    <x v="11"/>
    <s v="www.amazon.com"/>
    <x v="104"/>
    <x v="11"/>
    <n v="1.6350773180123499"/>
    <x v="99"/>
    <x v="104"/>
  </r>
  <r>
    <x v="7"/>
    <n v="112"/>
    <x v="10"/>
    <n v="74452"/>
    <n v="21.9"/>
    <x v="114"/>
    <n v="0"/>
    <n v="40159"/>
    <x v="114"/>
    <n v="154480.5019"/>
    <n v="0.40189999999999998"/>
    <n v="0.70189999999999997"/>
    <n v="2.8018999999999998"/>
    <n v="0.59"/>
    <n v="0"/>
    <n v="-16.900099999999998"/>
    <n v="22.101900000000001"/>
    <n v="59.001899999999999"/>
    <n v="50.701900000000002"/>
    <n v="22.501899999999999"/>
    <n v="117300"/>
    <s v="Internet Services and Retailing"/>
    <x v="13"/>
    <s v="www.amazon.com"/>
    <x v="105"/>
    <x v="7"/>
    <n v="1.85393062576259"/>
    <x v="100"/>
    <x v="105"/>
  </r>
  <r>
    <x v="7"/>
    <n v="50"/>
    <x v="12"/>
    <n v="112298"/>
    <n v="-6.7"/>
    <x v="115"/>
    <n v="0"/>
    <n v="105676"/>
    <x v="115"/>
    <n v="61326.101900000001"/>
    <n v="4.6018999999999997"/>
    <n v="4.8018999999999998"/>
    <n v="18.8019"/>
    <n v="2.62"/>
    <n v="0"/>
    <n v="-4.2000999999999999"/>
    <n v="12.2019"/>
    <n v="101.8019"/>
    <n v="-3.5001000000000002"/>
    <n v="3.3018999999999998"/>
    <n v="317500"/>
    <s v="Computers, Office Equipment"/>
    <x v="15"/>
    <s v="www.hp.com"/>
    <x v="106"/>
    <x v="7"/>
    <n v="1.06266323479314"/>
    <x v="41"/>
    <x v="106"/>
  </r>
  <r>
    <x v="8"/>
    <n v="310"/>
    <x v="24"/>
    <n v="35345"/>
    <n v="4.9000000000000004"/>
    <x v="116"/>
    <n v="0"/>
    <n v="51570"/>
    <x v="116"/>
    <n v="18696.900000000001"/>
    <n v="-12.2"/>
    <n v="-8.3886000000000003"/>
    <n v="-61"/>
    <n v="-1.44"/>
    <n v="0"/>
    <n v="0"/>
    <n v="0"/>
    <n v="142.30000000000001"/>
    <n v="-15.5"/>
    <n v="-7.3"/>
    <n v="39000"/>
    <s v="Telecommunications"/>
    <x v="37"/>
    <s v="www.sprint.com"/>
    <x v="107"/>
    <x v="8"/>
    <n v="0.68537909637386096"/>
    <x v="101"/>
    <x v="107"/>
  </r>
  <r>
    <x v="9"/>
    <n v="376"/>
    <x v="4"/>
    <n v="29003"/>
    <n v="197.3"/>
    <x v="112"/>
    <n v="0"/>
    <n v="149067"/>
    <x v="112"/>
    <n v="100595.2"/>
    <n v="12.1"/>
    <n v="2.4"/>
    <n v="8.8000000000000007"/>
    <n v="15.94"/>
    <n v="0"/>
    <n v="0"/>
    <n v="0"/>
    <n v="42.2"/>
    <n v="35.5"/>
    <n v="0"/>
    <n v="91500"/>
    <s v="Telecommunications"/>
    <x v="38"/>
    <s v="www.charter.com"/>
    <x v="103"/>
    <x v="9"/>
    <n v="0.19456351841789299"/>
    <x v="98"/>
    <x v="103"/>
  </r>
  <r>
    <x v="10"/>
    <n v="53"/>
    <x v="12"/>
    <n v="111454"/>
    <n v="-0.8"/>
    <x v="117"/>
    <n v="-2"/>
    <n v="103206"/>
    <x v="117"/>
    <n v="56635.1"/>
    <n v="4.4978197283184098"/>
    <n v="4.8572757397825699"/>
    <n v="18.753507163966901"/>
    <n v="2.62"/>
    <n v="0"/>
    <n v="-3.6"/>
    <n v="8.6"/>
    <n v="46.2"/>
    <n v="-3.1"/>
    <n v="8.1999999999999993"/>
    <n v="302000"/>
    <s v="Computers, Office Equipment"/>
    <x v="12"/>
    <s v="www.hp.com"/>
    <x v="108"/>
    <x v="10"/>
    <n v="1.07991783423444"/>
    <x v="102"/>
    <x v="108"/>
  </r>
  <r>
    <x v="3"/>
    <n v="84"/>
    <x v="0"/>
    <n v="90621"/>
    <n v="15.2"/>
    <x v="118"/>
    <n v="0"/>
    <n v="111820"/>
    <x v="118"/>
    <n v="42170.5"/>
    <n v="-2.5"/>
    <n v="-2.1"/>
    <n v="0"/>
    <n v="0"/>
    <n v="0"/>
    <n v="0"/>
    <n v="0"/>
    <n v="0"/>
    <n v="0"/>
    <n v="0"/>
    <n v="157000"/>
    <s v="Computers, Office Equipment"/>
    <x v="0"/>
    <s v="www.delltechnologies.com"/>
    <x v="109"/>
    <x v="3"/>
    <n v="0.81041852978000395"/>
    <x v="0"/>
    <x v="0"/>
  </r>
  <r>
    <x v="4"/>
    <n v="84"/>
    <x v="0"/>
    <n v="90621"/>
    <n v="15.2"/>
    <x v="118"/>
    <n v="0"/>
    <n v="111820"/>
    <x v="118"/>
    <n v="42170.5"/>
    <n v="-2.5"/>
    <n v="-2.1"/>
    <n v="0"/>
    <n v="0"/>
    <n v="0"/>
    <n v="0"/>
    <n v="0"/>
    <n v="0"/>
    <n v="0"/>
    <n v="0"/>
    <n v="157000"/>
    <s v="Computers, Office Equipment"/>
    <x v="0"/>
    <s v="www.delltechnologies.com"/>
    <x v="109"/>
    <x v="4"/>
    <n v="0.81041852978000395"/>
    <x v="0"/>
    <x v="0"/>
  </r>
  <r>
    <x v="5"/>
    <n v="84"/>
    <x v="0"/>
    <n v="90621"/>
    <n v="15.2"/>
    <x v="118"/>
    <n v="0"/>
    <n v="111820"/>
    <x v="118"/>
    <n v="42170.5"/>
    <n v="-2.5"/>
    <n v="-2.1"/>
    <n v="0"/>
    <n v="0"/>
    <n v="0"/>
    <n v="0"/>
    <n v="0"/>
    <n v="0"/>
    <n v="0"/>
    <n v="0"/>
    <n v="157000"/>
    <s v="Computers, Office Equipment"/>
    <x v="0"/>
    <s v="www.delltechnologies.com"/>
    <x v="109"/>
    <x v="5"/>
    <n v="0.81041852978000395"/>
    <x v="0"/>
    <x v="0"/>
  </r>
  <r>
    <x v="6"/>
    <n v="124"/>
    <x v="0"/>
    <n v="64806"/>
    <n v="18.100000000000001"/>
    <x v="119"/>
    <n v="0"/>
    <n v="118206"/>
    <x v="119"/>
    <n v="0"/>
    <n v="-2.6"/>
    <n v="-1.4"/>
    <n v="-12.6"/>
    <n v="0"/>
    <n v="0"/>
    <n v="0"/>
    <n v="0"/>
    <n v="0"/>
    <n v="0"/>
    <n v="0"/>
    <n v="138000"/>
    <s v="Computers, Office Equipment"/>
    <x v="12"/>
    <s v="www.delltechnologies.com"/>
    <x v="110"/>
    <x v="6"/>
    <n v="0.54824628191462399"/>
    <x v="103"/>
    <x v="109"/>
  </r>
  <r>
    <x v="9"/>
    <n v="124"/>
    <x v="0"/>
    <n v="64806"/>
    <n v="18.100000000000001"/>
    <x v="119"/>
    <n v="0"/>
    <n v="118206"/>
    <x v="119"/>
    <n v="0"/>
    <n v="-2.6"/>
    <n v="-1.4"/>
    <n v="-12.6"/>
    <n v="0"/>
    <n v="0"/>
    <n v="0"/>
    <n v="0"/>
    <n v="0"/>
    <n v="0"/>
    <n v="0"/>
    <n v="138000"/>
    <s v="Computers, Office Equipment"/>
    <x v="12"/>
    <s v="www.delltechnologies.com"/>
    <x v="110"/>
    <x v="9"/>
    <n v="0.54824628191462399"/>
    <x v="103"/>
    <x v="109"/>
  </r>
  <r>
    <x v="0"/>
    <n v="467"/>
    <x v="25"/>
    <n v="32698.5"/>
    <n v="17.7"/>
    <x v="120"/>
    <n v="0"/>
    <n v="35446.400000000001"/>
    <x v="120"/>
    <n v="0"/>
    <n v="-3"/>
    <n v="-2.8"/>
    <n v="-5.3"/>
    <n v="0"/>
    <n v="0"/>
    <n v="0"/>
    <n v="0"/>
    <n v="0"/>
    <n v="0"/>
    <n v="0"/>
    <n v="91932"/>
    <s v="Internet Services and Retailing"/>
    <x v="39"/>
    <s v="https://about.meituan.com/"/>
    <x v="111"/>
    <x v="0"/>
    <n v="0.92247731786584797"/>
    <x v="104"/>
    <x v="110"/>
  </r>
  <r>
    <x v="0"/>
    <n v="295"/>
    <x v="26"/>
    <n v="48541.599999999999"/>
    <n v="-12.4"/>
    <x v="121"/>
    <n v="0"/>
    <n v="330995.7"/>
    <x v="121"/>
    <n v="0"/>
    <n v="-14.8"/>
    <n v="-2.2000000000000002"/>
    <n v="-10.5"/>
    <n v="0"/>
    <n v="0"/>
    <n v="0"/>
    <n v="0"/>
    <n v="0"/>
    <n v="0"/>
    <n v="0"/>
    <n v="63339"/>
    <s v="Telecommunications"/>
    <x v="40"/>
    <s v="https://group.softbank/en/"/>
    <x v="112"/>
    <x v="0"/>
    <n v="0.146653264679873"/>
    <x v="105"/>
    <x v="111"/>
  </r>
  <r>
    <x v="0"/>
    <n v="52"/>
    <x v="27"/>
    <n v="155533.29999999999"/>
    <n v="5.4"/>
    <x v="122"/>
    <n v="0"/>
    <n v="86303.1"/>
    <x v="122"/>
    <n v="0"/>
    <n v="1"/>
    <n v="1.8"/>
    <n v="5"/>
    <n v="0"/>
    <n v="0"/>
    <n v="0"/>
    <n v="0"/>
    <n v="0"/>
    <n v="0"/>
    <n v="0"/>
    <n v="450679"/>
    <s v="Internet Services and Retailing"/>
    <x v="41"/>
    <s v="www.jd.com"/>
    <x v="113"/>
    <x v="0"/>
    <n v="1.8021751246479001"/>
    <x v="106"/>
    <x v="112"/>
  </r>
  <r>
    <x v="2"/>
    <n v="420"/>
    <x v="28"/>
    <n v="28812.6"/>
    <n v="-7.6"/>
    <x v="123"/>
    <n v="0"/>
    <n v="31651.3"/>
    <x v="123"/>
    <n v="0"/>
    <n v="3.7"/>
    <n v="3.4"/>
    <n v="10.199999999999999"/>
    <n v="0"/>
    <n v="0"/>
    <n v="0"/>
    <n v="0"/>
    <n v="0"/>
    <n v="0"/>
    <n v="0"/>
    <n v="117300"/>
    <s v="Electronics, Electrical Equip."/>
    <x v="42"/>
    <s v="www.toshiba.co.jp"/>
    <x v="114"/>
    <x v="2"/>
    <n v="0.91031332046392999"/>
    <x v="107"/>
    <x v="113"/>
  </r>
  <r>
    <x v="2"/>
    <n v="209"/>
    <x v="29"/>
    <n v="51054.5"/>
    <n v="2.2000000000000002"/>
    <x v="124"/>
    <n v="0"/>
    <n v="182044"/>
    <x v="124"/>
    <n v="0"/>
    <n v="0.3"/>
    <n v="0.1"/>
    <n v="0.2"/>
    <n v="0"/>
    <n v="0"/>
    <n v="0"/>
    <n v="0"/>
    <n v="0"/>
    <n v="0"/>
    <n v="0"/>
    <n v="96506"/>
    <s v="Telecommunications"/>
    <x v="43"/>
    <s v="www.vodafone.com"/>
    <x v="115"/>
    <x v="2"/>
    <n v="0.28045142932477901"/>
    <x v="108"/>
    <x v="114"/>
  </r>
  <r>
    <x v="2"/>
    <n v="184"/>
    <x v="26"/>
    <n v="56213.599999999999"/>
    <n v="-35.700000000000003"/>
    <x v="125"/>
    <n v="0"/>
    <n v="413656.9"/>
    <x v="125"/>
    <n v="0"/>
    <n v="83.7"/>
    <n v="11.4"/>
    <n v="51"/>
    <n v="0"/>
    <n v="0"/>
    <n v="0"/>
    <n v="0"/>
    <n v="0"/>
    <n v="0"/>
    <n v="0"/>
    <n v="58786"/>
    <s v="Telecommunications"/>
    <x v="40"/>
    <s v="https://group.softbank/en/"/>
    <x v="116"/>
    <x v="2"/>
    <n v="0.135894264062802"/>
    <x v="109"/>
    <x v="115"/>
  </r>
  <r>
    <x v="3"/>
    <n v="468"/>
    <x v="30"/>
    <n v="26443.5"/>
    <n v="55.9"/>
    <x v="126"/>
    <n v="0"/>
    <n v="21152.7"/>
    <x v="126"/>
    <n v="0"/>
    <n v="7.7"/>
    <n v="9.6999999999999993"/>
    <n v="19.7"/>
    <n v="0"/>
    <n v="0"/>
    <n v="0"/>
    <n v="0"/>
    <n v="0"/>
    <n v="0"/>
    <n v="0"/>
    <n v="16683"/>
    <s v="Internet Services and Retailing"/>
    <x v="44"/>
    <s v="www.mi.com"/>
    <x v="117"/>
    <x v="3"/>
    <n v="1.25012409763293"/>
    <x v="110"/>
    <x v="116"/>
  </r>
  <r>
    <x v="3"/>
    <n v="212"/>
    <x v="31"/>
    <n v="51037.9"/>
    <n v="12.5"/>
    <x v="127"/>
    <n v="0"/>
    <n v="29988.5"/>
    <x v="127"/>
    <n v="0"/>
    <n v="1.2"/>
    <n v="2"/>
    <n v="17.600000000000001"/>
    <n v="0"/>
    <n v="0"/>
    <n v="0"/>
    <n v="0"/>
    <n v="0"/>
    <n v="0"/>
    <n v="0"/>
    <n v="57000"/>
    <s v="Computers, Office Equipment"/>
    <x v="45"/>
    <s v="www.lenovo.com"/>
    <x v="118"/>
    <x v="3"/>
    <n v="1.7019157343648399"/>
    <x v="111"/>
    <x v="117"/>
  </r>
  <r>
    <x v="3"/>
    <n v="139"/>
    <x v="27"/>
    <n v="69847.600000000006"/>
    <n v="29.4"/>
    <x v="128"/>
    <n v="0"/>
    <n v="30465.200000000001"/>
    <x v="128"/>
    <n v="0"/>
    <n v="-0.5"/>
    <n v="-1.2"/>
    <n v="-4.3"/>
    <n v="0"/>
    <n v="0"/>
    <n v="0"/>
    <n v="0"/>
    <n v="0"/>
    <n v="0"/>
    <n v="0"/>
    <n v="178927"/>
    <s v="Internet Services and Retailing"/>
    <x v="41"/>
    <s v="www.jd.com"/>
    <x v="119"/>
    <x v="3"/>
    <n v="2.2927011803631698"/>
    <x v="112"/>
    <x v="118"/>
  </r>
  <r>
    <x v="4"/>
    <n v="468"/>
    <x v="30"/>
    <n v="26443.5"/>
    <n v="55.9"/>
    <x v="126"/>
    <n v="0"/>
    <n v="21152.7"/>
    <x v="126"/>
    <n v="0"/>
    <n v="7.7"/>
    <n v="9.6999999999999993"/>
    <n v="19.7"/>
    <n v="0"/>
    <n v="0"/>
    <n v="0"/>
    <n v="0"/>
    <n v="0"/>
    <n v="0"/>
    <n v="0"/>
    <n v="16683"/>
    <s v="Internet Services and Retailing"/>
    <x v="44"/>
    <s v="www.mi.com"/>
    <x v="117"/>
    <x v="4"/>
    <n v="1.25012409763293"/>
    <x v="110"/>
    <x v="116"/>
  </r>
  <r>
    <x v="4"/>
    <n v="212"/>
    <x v="31"/>
    <n v="51037.9"/>
    <n v="12.5"/>
    <x v="127"/>
    <n v="0"/>
    <n v="29988.5"/>
    <x v="127"/>
    <n v="0"/>
    <n v="1.2"/>
    <n v="2"/>
    <n v="17.600000000000001"/>
    <n v="0"/>
    <n v="0"/>
    <n v="0"/>
    <n v="0"/>
    <n v="0"/>
    <n v="0"/>
    <n v="0"/>
    <n v="57000"/>
    <s v="Computers, Office Equipment"/>
    <x v="45"/>
    <s v="www.lenovo.com"/>
    <x v="118"/>
    <x v="4"/>
    <n v="1.7019157343648399"/>
    <x v="111"/>
    <x v="117"/>
  </r>
  <r>
    <x v="4"/>
    <n v="139"/>
    <x v="27"/>
    <n v="69847.600000000006"/>
    <n v="29.4"/>
    <x v="128"/>
    <n v="0"/>
    <n v="30465.200000000001"/>
    <x v="128"/>
    <n v="0"/>
    <n v="-0.5"/>
    <n v="-1.2"/>
    <n v="-4.3"/>
    <n v="0"/>
    <n v="0"/>
    <n v="0"/>
    <n v="0"/>
    <n v="0"/>
    <n v="0"/>
    <n v="0"/>
    <n v="178927"/>
    <s v="Internet Services and Retailing"/>
    <x v="41"/>
    <s v="www.jd.com"/>
    <x v="119"/>
    <x v="4"/>
    <n v="2.2927011803631698"/>
    <x v="112"/>
    <x v="118"/>
  </r>
  <r>
    <x v="5"/>
    <n v="468"/>
    <x v="30"/>
    <n v="26443.5"/>
    <n v="55.9"/>
    <x v="126"/>
    <n v="0"/>
    <n v="21152.7"/>
    <x v="126"/>
    <n v="0"/>
    <n v="7.7"/>
    <n v="9.6999999999999993"/>
    <n v="19.7"/>
    <n v="0"/>
    <n v="0"/>
    <n v="0"/>
    <n v="0"/>
    <n v="0"/>
    <n v="0"/>
    <n v="0"/>
    <n v="16683"/>
    <s v="Internet Services and Retailing"/>
    <x v="44"/>
    <s v="www.mi.com"/>
    <x v="117"/>
    <x v="5"/>
    <n v="1.25012409763293"/>
    <x v="110"/>
    <x v="116"/>
  </r>
  <r>
    <x v="5"/>
    <n v="212"/>
    <x v="31"/>
    <n v="51037.9"/>
    <n v="12.5"/>
    <x v="127"/>
    <n v="0"/>
    <n v="29988.5"/>
    <x v="127"/>
    <n v="0"/>
    <n v="1.2"/>
    <n v="2"/>
    <n v="17.600000000000001"/>
    <n v="0"/>
    <n v="0"/>
    <n v="0"/>
    <n v="0"/>
    <n v="0"/>
    <n v="0"/>
    <n v="0"/>
    <n v="57000"/>
    <s v="Computers, Office Equipment"/>
    <x v="45"/>
    <s v="www.lenovo.com"/>
    <x v="118"/>
    <x v="5"/>
    <n v="1.7019157343648399"/>
    <x v="111"/>
    <x v="117"/>
  </r>
  <r>
    <x v="5"/>
    <n v="139"/>
    <x v="27"/>
    <n v="69847.600000000006"/>
    <n v="29.4"/>
    <x v="128"/>
    <n v="0"/>
    <n v="30465.200000000001"/>
    <x v="128"/>
    <n v="0"/>
    <n v="-0.5"/>
    <n v="-1.2"/>
    <n v="-4.3"/>
    <n v="0"/>
    <n v="0"/>
    <n v="0"/>
    <n v="0"/>
    <n v="0"/>
    <n v="0"/>
    <n v="0"/>
    <n v="178927"/>
    <s v="Internet Services and Retailing"/>
    <x v="41"/>
    <s v="www.jd.com"/>
    <x v="119"/>
    <x v="5"/>
    <n v="2.2927011803631698"/>
    <x v="112"/>
    <x v="118"/>
  </r>
  <r>
    <x v="6"/>
    <n v="493"/>
    <x v="32"/>
    <n v="21941.1"/>
    <n v="-17.399999999999999"/>
    <x v="129"/>
    <n v="0"/>
    <n v="74294.5"/>
    <x v="129"/>
    <n v="0"/>
    <n v="9.1"/>
    <n v="2.7"/>
    <n v="8.9"/>
    <n v="0"/>
    <n v="0"/>
    <n v="0"/>
    <n v="0"/>
    <n v="0"/>
    <n v="0"/>
    <n v="0"/>
    <n v="61227"/>
    <s v="Telecommunications"/>
    <x v="46"/>
    <s v="www.telecomitalia.com"/>
    <x v="120"/>
    <x v="6"/>
    <n v="0.29532603355564702"/>
    <x v="113"/>
    <x v="119"/>
  </r>
  <r>
    <x v="6"/>
    <n v="473"/>
    <x v="33"/>
    <n v="22952.6"/>
    <n v="42.2"/>
    <x v="130"/>
    <n v="0"/>
    <n v="84805.2"/>
    <x v="130"/>
    <n v="0"/>
    <n v="-7.5"/>
    <n v="-2"/>
    <n v="0"/>
    <n v="0"/>
    <n v="0"/>
    <n v="0"/>
    <n v="0"/>
    <n v="0"/>
    <n v="0"/>
    <n v="0"/>
    <n v="49732"/>
    <s v="Telecommunications"/>
    <x v="47"/>
    <s v="www.altice.net"/>
    <x v="109"/>
    <x v="6"/>
    <n v="0.27065085631541502"/>
    <x v="0"/>
    <x v="0"/>
  </r>
  <r>
    <x v="6"/>
    <n v="261"/>
    <x v="27"/>
    <n v="39155.300000000003"/>
    <n v="35.700000000000003"/>
    <x v="131"/>
    <n v="0"/>
    <n v="23077"/>
    <x v="131"/>
    <n v="0"/>
    <n v="-1.5"/>
    <n v="-2.5"/>
    <n v="-11.7"/>
    <n v="0"/>
    <n v="0"/>
    <n v="0"/>
    <n v="0"/>
    <n v="0"/>
    <n v="0"/>
    <n v="0"/>
    <n v="120622"/>
    <s v="Internet Services and Retailing"/>
    <x v="41"/>
    <s v="www.jd.com"/>
    <x v="121"/>
    <x v="6"/>
    <n v="1.6967240109199599"/>
    <x v="114"/>
    <x v="120"/>
  </r>
  <r>
    <x v="6"/>
    <n v="226"/>
    <x v="31"/>
    <n v="43034.7"/>
    <n v="-4.2"/>
    <x v="132"/>
    <n v="0"/>
    <n v="27186"/>
    <x v="132"/>
    <n v="0"/>
    <n v="1.2"/>
    <n v="2"/>
    <n v="16.600000000000001"/>
    <n v="0"/>
    <n v="0"/>
    <n v="0"/>
    <n v="0"/>
    <n v="0"/>
    <n v="0"/>
    <n v="0"/>
    <n v="52000"/>
    <s v="Computers, Office Equipment"/>
    <x v="45"/>
    <s v="www.lenovo.com"/>
    <x v="122"/>
    <x v="6"/>
    <n v="1.5829728536746901"/>
    <x v="115"/>
    <x v="121"/>
  </r>
  <r>
    <x v="6"/>
    <n v="149"/>
    <x v="29"/>
    <n v="58611.4"/>
    <n v="-5"/>
    <x v="133"/>
    <n v="0"/>
    <n v="165419.70000000001"/>
    <x v="133"/>
    <n v="0"/>
    <n v="-11.8"/>
    <n v="-4.2"/>
    <n v="-8.9"/>
    <n v="0"/>
    <n v="0"/>
    <n v="0"/>
    <n v="0"/>
    <n v="0"/>
    <n v="0"/>
    <n v="0"/>
    <n v="111556"/>
    <s v="Telecommunications"/>
    <x v="43"/>
    <s v="www.vodafone.com"/>
    <x v="123"/>
    <x v="6"/>
    <n v="0.35431934648654301"/>
    <x v="116"/>
    <x v="122"/>
  </r>
  <r>
    <x v="11"/>
    <n v="366"/>
    <x v="27"/>
    <n v="28847.1"/>
    <n v="54.6"/>
    <x v="134"/>
    <n v="0"/>
    <n v="13115.4"/>
    <x v="134"/>
    <n v="0"/>
    <n v="-5.2"/>
    <n v="-11.4"/>
    <n v="-31.7"/>
    <n v="0"/>
    <n v="0"/>
    <n v="0"/>
    <n v="0"/>
    <n v="0"/>
    <n v="0"/>
    <n v="0"/>
    <n v="105963"/>
    <s v="Internet Services and Retailing"/>
    <x v="41"/>
    <s v="www.jd.com"/>
    <x v="124"/>
    <x v="11"/>
    <n v="2.1994830504597598"/>
    <x v="117"/>
    <x v="123"/>
  </r>
  <r>
    <x v="11"/>
    <n v="169"/>
    <x v="28"/>
    <n v="52031.9"/>
    <n v="-14"/>
    <x v="135"/>
    <n v="0"/>
    <n v="48347.9"/>
    <x v="135"/>
    <n v="0"/>
    <n v="-7.4"/>
    <n v="-7.9"/>
    <n v="-130.9"/>
    <n v="0"/>
    <n v="0"/>
    <n v="0"/>
    <n v="0"/>
    <n v="0"/>
    <n v="0"/>
    <n v="0"/>
    <n v="188000"/>
    <s v="Electronics, Electrical Equip."/>
    <x v="42"/>
    <s v="www.toshiba.co.jp"/>
    <x v="125"/>
    <x v="11"/>
    <n v="1.0761977252372901"/>
    <x v="118"/>
    <x v="124"/>
  </r>
  <r>
    <x v="11"/>
    <n v="113"/>
    <x v="34"/>
    <n v="67518.8"/>
    <n v="-9.6"/>
    <x v="136"/>
    <n v="0"/>
    <n v="148366.20000000001"/>
    <x v="136"/>
    <n v="0"/>
    <n v="1.8"/>
    <n v="0.8"/>
    <n v="5.6"/>
    <n v="0"/>
    <n v="0"/>
    <n v="0"/>
    <n v="0"/>
    <n v="0"/>
    <n v="0"/>
    <n v="0"/>
    <n v="125300"/>
    <s v="Electronics, Electrical Equip."/>
    <x v="48"/>
    <s v="www.sony.net"/>
    <x v="126"/>
    <x v="11"/>
    <n v="0.45508208742961698"/>
    <x v="119"/>
    <x v="125"/>
  </r>
  <r>
    <x v="7"/>
    <n v="417"/>
    <x v="35"/>
    <n v="29219"/>
    <n v="-2.1"/>
    <x v="137"/>
    <n v="0"/>
    <n v="21187.5"/>
    <x v="137"/>
    <n v="0"/>
    <n v="0.40189999999999998"/>
    <n v="0.50190000000000001"/>
    <n v="3.5019"/>
    <n v="0"/>
    <n v="0"/>
    <n v="0"/>
    <n v="0"/>
    <n v="0"/>
    <n v="0"/>
    <n v="0"/>
    <n v="50253"/>
    <s v="Electronics, Electrical Equip."/>
    <x v="49"/>
    <s v="www.sharp.co.jp"/>
    <x v="127"/>
    <x v="7"/>
    <n v="1.37906784660767"/>
    <x v="120"/>
    <x v="126"/>
  </r>
  <r>
    <x v="7"/>
    <n v="319"/>
    <x v="32"/>
    <n v="36493.4"/>
    <n v="-4.7"/>
    <x v="138"/>
    <n v="0"/>
    <n v="96749.1"/>
    <x v="138"/>
    <n v="0"/>
    <n v="-2.5001000000000002"/>
    <n v="-0.90010000000000001"/>
    <n v="-3.8001"/>
    <n v="0"/>
    <n v="0"/>
    <n v="0"/>
    <n v="0"/>
    <n v="0"/>
    <n v="0"/>
    <n v="0"/>
    <n v="82196"/>
    <s v="Telecommunications"/>
    <x v="50"/>
    <s v="www.telecomitalia.com"/>
    <x v="128"/>
    <x v="7"/>
    <n v="0.37719627366042702"/>
    <x v="121"/>
    <x v="127"/>
  </r>
  <r>
    <x v="7"/>
    <n v="222"/>
    <x v="36"/>
    <n v="47538.400000000001"/>
    <n v="-9.9"/>
    <x v="139"/>
    <n v="0"/>
    <n v="29907.1"/>
    <x v="139"/>
    <n v="0"/>
    <n v="1.0019"/>
    <n v="1.6019000000000001"/>
    <n v="5.7019000000000002"/>
    <n v="0"/>
    <n v="0"/>
    <n v="0"/>
    <n v="0"/>
    <n v="0"/>
    <n v="0"/>
    <n v="0"/>
    <n v="162393"/>
    <s v="Computers, Office Equipment"/>
    <x v="51"/>
    <s v="www.fujitsu.com"/>
    <x v="129"/>
    <x v="7"/>
    <n v="1.58953559522655"/>
    <x v="122"/>
    <x v="128"/>
  </r>
  <r>
    <x v="7"/>
    <n v="106"/>
    <x v="37"/>
    <n v="77225.600000000006"/>
    <n v="-12.2"/>
    <x v="140"/>
    <n v="0"/>
    <n v="50626.3"/>
    <x v="140"/>
    <n v="0"/>
    <n v="1.6019000000000001"/>
    <n v="2.4018999999999999"/>
    <n v="8.0018999999999991"/>
    <n v="0"/>
    <n v="0"/>
    <n v="0"/>
    <n v="0"/>
    <n v="0"/>
    <n v="0"/>
    <n v="0"/>
    <n v="271789"/>
    <s v="Electronics, Electrical Equip."/>
    <x v="52"/>
    <s v="www.panasonic.net"/>
    <x v="130"/>
    <x v="7"/>
    <n v="1.5254047797291099"/>
    <x v="95"/>
    <x v="129"/>
  </r>
  <r>
    <x v="7"/>
    <n v="99"/>
    <x v="38"/>
    <n v="79829"/>
    <n v="6.8"/>
    <x v="141"/>
    <n v="0"/>
    <n v="162784.29999999999"/>
    <x v="141"/>
    <n v="0"/>
    <n v="1.5019"/>
    <n v="0.80189999999999995"/>
    <n v="3.8018999999999998"/>
    <n v="0"/>
    <n v="0"/>
    <n v="0"/>
    <n v="0"/>
    <n v="0"/>
    <n v="0"/>
    <n v="0"/>
    <n v="230000"/>
    <s v="Telecommunications"/>
    <x v="53"/>
    <s v="www.telekom.com"/>
    <x v="131"/>
    <x v="7"/>
    <n v="0.49039741547557097"/>
    <x v="123"/>
    <x v="130"/>
  </r>
  <r>
    <x v="8"/>
    <n v="500"/>
    <x v="39"/>
    <n v="23175.200000000001"/>
    <n v="-3.9"/>
    <x v="142"/>
    <n v="0"/>
    <n v="25113.8"/>
    <x v="142"/>
    <n v="0"/>
    <n v="1.7"/>
    <n v="1.5568"/>
    <n v="0"/>
    <n v="0"/>
    <n v="0"/>
    <n v="0"/>
    <n v="0"/>
    <n v="0"/>
    <n v="0"/>
    <n v="0"/>
    <n v="107431"/>
    <s v="Computers, Office Equipment"/>
    <x v="54"/>
    <s v="www.ricoh.com"/>
    <x v="0"/>
    <x v="8"/>
    <n v="0.92280738080258695"/>
    <x v="0"/>
    <x v="0"/>
  </r>
  <r>
    <x v="8"/>
    <n v="447"/>
    <x v="40"/>
    <n v="26129.9"/>
    <n v="19.2"/>
    <x v="143"/>
    <n v="0"/>
    <n v="22846"/>
    <x v="143"/>
    <n v="0"/>
    <n v="0.8"/>
    <n v="0.90629999999999999"/>
    <n v="0"/>
    <n v="0"/>
    <n v="0"/>
    <n v="0"/>
    <n v="0"/>
    <n v="0"/>
    <n v="0"/>
    <n v="0"/>
    <n v="55621"/>
    <s v="Electronics, Electrical Equip."/>
    <x v="55"/>
    <s v="www.lgdisplay.com"/>
    <x v="0"/>
    <x v="8"/>
    <n v="1.14374069859056"/>
    <x v="0"/>
    <x v="0"/>
  </r>
  <r>
    <x v="8"/>
    <n v="383"/>
    <x v="35"/>
    <n v="29847.7"/>
    <n v="-4"/>
    <x v="144"/>
    <n v="0"/>
    <n v="22210.2"/>
    <x v="144"/>
    <n v="0"/>
    <n v="-22"/>
    <n v="-29.568300000000001"/>
    <n v="0"/>
    <n v="0"/>
    <n v="0"/>
    <n v="0"/>
    <n v="0"/>
    <n v="0"/>
    <n v="0"/>
    <n v="0"/>
    <n v="50647"/>
    <s v="Electronics, Electrical Equip."/>
    <x v="49"/>
    <s v="www.sharp.co.jp"/>
    <x v="109"/>
    <x v="8"/>
    <n v="1.34387353558275"/>
    <x v="0"/>
    <x v="0"/>
  </r>
  <r>
    <x v="8"/>
    <n v="347"/>
    <x v="41"/>
    <n v="32579.3"/>
    <n v="-7.3"/>
    <x v="145"/>
    <n v="0"/>
    <n v="38331.9"/>
    <x v="145"/>
    <n v="0"/>
    <n v="0.9"/>
    <n v="0.75770000000000004"/>
    <n v="0"/>
    <n v="0"/>
    <n v="0"/>
    <n v="0"/>
    <n v="0"/>
    <n v="0"/>
    <n v="0"/>
    <n v="0"/>
    <n v="118087"/>
    <s v="Electronics, Electrical Equip."/>
    <x v="56"/>
    <s v="www.philips.com"/>
    <x v="0"/>
    <x v="8"/>
    <n v="0.84992656247146603"/>
    <x v="0"/>
    <x v="0"/>
  </r>
  <r>
    <x v="8"/>
    <n v="281"/>
    <x v="32"/>
    <n v="38298.1"/>
    <n v="-9"/>
    <x v="146"/>
    <n v="0"/>
    <n v="102232.9"/>
    <x v="146"/>
    <n v="0"/>
    <n v="-5.5"/>
    <n v="-2.0451999999999999"/>
    <n v="0"/>
    <n v="0"/>
    <n v="0"/>
    <n v="0"/>
    <n v="0"/>
    <n v="0"/>
    <n v="0"/>
    <n v="0"/>
    <n v="83162"/>
    <s v="Telecommunications"/>
    <x v="50"/>
    <s v="www.telecomitalia.com"/>
    <x v="109"/>
    <x v="8"/>
    <n v="0.37461619498224202"/>
    <x v="0"/>
    <x v="0"/>
  </r>
  <r>
    <x v="8"/>
    <n v="126"/>
    <x v="28"/>
    <n v="69848.2"/>
    <n v="-9.6"/>
    <x v="147"/>
    <n v="0"/>
    <n v="64965.2"/>
    <x v="147"/>
    <n v="0"/>
    <n v="1.3"/>
    <n v="1.4372"/>
    <n v="0"/>
    <n v="0"/>
    <n v="0"/>
    <n v="0"/>
    <n v="0"/>
    <n v="0"/>
    <n v="0"/>
    <n v="0"/>
    <n v="206000"/>
    <s v="Electronics, Electrical Equip."/>
    <x v="57"/>
    <s v="www.toshiba.com"/>
    <x v="0"/>
    <x v="8"/>
    <n v="1.0751633182072899"/>
    <x v="0"/>
    <x v="0"/>
  </r>
  <r>
    <x v="8"/>
    <n v="94"/>
    <x v="34"/>
    <n v="81897.3"/>
    <n v="-0.4"/>
    <x v="148"/>
    <n v="0"/>
    <n v="151130.79999999999"/>
    <x v="148"/>
    <n v="0"/>
    <n v="0.6"/>
    <n v="0.34289999999999998"/>
    <n v="0"/>
    <n v="0"/>
    <n v="0"/>
    <n v="0"/>
    <n v="0"/>
    <n v="0"/>
    <n v="0"/>
    <n v="0"/>
    <n v="146300"/>
    <s v="Electronics, Electrical Equip."/>
    <x v="58"/>
    <s v="www.sony.net"/>
    <x v="0"/>
    <x v="8"/>
    <n v="0.54189682050250498"/>
    <x v="0"/>
    <x v="0"/>
  </r>
  <r>
    <x v="8"/>
    <n v="83"/>
    <x v="37"/>
    <n v="87944.8"/>
    <n v="-11.5"/>
    <x v="149"/>
    <n v="0"/>
    <n v="57423.5"/>
    <x v="149"/>
    <n v="0"/>
    <n v="-10.3"/>
    <n v="-15.817299999999999"/>
    <n v="0"/>
    <n v="0"/>
    <n v="0"/>
    <n v="0"/>
    <n v="0"/>
    <n v="0"/>
    <n v="0"/>
    <n v="0"/>
    <n v="293742"/>
    <s v="Electronics, Electrical Equip."/>
    <x v="52"/>
    <s v="www.panasonic.net"/>
    <x v="109"/>
    <x v="8"/>
    <n v="1.5315123599223299"/>
    <x v="0"/>
    <x v="0"/>
  </r>
  <r>
    <x v="9"/>
    <n v="493"/>
    <x v="32"/>
    <n v="21941.1"/>
    <n v="-17.399999999999999"/>
    <x v="129"/>
    <n v="0"/>
    <n v="74294.5"/>
    <x v="129"/>
    <n v="0"/>
    <n v="9.1"/>
    <n v="2.7"/>
    <n v="8.9"/>
    <n v="0"/>
    <n v="0"/>
    <n v="0"/>
    <n v="0"/>
    <n v="0"/>
    <n v="0"/>
    <n v="0"/>
    <n v="61227"/>
    <s v="Telecommunications"/>
    <x v="50"/>
    <s v="www.telecomitalia.com"/>
    <x v="120"/>
    <x v="9"/>
    <n v="0.29532603355564702"/>
    <x v="113"/>
    <x v="119"/>
  </r>
  <r>
    <x v="9"/>
    <n v="473"/>
    <x v="33"/>
    <n v="22952.6"/>
    <n v="42.2"/>
    <x v="130"/>
    <n v="0"/>
    <n v="84805.2"/>
    <x v="130"/>
    <n v="0"/>
    <n v="-7.5"/>
    <n v="-2"/>
    <n v="0"/>
    <n v="0"/>
    <n v="0"/>
    <n v="0"/>
    <n v="0"/>
    <n v="0"/>
    <n v="0"/>
    <n v="0"/>
    <n v="49732"/>
    <s v="Telecommunications"/>
    <x v="59"/>
    <s v="www.altice.net"/>
    <x v="109"/>
    <x v="9"/>
    <n v="0.27065085631541502"/>
    <x v="0"/>
    <x v="0"/>
  </r>
  <r>
    <x v="9"/>
    <n v="261"/>
    <x v="27"/>
    <n v="39155.300000000003"/>
    <n v="35.700000000000003"/>
    <x v="131"/>
    <n v="0"/>
    <n v="23077"/>
    <x v="131"/>
    <n v="0"/>
    <n v="-1.5"/>
    <n v="-2.5"/>
    <n v="-11.7"/>
    <n v="0"/>
    <n v="0"/>
    <n v="0"/>
    <n v="0"/>
    <n v="0"/>
    <n v="0"/>
    <n v="0"/>
    <n v="120622"/>
    <s v="Internet Services and Retailing"/>
    <x v="60"/>
    <s v="www.jd.com"/>
    <x v="121"/>
    <x v="9"/>
    <n v="1.6967240109199599"/>
    <x v="114"/>
    <x v="120"/>
  </r>
  <r>
    <x v="9"/>
    <n v="226"/>
    <x v="31"/>
    <n v="43034.7"/>
    <n v="-4.2"/>
    <x v="132"/>
    <n v="0"/>
    <n v="27186"/>
    <x v="132"/>
    <n v="0"/>
    <n v="1.2"/>
    <n v="2"/>
    <n v="16.600000000000001"/>
    <n v="0"/>
    <n v="0"/>
    <n v="0"/>
    <n v="0"/>
    <n v="0"/>
    <n v="0"/>
    <n v="0"/>
    <n v="52000"/>
    <s v="Computers, Office Equipment"/>
    <x v="61"/>
    <s v="www.lenovo.com"/>
    <x v="122"/>
    <x v="9"/>
    <n v="1.5829728536746901"/>
    <x v="115"/>
    <x v="121"/>
  </r>
  <r>
    <x v="9"/>
    <n v="149"/>
    <x v="29"/>
    <n v="58611.4"/>
    <n v="-5"/>
    <x v="133"/>
    <n v="0"/>
    <n v="165419.70000000001"/>
    <x v="133"/>
    <n v="0"/>
    <n v="-11.8"/>
    <n v="-4.2"/>
    <n v="-8.9"/>
    <n v="0"/>
    <n v="0"/>
    <n v="0"/>
    <n v="0"/>
    <n v="0"/>
    <n v="0"/>
    <n v="0"/>
    <n v="111556"/>
    <s v="Telecommunications"/>
    <x v="62"/>
    <s v="www.vodafone.com"/>
    <x v="123"/>
    <x v="9"/>
    <n v="0.35431934648654301"/>
    <x v="116"/>
    <x v="122"/>
  </r>
  <r>
    <x v="0"/>
    <n v="407"/>
    <x v="42"/>
    <n v="36966.699999999997"/>
    <n v="-7.2"/>
    <x v="150"/>
    <n v="-12.8"/>
    <n v="42056"/>
    <x v="150"/>
    <n v="0"/>
    <n v="4.3"/>
    <n v="3.8"/>
    <n v="6.5"/>
    <n v="0"/>
    <n v="0"/>
    <n v="0"/>
    <n v="0"/>
    <n v="0"/>
    <n v="0"/>
    <n v="0"/>
    <n v="149655"/>
    <s v="Electronics, Electrical Equip."/>
    <x v="63"/>
    <s v="www.mitsubishielectric.com"/>
    <x v="132"/>
    <x v="0"/>
    <n v="0.87898754042229399"/>
    <x v="124"/>
    <x v="131"/>
  </r>
  <r>
    <x v="0"/>
    <n v="357"/>
    <x v="43"/>
    <n v="41902.300000000003"/>
    <n v="-13.6"/>
    <x v="151"/>
    <n v="-16.399999999999999"/>
    <n v="89781.9"/>
    <x v="151"/>
    <n v="0"/>
    <n v="11.9"/>
    <n v="5.6"/>
    <n v="13"/>
    <n v="0"/>
    <n v="0"/>
    <n v="0"/>
    <n v="0"/>
    <n v="0"/>
    <n v="0"/>
    <n v="0"/>
    <n v="49659"/>
    <s v="Telecommunications"/>
    <x v="64"/>
    <s v="www.kddi.com"/>
    <x v="133"/>
    <x v="0"/>
    <n v="0.46671211012464697"/>
    <x v="21"/>
    <x v="132"/>
  </r>
  <r>
    <x v="0"/>
    <n v="153"/>
    <x v="44"/>
    <n v="80388.600000000006"/>
    <n v="-12"/>
    <x v="152"/>
    <n v="-7.7"/>
    <n v="94179.7"/>
    <x v="152"/>
    <n v="0"/>
    <n v="6"/>
    <n v="5.0999999999999996"/>
    <n v="12.9"/>
    <n v="0"/>
    <n v="0"/>
    <n v="0"/>
    <n v="0"/>
    <n v="0"/>
    <n v="0"/>
    <n v="0"/>
    <n v="322525"/>
    <s v="Electronics, Electrical Equip."/>
    <x v="65"/>
    <s v="www.hitachi.com"/>
    <x v="134"/>
    <x v="0"/>
    <n v="0.853566108195291"/>
    <x v="125"/>
    <x v="133"/>
  </r>
  <r>
    <x v="0"/>
    <n v="140"/>
    <x v="34"/>
    <n v="85254.9"/>
    <n v="-3.5"/>
    <x v="153"/>
    <n v="-11.8"/>
    <n v="241383.3"/>
    <x v="153"/>
    <n v="0"/>
    <n v="8.1"/>
    <n v="2.9"/>
    <n v="12.7"/>
    <n v="0"/>
    <n v="0"/>
    <n v="0"/>
    <n v="0"/>
    <n v="0"/>
    <n v="0"/>
    <n v="0"/>
    <n v="112994"/>
    <s v="Electronics, Electrical Equip."/>
    <x v="66"/>
    <s v="www.sony.net"/>
    <x v="135"/>
    <x v="0"/>
    <n v="0.35319303365228699"/>
    <x v="126"/>
    <x v="134"/>
  </r>
  <r>
    <x v="0"/>
    <n v="109"/>
    <x v="45"/>
    <n v="97048.6"/>
    <n v="-10.3"/>
    <x v="154"/>
    <n v="-14.8"/>
    <n v="190664.8"/>
    <x v="154"/>
    <n v="0"/>
    <n v="9.1999999999999993"/>
    <n v="4.7"/>
    <n v="13.9"/>
    <n v="0"/>
    <n v="0"/>
    <n v="0"/>
    <n v="0"/>
    <n v="0"/>
    <n v="0"/>
    <n v="0"/>
    <n v="338651"/>
    <s v="Telecommunications"/>
    <x v="67"/>
    <s v="https://group.ntt/en/"/>
    <x v="136"/>
    <x v="0"/>
    <n v="0.50900113707406902"/>
    <x v="127"/>
    <x v="135"/>
  </r>
  <r>
    <x v="1"/>
    <n v="234"/>
    <x v="26"/>
    <n v="55383.6"/>
    <n v="-1.5"/>
    <x v="155"/>
    <n v="-132.30000000000001"/>
    <n v="391604.2"/>
    <x v="155"/>
    <n v="0"/>
    <n v="-27.5"/>
    <n v="-3.9"/>
    <n v="-18.5"/>
    <n v="0"/>
    <n v="0"/>
    <n v="0"/>
    <n v="0"/>
    <n v="0"/>
    <n v="0"/>
    <n v="0"/>
    <n v="59721"/>
    <s v="Telecommunications"/>
    <x v="40"/>
    <s v="https://group.softbank/en/"/>
    <x v="137"/>
    <x v="1"/>
    <n v="0.14142749235069499"/>
    <x v="128"/>
    <x v="136"/>
  </r>
  <r>
    <x v="1"/>
    <n v="480"/>
    <x v="28"/>
    <n v="29705.4"/>
    <n v="3.1"/>
    <x v="156"/>
    <n v="61.2"/>
    <n v="30759.599999999999"/>
    <x v="156"/>
    <n v="0"/>
    <n v="5.8"/>
    <n v="5.6"/>
    <n v="17.399999999999999"/>
    <n v="0"/>
    <n v="0"/>
    <n v="0"/>
    <n v="0"/>
    <n v="0"/>
    <n v="0"/>
    <n v="0"/>
    <n v="116224"/>
    <s v="Electronics, Electrical Equip."/>
    <x v="42"/>
    <s v="www.toshiba.co.jp"/>
    <x v="138"/>
    <x v="1"/>
    <n v="0.96572777279288402"/>
    <x v="129"/>
    <x v="137"/>
  </r>
  <r>
    <x v="1"/>
    <n v="351"/>
    <x v="42"/>
    <n v="39851.699999999997"/>
    <n v="0.8"/>
    <x v="157"/>
    <n v="-0.6"/>
    <n v="42072.1"/>
    <x v="157"/>
    <n v="0"/>
    <n v="4.5"/>
    <n v="4.3"/>
    <n v="7.4"/>
    <n v="0"/>
    <n v="0"/>
    <n v="0"/>
    <n v="0"/>
    <n v="0"/>
    <n v="0"/>
    <n v="0"/>
    <n v="145696"/>
    <s v="Electronics, Electrical Equip."/>
    <x v="63"/>
    <s v="www.mitsubishielectric.com"/>
    <x v="139"/>
    <x v="1"/>
    <n v="0.94722393224963797"/>
    <x v="130"/>
    <x v="138"/>
  </r>
  <r>
    <x v="1"/>
    <n v="444"/>
    <x v="46"/>
    <n v="32005.200000000001"/>
    <n v="8.1"/>
    <x v="158"/>
    <n v="150.69999999999999"/>
    <n v="41265.4"/>
    <x v="158"/>
    <n v="0"/>
    <n v="6.1"/>
    <n v="4.7"/>
    <n v="7.8"/>
    <n v="0"/>
    <n v="0"/>
    <n v="0"/>
    <n v="0"/>
    <n v="0"/>
    <n v="0"/>
    <n v="0"/>
    <n v="184034"/>
    <s v="Computers, Office Equipment"/>
    <x v="68"/>
    <s v="www.global.canon"/>
    <x v="140"/>
    <x v="1"/>
    <n v="0.77559408123997298"/>
    <x v="131"/>
    <x v="139"/>
  </r>
  <r>
    <x v="1"/>
    <n v="113"/>
    <x v="44"/>
    <n v="91374.6"/>
    <n v="11"/>
    <x v="159"/>
    <n v="9.8000000000000007"/>
    <n v="114385.2"/>
    <x v="159"/>
    <n v="0"/>
    <n v="5.7"/>
    <n v="4.5"/>
    <n v="14.5"/>
    <n v="0"/>
    <n v="0"/>
    <n v="0"/>
    <n v="0"/>
    <n v="0"/>
    <n v="0"/>
    <n v="0"/>
    <n v="368247"/>
    <s v="Electronics, Electrical Equip."/>
    <x v="65"/>
    <s v="www.hitachi.com"/>
    <x v="141"/>
    <x v="1"/>
    <n v="0.79883236642502697"/>
    <x v="132"/>
    <x v="140"/>
  </r>
  <r>
    <x v="1"/>
    <n v="281"/>
    <x v="43"/>
    <n v="48486.1"/>
    <n v="-3.3"/>
    <x v="160"/>
    <n v="-2.6"/>
    <n v="91297.1"/>
    <x v="160"/>
    <n v="0"/>
    <n v="12.3"/>
    <n v="6.6"/>
    <n v="14.6"/>
    <n v="0"/>
    <n v="0"/>
    <n v="0"/>
    <n v="0"/>
    <n v="0"/>
    <n v="0"/>
    <n v="0"/>
    <n v="48829"/>
    <s v="Telecommunications"/>
    <x v="64"/>
    <s v="www.kddi.com"/>
    <x v="142"/>
    <x v="1"/>
    <n v="0.53108039576284505"/>
    <x v="133"/>
    <x v="141"/>
  </r>
  <r>
    <x v="1"/>
    <n v="116"/>
    <x v="34"/>
    <n v="88320.5"/>
    <n v="4"/>
    <x v="161"/>
    <n v="-19.100000000000001"/>
    <n v="251058.1"/>
    <x v="161"/>
    <n v="0"/>
    <n v="8.9"/>
    <n v="3.1"/>
    <n v="13.3"/>
    <n v="0"/>
    <n v="0"/>
    <n v="0"/>
    <n v="0"/>
    <n v="0"/>
    <n v="0"/>
    <n v="0"/>
    <n v="108900"/>
    <s v="Electronics, Electrical Equip."/>
    <x v="66"/>
    <s v="www.sony.net"/>
    <x v="143"/>
    <x v="1"/>
    <n v="0.35179307100627299"/>
    <x v="134"/>
    <x v="142"/>
  </r>
  <r>
    <x v="1"/>
    <n v="83"/>
    <x v="45"/>
    <n v="108215.6"/>
    <n v="-4"/>
    <x v="162"/>
    <n v="21.7"/>
    <n v="196542.6"/>
    <x v="162"/>
    <n v="0"/>
    <n v="9.6999999999999993"/>
    <n v="5.3"/>
    <n v="15.4"/>
    <n v="0"/>
    <n v="0"/>
    <n v="0"/>
    <n v="0"/>
    <n v="0"/>
    <n v="0"/>
    <n v="0"/>
    <n v="333840"/>
    <s v="Telecommunications"/>
    <x v="67"/>
    <s v="https://group.ntt/en/"/>
    <x v="144"/>
    <x v="1"/>
    <n v="0.55059615574435306"/>
    <x v="135"/>
    <x v="143"/>
  </r>
  <r>
    <x v="2"/>
    <n v="414"/>
    <x v="46"/>
    <n v="29598.9"/>
    <n v="-10.199999999999999"/>
    <x v="163"/>
    <n v="-32"/>
    <n v="44813.2"/>
    <x v="163"/>
    <n v="0"/>
    <n v="2.6"/>
    <n v="1.7"/>
    <n v="3.1"/>
    <n v="0"/>
    <n v="0"/>
    <n v="0"/>
    <n v="0"/>
    <n v="0"/>
    <n v="0"/>
    <n v="0"/>
    <n v="181897"/>
    <s v="Computers, Office Equipment"/>
    <x v="68"/>
    <s v="www.global.canon"/>
    <x v="145"/>
    <x v="2"/>
    <n v="0.66049512197298998"/>
    <x v="136"/>
    <x v="144"/>
  </r>
  <r>
    <x v="2"/>
    <n v="300"/>
    <x v="42"/>
    <n v="39538.800000000003"/>
    <n v="-3.7"/>
    <x v="164"/>
    <n v="-10.7"/>
    <n v="43380.800000000003"/>
    <x v="164"/>
    <n v="0"/>
    <n v="4.5999999999999996"/>
    <n v="4.2"/>
    <n v="7.3"/>
    <n v="0"/>
    <n v="0"/>
    <n v="0"/>
    <n v="0"/>
    <n v="0"/>
    <n v="0"/>
    <n v="0"/>
    <n v="145653"/>
    <s v="Electronics, Electrical Equip."/>
    <x v="63"/>
    <s v="www.mitsubishielectric.com"/>
    <x v="146"/>
    <x v="2"/>
    <n v="0.91143547375797596"/>
    <x v="137"/>
    <x v="145"/>
  </r>
  <r>
    <x v="2"/>
    <n v="217"/>
    <x v="43"/>
    <n v="50115"/>
    <n v="4"/>
    <x v="165"/>
    <n v="4.4000000000000004"/>
    <n v="95256.1"/>
    <x v="165"/>
    <n v="0"/>
    <n v="12.3"/>
    <n v="6.5"/>
    <n v="14.3"/>
    <n v="0"/>
    <n v="0"/>
    <n v="0"/>
    <n v="0"/>
    <n v="0"/>
    <n v="0"/>
    <n v="0"/>
    <n v="47320"/>
    <s v="Telecommunications"/>
    <x v="64"/>
    <s v="www.kddi.com"/>
    <x v="147"/>
    <x v="2"/>
    <n v="0.52610803927517502"/>
    <x v="138"/>
    <x v="146"/>
  </r>
  <r>
    <x v="2"/>
    <n v="95"/>
    <x v="44"/>
    <n v="82344.600000000006"/>
    <n v="2.1"/>
    <x v="166"/>
    <n v="487.3"/>
    <n v="107168.7"/>
    <x v="166"/>
    <n v="0"/>
    <n v="5.7"/>
    <n v="4.4000000000000004"/>
    <n v="14.8"/>
    <n v="0"/>
    <n v="0"/>
    <n v="0"/>
    <n v="0"/>
    <n v="0"/>
    <n v="0"/>
    <n v="0"/>
    <n v="350864"/>
    <s v="Electronics, Electrical Equip."/>
    <x v="65"/>
    <s v="www.hitachi.com"/>
    <x v="148"/>
    <x v="2"/>
    <n v="0.76836427053794598"/>
    <x v="9"/>
    <x v="147"/>
  </r>
  <r>
    <x v="2"/>
    <n v="88"/>
    <x v="34"/>
    <n v="84893.1"/>
    <n v="11.7"/>
    <x v="167"/>
    <n v="106.4"/>
    <n v="238289.7"/>
    <x v="167"/>
    <n v="0"/>
    <n v="13"/>
    <n v="4.5999999999999996"/>
    <n v="21.9"/>
    <n v="0"/>
    <n v="0"/>
    <n v="0"/>
    <n v="0"/>
    <n v="0"/>
    <n v="0"/>
    <n v="0"/>
    <n v="109700"/>
    <s v="Electronics, Electrical Equip."/>
    <x v="66"/>
    <s v="www.sony.net"/>
    <x v="149"/>
    <x v="2"/>
    <n v="0.35626004816825901"/>
    <x v="139"/>
    <x v="148"/>
  </r>
  <r>
    <x v="2"/>
    <n v="55"/>
    <x v="45"/>
    <n v="112670.3"/>
    <n v="2.9"/>
    <x v="168"/>
    <n v="9.9"/>
    <n v="207644.6"/>
    <x v="168"/>
    <n v="0"/>
    <n v="7.7"/>
    <n v="4.2"/>
    <n v="12.6"/>
    <n v="0"/>
    <n v="0"/>
    <n v="0"/>
    <n v="0"/>
    <n v="0"/>
    <n v="0"/>
    <n v="0"/>
    <n v="324667"/>
    <s v="Telecommunications"/>
    <x v="67"/>
    <s v="https://group.ntt/en/"/>
    <x v="150"/>
    <x v="2"/>
    <n v="0.54261126944789295"/>
    <x v="140"/>
    <x v="149"/>
  </r>
  <r>
    <x v="3"/>
    <n v="371"/>
    <x v="28"/>
    <n v="33312.800000000003"/>
    <n v="-6.5"/>
    <x v="169"/>
    <n v="25.9"/>
    <n v="38830.300000000003"/>
    <x v="169"/>
    <n v="0"/>
    <n v="27.4"/>
    <n v="23.5"/>
    <n v="69.400000000000006"/>
    <n v="0"/>
    <n v="0"/>
    <n v="0"/>
    <n v="0"/>
    <n v="0"/>
    <n v="0"/>
    <n v="0"/>
    <n v="128697"/>
    <s v="Electronics, Electrical Equip."/>
    <x v="42"/>
    <s v="www.toshiba.co.jp"/>
    <x v="151"/>
    <x v="3"/>
    <n v="0.85790735585354705"/>
    <x v="141"/>
    <x v="150"/>
  </r>
  <r>
    <x v="3"/>
    <n v="345"/>
    <x v="46"/>
    <n v="35796.9"/>
    <n v="-1.6"/>
    <x v="170"/>
    <n v="6.1"/>
    <n v="44662.400000000001"/>
    <x v="170"/>
    <n v="0"/>
    <n v="6.4"/>
    <n v="5.0999999999999996"/>
    <n v="8.9"/>
    <n v="0"/>
    <n v="0"/>
    <n v="0"/>
    <n v="0"/>
    <n v="0"/>
    <n v="0"/>
    <n v="0"/>
    <n v="195056"/>
    <s v="Computers, Office Equipment"/>
    <x v="68"/>
    <s v="www.canon.com"/>
    <x v="152"/>
    <x v="3"/>
    <n v="0.80149969549330102"/>
    <x v="113"/>
    <x v="151"/>
  </r>
  <r>
    <x v="3"/>
    <n v="300"/>
    <x v="42"/>
    <n v="40766.1"/>
    <n v="1.9"/>
    <x v="171"/>
    <n v="-16.7"/>
    <n v="39362.199999999997"/>
    <x v="171"/>
    <n v="0"/>
    <n v="5"/>
    <n v="5.2"/>
    <n v="9.4"/>
    <n v="0"/>
    <n v="0"/>
    <n v="0"/>
    <n v="0"/>
    <n v="0"/>
    <n v="0"/>
    <n v="0"/>
    <n v="145817"/>
    <s v="Electronics, Electrical Equip."/>
    <x v="63"/>
    <s v="www.mitsubishielectric.com"/>
    <x v="153"/>
    <x v="3"/>
    <n v="1.0356661975194501"/>
    <x v="77"/>
    <x v="152"/>
  </r>
  <r>
    <x v="3"/>
    <n v="245"/>
    <x v="43"/>
    <n v="45820.800000000003"/>
    <n v="0.7"/>
    <x v="172"/>
    <n v="7.8"/>
    <n v="66236.7"/>
    <x v="172"/>
    <n v="0"/>
    <n v="12.2"/>
    <n v="8.4"/>
    <n v="14.7"/>
    <n v="0"/>
    <n v="0"/>
    <n v="0"/>
    <n v="0"/>
    <n v="0"/>
    <n v="0"/>
    <n v="0"/>
    <n v="41996"/>
    <s v="Telecommunications"/>
    <x v="64"/>
    <s v="www.kddi.com"/>
    <x v="154"/>
    <x v="3"/>
    <n v="0.69177359379316905"/>
    <x v="61"/>
    <x v="153"/>
  </r>
  <r>
    <x v="3"/>
    <n v="116"/>
    <x v="34"/>
    <n v="78157.7"/>
    <n v="1.4"/>
    <x v="173"/>
    <n v="86.6"/>
    <n v="189586.9"/>
    <x v="173"/>
    <n v="0"/>
    <n v="10.6"/>
    <n v="4.4000000000000004"/>
    <n v="24.4"/>
    <n v="0"/>
    <n v="0"/>
    <n v="0"/>
    <n v="0"/>
    <n v="0"/>
    <n v="0"/>
    <n v="0"/>
    <n v="114400"/>
    <s v="Electronics, Electrical Equip."/>
    <x v="48"/>
    <s v="www.sony.net"/>
    <x v="155"/>
    <x v="3"/>
    <n v="0.41225263981846799"/>
    <x v="142"/>
    <x v="154"/>
  </r>
  <r>
    <x v="3"/>
    <n v="102"/>
    <x v="44"/>
    <n v="85507.8"/>
    <n v="1.1000000000000001"/>
    <x v="174"/>
    <n v="-38.700000000000003"/>
    <n v="86984.7"/>
    <x v="174"/>
    <n v="0"/>
    <n v="2.2999999999999998"/>
    <n v="2.2999999999999998"/>
    <n v="6.8"/>
    <n v="0"/>
    <n v="0"/>
    <n v="0"/>
    <n v="0"/>
    <n v="0"/>
    <n v="0"/>
    <n v="0"/>
    <n v="295941"/>
    <s v="Electronics, Electrical Equip."/>
    <x v="65"/>
    <s v="www.hitachi.com"/>
    <x v="156"/>
    <x v="3"/>
    <n v="0.98302115199569595"/>
    <x v="143"/>
    <x v="155"/>
  </r>
  <r>
    <x v="3"/>
    <n v="98"/>
    <x v="26"/>
    <n v="86604.7"/>
    <n v="4.8"/>
    <x v="175"/>
    <n v="35.700000000000003"/>
    <n v="326163.20000000001"/>
    <x v="175"/>
    <n v="0"/>
    <n v="14.7"/>
    <n v="3.9"/>
    <n v="18.5"/>
    <n v="0"/>
    <n v="0"/>
    <n v="0"/>
    <n v="0"/>
    <n v="0"/>
    <n v="0"/>
    <n v="0"/>
    <n v="76866"/>
    <s v="Telecommunications"/>
    <x v="40"/>
    <s v="https://group.softbank/en/"/>
    <x v="157"/>
    <x v="3"/>
    <n v="0.26552566322626198"/>
    <x v="32"/>
    <x v="156"/>
  </r>
  <r>
    <x v="3"/>
    <n v="64"/>
    <x v="47"/>
    <n v="107146.9"/>
    <n v="0.6"/>
    <x v="176"/>
    <n v="-6.1"/>
    <n v="201456.1"/>
    <x v="176"/>
    <n v="0"/>
    <n v="7.2"/>
    <n v="3.8"/>
    <n v="9.1999999999999993"/>
    <n v="0"/>
    <n v="0"/>
    <n v="0"/>
    <n v="0"/>
    <n v="0"/>
    <n v="0"/>
    <n v="0"/>
    <n v="303351"/>
    <s v="Telecommunications"/>
    <x v="67"/>
    <s v="www.ntt.co.jp"/>
    <x v="158"/>
    <x v="3"/>
    <n v="0.53186227669452502"/>
    <x v="144"/>
    <x v="157"/>
  </r>
  <r>
    <x v="4"/>
    <n v="371"/>
    <x v="28"/>
    <n v="33312.800000000003"/>
    <n v="-6.5"/>
    <x v="169"/>
    <n v="25.9"/>
    <n v="38830.300000000003"/>
    <x v="169"/>
    <n v="0"/>
    <n v="27.4"/>
    <n v="23.5"/>
    <n v="69.400000000000006"/>
    <n v="0"/>
    <n v="0"/>
    <n v="0"/>
    <n v="0"/>
    <n v="0"/>
    <n v="0"/>
    <n v="0"/>
    <n v="128697"/>
    <s v="Electronics, Electrical Equip."/>
    <x v="42"/>
    <s v="www.toshiba.co.jp"/>
    <x v="151"/>
    <x v="4"/>
    <n v="0.85790735585354705"/>
    <x v="141"/>
    <x v="150"/>
  </r>
  <r>
    <x v="4"/>
    <n v="345"/>
    <x v="46"/>
    <n v="35796.9"/>
    <n v="-1.6"/>
    <x v="170"/>
    <n v="6.1"/>
    <n v="44662.400000000001"/>
    <x v="170"/>
    <n v="0"/>
    <n v="6.4"/>
    <n v="5.0999999999999996"/>
    <n v="8.9"/>
    <n v="0"/>
    <n v="0"/>
    <n v="0"/>
    <n v="0"/>
    <n v="0"/>
    <n v="0"/>
    <n v="0"/>
    <n v="195056"/>
    <s v="Computers, Office Equipment"/>
    <x v="68"/>
    <s v="www.canon.com"/>
    <x v="152"/>
    <x v="4"/>
    <n v="0.80149969549330102"/>
    <x v="113"/>
    <x v="151"/>
  </r>
  <r>
    <x v="4"/>
    <n v="300"/>
    <x v="42"/>
    <n v="40766.1"/>
    <n v="1.9"/>
    <x v="171"/>
    <n v="-16.7"/>
    <n v="39362.199999999997"/>
    <x v="171"/>
    <n v="0"/>
    <n v="5"/>
    <n v="5.2"/>
    <n v="9.4"/>
    <n v="0"/>
    <n v="0"/>
    <n v="0"/>
    <n v="0"/>
    <n v="0"/>
    <n v="0"/>
    <n v="0"/>
    <n v="145817"/>
    <s v="Electronics, Electrical Equip."/>
    <x v="63"/>
    <s v="www.mitsubishielectric.com"/>
    <x v="153"/>
    <x v="4"/>
    <n v="1.0356661975194501"/>
    <x v="77"/>
    <x v="152"/>
  </r>
  <r>
    <x v="4"/>
    <n v="245"/>
    <x v="43"/>
    <n v="45820.800000000003"/>
    <n v="0.7"/>
    <x v="172"/>
    <n v="7.8"/>
    <n v="66236.7"/>
    <x v="172"/>
    <n v="0"/>
    <n v="12.2"/>
    <n v="8.4"/>
    <n v="14.7"/>
    <n v="0"/>
    <n v="0"/>
    <n v="0"/>
    <n v="0"/>
    <n v="0"/>
    <n v="0"/>
    <n v="0"/>
    <n v="41996"/>
    <s v="Telecommunications"/>
    <x v="64"/>
    <s v="www.kddi.com"/>
    <x v="154"/>
    <x v="4"/>
    <n v="0.69177359379316905"/>
    <x v="61"/>
    <x v="153"/>
  </r>
  <r>
    <x v="4"/>
    <n v="116"/>
    <x v="34"/>
    <n v="78157.7"/>
    <n v="1.4"/>
    <x v="173"/>
    <n v="86.6"/>
    <n v="189586.9"/>
    <x v="173"/>
    <n v="0"/>
    <n v="10.6"/>
    <n v="4.4000000000000004"/>
    <n v="24.4"/>
    <n v="0"/>
    <n v="0"/>
    <n v="0"/>
    <n v="0"/>
    <n v="0"/>
    <n v="0"/>
    <n v="0"/>
    <n v="114400"/>
    <s v="Electronics, Electrical Equip."/>
    <x v="48"/>
    <s v="www.sony.net"/>
    <x v="155"/>
    <x v="4"/>
    <n v="0.41225263981846799"/>
    <x v="142"/>
    <x v="154"/>
  </r>
  <r>
    <x v="4"/>
    <n v="102"/>
    <x v="44"/>
    <n v="85507.8"/>
    <n v="1.1000000000000001"/>
    <x v="174"/>
    <n v="-38.700000000000003"/>
    <n v="86984.7"/>
    <x v="174"/>
    <n v="0"/>
    <n v="2.2999999999999998"/>
    <n v="2.2999999999999998"/>
    <n v="6.8"/>
    <n v="0"/>
    <n v="0"/>
    <n v="0"/>
    <n v="0"/>
    <n v="0"/>
    <n v="0"/>
    <n v="0"/>
    <n v="295941"/>
    <s v="Electronics, Electrical Equip."/>
    <x v="65"/>
    <s v="www.hitachi.com"/>
    <x v="156"/>
    <x v="4"/>
    <n v="0.98302115199569595"/>
    <x v="143"/>
    <x v="155"/>
  </r>
  <r>
    <x v="4"/>
    <n v="98"/>
    <x v="26"/>
    <n v="86604.7"/>
    <n v="4.8"/>
    <x v="175"/>
    <n v="35.700000000000003"/>
    <n v="326163.20000000001"/>
    <x v="175"/>
    <n v="0"/>
    <n v="14.7"/>
    <n v="3.9"/>
    <n v="18.5"/>
    <n v="0"/>
    <n v="0"/>
    <n v="0"/>
    <n v="0"/>
    <n v="0"/>
    <n v="0"/>
    <n v="0"/>
    <n v="76866"/>
    <s v="Telecommunications"/>
    <x v="40"/>
    <s v="https://group.softbank/en/"/>
    <x v="157"/>
    <x v="4"/>
    <n v="0.26552566322626198"/>
    <x v="32"/>
    <x v="156"/>
  </r>
  <r>
    <x v="4"/>
    <n v="64"/>
    <x v="47"/>
    <n v="107146.9"/>
    <n v="0.6"/>
    <x v="176"/>
    <n v="-6.1"/>
    <n v="201456.1"/>
    <x v="176"/>
    <n v="0"/>
    <n v="7.2"/>
    <n v="3.8"/>
    <n v="9.1999999999999993"/>
    <n v="0"/>
    <n v="0"/>
    <n v="0"/>
    <n v="0"/>
    <n v="0"/>
    <n v="0"/>
    <n v="0"/>
    <n v="303351"/>
    <s v="Telecommunications"/>
    <x v="67"/>
    <s v="www.ntt.co.jp"/>
    <x v="158"/>
    <x v="4"/>
    <n v="0.53186227669452502"/>
    <x v="144"/>
    <x v="157"/>
  </r>
  <r>
    <x v="5"/>
    <n v="371"/>
    <x v="28"/>
    <n v="33312.800000000003"/>
    <n v="-6.5"/>
    <x v="169"/>
    <n v="25.9"/>
    <n v="38830.300000000003"/>
    <x v="169"/>
    <n v="0"/>
    <n v="27.4"/>
    <n v="23.5"/>
    <n v="69.400000000000006"/>
    <n v="0"/>
    <n v="0"/>
    <n v="0"/>
    <n v="0"/>
    <n v="0"/>
    <n v="0"/>
    <n v="0"/>
    <n v="128697"/>
    <s v="Electronics, Electrical Equip."/>
    <x v="42"/>
    <s v="www.toshiba.co.jp"/>
    <x v="151"/>
    <x v="5"/>
    <n v="0.85790735585354705"/>
    <x v="141"/>
    <x v="150"/>
  </r>
  <r>
    <x v="5"/>
    <n v="345"/>
    <x v="46"/>
    <n v="35796.9"/>
    <n v="-1.6"/>
    <x v="170"/>
    <n v="6.1"/>
    <n v="44662.400000000001"/>
    <x v="170"/>
    <n v="0"/>
    <n v="6.4"/>
    <n v="5.0999999999999996"/>
    <n v="8.9"/>
    <n v="0"/>
    <n v="0"/>
    <n v="0"/>
    <n v="0"/>
    <n v="0"/>
    <n v="0"/>
    <n v="0"/>
    <n v="195056"/>
    <s v="Computers, Office Equipment"/>
    <x v="68"/>
    <s v="www.canon.com"/>
    <x v="152"/>
    <x v="5"/>
    <n v="0.80149969549330102"/>
    <x v="113"/>
    <x v="151"/>
  </r>
  <r>
    <x v="5"/>
    <n v="300"/>
    <x v="42"/>
    <n v="40766.1"/>
    <n v="1.9"/>
    <x v="171"/>
    <n v="-16.7"/>
    <n v="39362.199999999997"/>
    <x v="171"/>
    <n v="0"/>
    <n v="5"/>
    <n v="5.2"/>
    <n v="9.4"/>
    <n v="0"/>
    <n v="0"/>
    <n v="0"/>
    <n v="0"/>
    <n v="0"/>
    <n v="0"/>
    <n v="0"/>
    <n v="145817"/>
    <s v="Electronics, Electrical Equip."/>
    <x v="63"/>
    <s v="www.mitsubishielectric.com"/>
    <x v="153"/>
    <x v="5"/>
    <n v="1.0356661975194501"/>
    <x v="77"/>
    <x v="152"/>
  </r>
  <r>
    <x v="5"/>
    <n v="245"/>
    <x v="43"/>
    <n v="45820.800000000003"/>
    <n v="0.7"/>
    <x v="172"/>
    <n v="7.8"/>
    <n v="66236.7"/>
    <x v="172"/>
    <n v="0"/>
    <n v="12.2"/>
    <n v="8.4"/>
    <n v="14.7"/>
    <n v="0"/>
    <n v="0"/>
    <n v="0"/>
    <n v="0"/>
    <n v="0"/>
    <n v="0"/>
    <n v="0"/>
    <n v="41996"/>
    <s v="Telecommunications"/>
    <x v="64"/>
    <s v="www.kddi.com"/>
    <x v="154"/>
    <x v="5"/>
    <n v="0.69177359379316905"/>
    <x v="61"/>
    <x v="153"/>
  </r>
  <r>
    <x v="5"/>
    <n v="116"/>
    <x v="34"/>
    <n v="78157.7"/>
    <n v="1.4"/>
    <x v="173"/>
    <n v="86.6"/>
    <n v="189586.9"/>
    <x v="173"/>
    <n v="0"/>
    <n v="10.6"/>
    <n v="4.4000000000000004"/>
    <n v="24.4"/>
    <n v="0"/>
    <n v="0"/>
    <n v="0"/>
    <n v="0"/>
    <n v="0"/>
    <n v="0"/>
    <n v="0"/>
    <n v="114400"/>
    <s v="Electronics, Electrical Equip."/>
    <x v="48"/>
    <s v="www.sony.net"/>
    <x v="155"/>
    <x v="5"/>
    <n v="0.41225263981846799"/>
    <x v="142"/>
    <x v="154"/>
  </r>
  <r>
    <x v="5"/>
    <n v="102"/>
    <x v="44"/>
    <n v="85507.8"/>
    <n v="1.1000000000000001"/>
    <x v="174"/>
    <n v="-38.700000000000003"/>
    <n v="86984.7"/>
    <x v="174"/>
    <n v="0"/>
    <n v="2.2999999999999998"/>
    <n v="2.2999999999999998"/>
    <n v="6.8"/>
    <n v="0"/>
    <n v="0"/>
    <n v="0"/>
    <n v="0"/>
    <n v="0"/>
    <n v="0"/>
    <n v="0"/>
    <n v="295941"/>
    <s v="Electronics, Electrical Equip."/>
    <x v="65"/>
    <s v="www.hitachi.com"/>
    <x v="156"/>
    <x v="5"/>
    <n v="0.98302115199569595"/>
    <x v="143"/>
    <x v="155"/>
  </r>
  <r>
    <x v="5"/>
    <n v="98"/>
    <x v="26"/>
    <n v="86604.7"/>
    <n v="4.8"/>
    <x v="175"/>
    <n v="35.700000000000003"/>
    <n v="326163.20000000001"/>
    <x v="175"/>
    <n v="0"/>
    <n v="14.7"/>
    <n v="3.9"/>
    <n v="18.5"/>
    <n v="0"/>
    <n v="0"/>
    <n v="0"/>
    <n v="0"/>
    <n v="0"/>
    <n v="0"/>
    <n v="0"/>
    <n v="76866"/>
    <s v="Telecommunications"/>
    <x v="40"/>
    <s v="https://group.softbank/en/"/>
    <x v="157"/>
    <x v="5"/>
    <n v="0.26552566322626198"/>
    <x v="32"/>
    <x v="156"/>
  </r>
  <r>
    <x v="5"/>
    <n v="64"/>
    <x v="47"/>
    <n v="107146.9"/>
    <n v="0.6"/>
    <x v="176"/>
    <n v="-6.1"/>
    <n v="201456.1"/>
    <x v="176"/>
    <n v="0"/>
    <n v="7.2"/>
    <n v="3.8"/>
    <n v="9.1999999999999993"/>
    <n v="0"/>
    <n v="0"/>
    <n v="0"/>
    <n v="0"/>
    <n v="0"/>
    <n v="0"/>
    <n v="0"/>
    <n v="303351"/>
    <s v="Telecommunications"/>
    <x v="67"/>
    <s v="www.ntt.co.jp"/>
    <x v="158"/>
    <x v="5"/>
    <n v="0.53186227669452502"/>
    <x v="144"/>
    <x v="157"/>
  </r>
  <r>
    <x v="6"/>
    <n v="347"/>
    <x v="46"/>
    <n v="31271"/>
    <n v="-0.4"/>
    <x v="177"/>
    <n v="-23.9"/>
    <n v="44062.2"/>
    <x v="177"/>
    <n v="0"/>
    <n v="4.4000000000000004"/>
    <n v="3.1"/>
    <n v="5.8"/>
    <n v="0"/>
    <n v="0"/>
    <n v="0"/>
    <n v="0"/>
    <n v="0"/>
    <n v="0"/>
    <n v="0"/>
    <n v="197673"/>
    <s v="Computers, Office Equipment"/>
    <x v="68"/>
    <s v="www.canon.com"/>
    <x v="159"/>
    <x v="6"/>
    <n v="0.70970128590946402"/>
    <x v="145"/>
    <x v="158"/>
  </r>
  <r>
    <x v="6"/>
    <n v="262"/>
    <x v="42"/>
    <n v="39118.6"/>
    <n v="6.9"/>
    <x v="178"/>
    <n v="2.1"/>
    <n v="37519.300000000003"/>
    <x v="178"/>
    <n v="0"/>
    <n v="5"/>
    <n v="5.2"/>
    <n v="10.6"/>
    <n v="0"/>
    <n v="0"/>
    <n v="0"/>
    <n v="0"/>
    <n v="0"/>
    <n v="0"/>
    <n v="0"/>
    <n v="138700"/>
    <s v="Electronics, Electrical Equip."/>
    <x v="63"/>
    <s v="www.mitsubishielectric.com"/>
    <x v="160"/>
    <x v="6"/>
    <n v="1.0426260617868699"/>
    <x v="146"/>
    <x v="159"/>
  </r>
  <r>
    <x v="6"/>
    <n v="219"/>
    <x v="43"/>
    <n v="43821.599999999999"/>
    <n v="17.8"/>
    <x v="179"/>
    <n v="22.5"/>
    <n v="56223.199999999997"/>
    <x v="179"/>
    <n v="0"/>
    <n v="11.5"/>
    <n v="9"/>
    <n v="15.8"/>
    <n v="0"/>
    <n v="0"/>
    <n v="0"/>
    <n v="0"/>
    <n v="0"/>
    <n v="0"/>
    <n v="0"/>
    <n v="35032"/>
    <s v="Telecommunications"/>
    <x v="64"/>
    <s v="www.kddi.com"/>
    <x v="161"/>
    <x v="6"/>
    <n v="0.77942201795699995"/>
    <x v="147"/>
    <x v="160"/>
  </r>
  <r>
    <x v="6"/>
    <n v="105"/>
    <x v="34"/>
    <n v="70170.3"/>
    <n v="3.9"/>
    <x v="180"/>
    <n v="-45.1"/>
    <n v="158518.6"/>
    <x v="180"/>
    <n v="0"/>
    <n v="1"/>
    <n v="0.4"/>
    <n v="3"/>
    <n v="0"/>
    <n v="0"/>
    <n v="0"/>
    <n v="0"/>
    <n v="0"/>
    <n v="0"/>
    <n v="0"/>
    <n v="128400"/>
    <s v="Electronics, Electrical Equip."/>
    <x v="48"/>
    <s v="www.sony.net"/>
    <x v="162"/>
    <x v="6"/>
    <n v="0.44266287993964099"/>
    <x v="29"/>
    <x v="161"/>
  </r>
  <r>
    <x v="6"/>
    <n v="72"/>
    <x v="26"/>
    <n v="82892.3"/>
    <n v="8.4"/>
    <x v="181"/>
    <n v="233.3"/>
    <n v="221113.1"/>
    <x v="181"/>
    <n v="0"/>
    <n v="15.9"/>
    <n v="6"/>
    <n v="40.9"/>
    <n v="0"/>
    <n v="0"/>
    <n v="0"/>
    <n v="0"/>
    <n v="0"/>
    <n v="0"/>
    <n v="0"/>
    <n v="68402"/>
    <s v="Telecommunications"/>
    <x v="40"/>
    <s v="www.softbank.jp"/>
    <x v="163"/>
    <x v="6"/>
    <n v="0.374886426900984"/>
    <x v="148"/>
    <x v="162"/>
  </r>
  <r>
    <x v="6"/>
    <n v="71"/>
    <x v="44"/>
    <n v="84558.399999999994"/>
    <n v="1.2"/>
    <x v="182"/>
    <n v="48.8"/>
    <n v="86741.9"/>
    <x v="182"/>
    <n v="0"/>
    <n v="2.5"/>
    <n v="2.5"/>
    <n v="8"/>
    <n v="0"/>
    <n v="0"/>
    <n v="0"/>
    <n v="0"/>
    <n v="0"/>
    <n v="0"/>
    <n v="0"/>
    <n v="303887"/>
    <s v="Electronics, Electrical Equip."/>
    <x v="65"/>
    <s v="www.hitachi.com"/>
    <x v="164"/>
    <x v="6"/>
    <n v="0.97482762079225804"/>
    <x v="95"/>
    <x v="163"/>
  </r>
  <r>
    <x v="6"/>
    <n v="50"/>
    <x v="47"/>
    <n v="105127.5"/>
    <n v="9.4"/>
    <x v="183"/>
    <n v="20.2"/>
    <n v="190739.8"/>
    <x v="183"/>
    <n v="0"/>
    <n v="7"/>
    <n v="3.9"/>
    <n v="9.1"/>
    <n v="0"/>
    <n v="0"/>
    <n v="0"/>
    <n v="0"/>
    <n v="0"/>
    <n v="0"/>
    <n v="0"/>
    <n v="274844"/>
    <s v="Telecommunications"/>
    <x v="67"/>
    <s v="www.ntt.co.jp"/>
    <x v="165"/>
    <x v="6"/>
    <n v="0.55115660182090997"/>
    <x v="149"/>
    <x v="164"/>
  </r>
  <r>
    <x v="11"/>
    <n v="332"/>
    <x v="46"/>
    <n v="31400.9"/>
    <n v="-10.8"/>
    <x v="184"/>
    <n v="-24.4"/>
    <n v="36812.199999999997"/>
    <x v="184"/>
    <n v="0"/>
    <n v="5.8"/>
    <n v="4.9000000000000004"/>
    <n v="7.4"/>
    <n v="0"/>
    <n v="0"/>
    <n v="0"/>
    <n v="0"/>
    <n v="0"/>
    <n v="0"/>
    <n v="0"/>
    <n v="189571"/>
    <s v="Computers, Office Equipment"/>
    <x v="68"/>
    <s v="www.canon.com"/>
    <x v="166"/>
    <x v="11"/>
    <n v="0.85300253720234098"/>
    <x v="130"/>
    <x v="165"/>
  </r>
  <r>
    <x v="11"/>
    <n v="276"/>
    <x v="42"/>
    <n v="36604"/>
    <n v="-6.9"/>
    <x v="185"/>
    <n v="-10.8"/>
    <n v="36126.9"/>
    <x v="185"/>
    <n v="0"/>
    <n v="5.2"/>
    <n v="5.3"/>
    <n v="11.6"/>
    <n v="0"/>
    <n v="0"/>
    <n v="0"/>
    <n v="0"/>
    <n v="0"/>
    <n v="0"/>
    <n v="0"/>
    <n v="135160"/>
    <s v="Electronics, Electrical Equip."/>
    <x v="63"/>
    <s v="www.mitsubishielectric.com"/>
    <x v="167"/>
    <x v="11"/>
    <n v="1.01320622583172"/>
    <x v="150"/>
    <x v="166"/>
  </r>
  <r>
    <x v="11"/>
    <n v="271"/>
    <x v="43"/>
    <n v="37201.9"/>
    <n v="-4.2"/>
    <x v="186"/>
    <n v="14.4"/>
    <n v="51675.1"/>
    <x v="186"/>
    <n v="0"/>
    <n v="11.1"/>
    <n v="8"/>
    <n v="14"/>
    <n v="0"/>
    <n v="0"/>
    <n v="0"/>
    <n v="0"/>
    <n v="0"/>
    <n v="0"/>
    <n v="0"/>
    <n v="31834"/>
    <s v="Telecommunications"/>
    <x v="64"/>
    <s v="www.kddi.com"/>
    <x v="168"/>
    <x v="11"/>
    <n v="0.71991926479097301"/>
    <x v="42"/>
    <x v="167"/>
  </r>
  <r>
    <x v="11"/>
    <n v="92"/>
    <x v="26"/>
    <n v="76468.600000000006"/>
    <n v="-3"/>
    <x v="187"/>
    <n v="-35"/>
    <n v="184260.5"/>
    <x v="187"/>
    <n v="0"/>
    <n v="5.2"/>
    <n v="2.1"/>
    <n v="17"/>
    <n v="0"/>
    <n v="0"/>
    <n v="0"/>
    <n v="0"/>
    <n v="0"/>
    <n v="0"/>
    <n v="0"/>
    <n v="63591"/>
    <s v="Telecommunications"/>
    <x v="40"/>
    <s v="www.softbank.jp"/>
    <x v="169"/>
    <x v="11"/>
    <n v="0.41500267284632397"/>
    <x v="151"/>
    <x v="168"/>
  </r>
  <r>
    <x v="11"/>
    <n v="79"/>
    <x v="44"/>
    <n v="83583.5"/>
    <n v="-6"/>
    <x v="188"/>
    <n v="-27.5"/>
    <n v="111683.6"/>
    <x v="188"/>
    <n v="0"/>
    <n v="1.7"/>
    <n v="1.3"/>
    <n v="5.9"/>
    <n v="0"/>
    <n v="0"/>
    <n v="0"/>
    <n v="0"/>
    <n v="0"/>
    <n v="0"/>
    <n v="0"/>
    <n v="335244"/>
    <s v="Electronics, Electrical Equip."/>
    <x v="65"/>
    <s v="www.hitachi.com"/>
    <x v="170"/>
    <x v="11"/>
    <n v="0.74839546719482497"/>
    <x v="152"/>
    <x v="169"/>
  </r>
  <r>
    <x v="11"/>
    <n v="60"/>
    <x v="47"/>
    <n v="96133.9"/>
    <n v="-4.7"/>
    <x v="189"/>
    <n v="30.4"/>
    <n v="187185.7"/>
    <x v="189"/>
    <n v="0"/>
    <n v="6.4"/>
    <n v="3.3"/>
    <n v="7.8"/>
    <n v="0"/>
    <n v="0"/>
    <n v="0"/>
    <n v="0"/>
    <n v="0"/>
    <n v="0"/>
    <n v="0"/>
    <n v="241450"/>
    <s v="Telecommunications"/>
    <x v="69"/>
    <s v="www.ntt.co.jp"/>
    <x v="171"/>
    <x v="11"/>
    <n v="0.51357502202358396"/>
    <x v="131"/>
    <x v="170"/>
  </r>
  <r>
    <x v="7"/>
    <n v="292"/>
    <x v="46"/>
    <n v="38247.199999999997"/>
    <n v="-12.3"/>
    <x v="190"/>
    <n v="-16"/>
    <n v="40372.199999999997"/>
    <x v="190"/>
    <n v="0"/>
    <n v="6.2019000000000002"/>
    <n v="5.9019000000000004"/>
    <n v="8.5018999999999991"/>
    <n v="0"/>
    <n v="0"/>
    <n v="0"/>
    <n v="0"/>
    <n v="0"/>
    <n v="0"/>
    <n v="0"/>
    <n v="194151"/>
    <s v="Computers, Office Equipment"/>
    <x v="70"/>
    <s v="www.canon.com"/>
    <x v="172"/>
    <x v="7"/>
    <n v="0.94736477080763504"/>
    <x v="153"/>
    <x v="171"/>
  </r>
  <r>
    <x v="7"/>
    <n v="273"/>
    <x v="42"/>
    <n v="40470.300000000003"/>
    <n v="-5.8"/>
    <x v="191"/>
    <n v="83"/>
    <n v="35087.599999999999"/>
    <x v="191"/>
    <n v="0"/>
    <n v="3.8018999999999998"/>
    <n v="4.4019000000000004"/>
    <n v="10.3019"/>
    <n v="0"/>
    <n v="0"/>
    <n v="0"/>
    <n v="0"/>
    <n v="0"/>
    <n v="0"/>
    <n v="0"/>
    <n v="124305"/>
    <s v="Electronics, Electrical Equip."/>
    <x v="71"/>
    <s v="www.mitsubishielectric.com"/>
    <x v="173"/>
    <x v="7"/>
    <n v="1.1534074715853999"/>
    <x v="154"/>
    <x v="172"/>
  </r>
  <r>
    <x v="7"/>
    <n v="249"/>
    <x v="43"/>
    <n v="43258"/>
    <n v="-1.9"/>
    <x v="192"/>
    <n v="10.5"/>
    <n v="48031"/>
    <x v="192"/>
    <n v="0"/>
    <n v="7.4019000000000004"/>
    <n v="6.7019000000000002"/>
    <n v="12.501899999999999"/>
    <n v="0"/>
    <n v="0"/>
    <n v="0"/>
    <n v="0"/>
    <n v="0"/>
    <n v="0"/>
    <n v="0"/>
    <n v="27073"/>
    <s v="Telecommunications"/>
    <x v="72"/>
    <s v="www.kddi.com"/>
    <x v="174"/>
    <x v="7"/>
    <n v="0.90062667860340195"/>
    <x v="155"/>
    <x v="173"/>
  </r>
  <r>
    <x v="7"/>
    <n v="145"/>
    <x v="28"/>
    <n v="64907.9"/>
    <n v="-7.1"/>
    <x v="193"/>
    <n v="-45.7"/>
    <n v="60615.9"/>
    <x v="193"/>
    <n v="0"/>
    <n v="0.80189999999999995"/>
    <n v="0.80189999999999995"/>
    <n v="4.3018999999999998"/>
    <n v="0"/>
    <n v="0"/>
    <n v="0"/>
    <n v="0"/>
    <n v="0"/>
    <n v="0"/>
    <n v="0"/>
    <n v="200260"/>
    <s v="Electronics, Electrical Equip."/>
    <x v="57"/>
    <s v="www.toshiba.com"/>
    <x v="175"/>
    <x v="7"/>
    <n v="1.0708065045639801"/>
    <x v="156"/>
    <x v="174"/>
  </r>
  <r>
    <x v="7"/>
    <n v="135"/>
    <x v="48"/>
    <n v="66546"/>
    <n v="63.6"/>
    <x v="194"/>
    <n v="67.900000000000006"/>
    <n v="162037.5"/>
    <x v="194"/>
    <n v="0"/>
    <n v="8.8018999999999998"/>
    <n v="3.6019000000000001"/>
    <n v="30.8019"/>
    <n v="0"/>
    <n v="0"/>
    <n v="0"/>
    <n v="0"/>
    <n v="0"/>
    <n v="0"/>
    <n v="0"/>
    <n v="24598"/>
    <s v="Telecommunications"/>
    <x v="73"/>
    <s v="www.softbank.co.jp"/>
    <x v="176"/>
    <x v="7"/>
    <n v="0.410682712335108"/>
    <x v="157"/>
    <x v="175"/>
  </r>
  <r>
    <x v="7"/>
    <n v="105"/>
    <x v="34"/>
    <n v="77532.3"/>
    <n v="-5.3"/>
    <x v="195"/>
    <n v="-347.3"/>
    <n v="148914.5"/>
    <x v="195"/>
    <n v="0"/>
    <n v="-1.7000999999999999"/>
    <n v="-0.90010000000000001"/>
    <n v="-5.8000999999999996"/>
    <n v="0"/>
    <n v="0"/>
    <n v="0"/>
    <n v="0"/>
    <n v="0"/>
    <n v="0"/>
    <n v="0"/>
    <n v="140900"/>
    <s v="Electronics, Electrical Equip."/>
    <x v="58"/>
    <s v="www.sony.net"/>
    <x v="177"/>
    <x v="7"/>
    <n v="0.52064976882707903"/>
    <x v="158"/>
    <x v="176"/>
  </r>
  <r>
    <x v="7"/>
    <n v="78"/>
    <x v="44"/>
    <n v="95988.2"/>
    <n v="-11.8"/>
    <x v="196"/>
    <n v="25.3"/>
    <n v="106991.4"/>
    <x v="196"/>
    <n v="0"/>
    <n v="2.8018999999999998"/>
    <n v="2.5019"/>
    <n v="10.3019"/>
    <n v="0"/>
    <n v="0"/>
    <n v="0"/>
    <n v="0"/>
    <n v="0"/>
    <n v="0"/>
    <n v="0"/>
    <n v="320725"/>
    <s v="Electronics, Electrical Equip."/>
    <x v="74"/>
    <s v="www.hitachi.com"/>
    <x v="178"/>
    <x v="7"/>
    <n v="0.89715808934176"/>
    <x v="154"/>
    <x v="177"/>
  </r>
  <r>
    <x v="7"/>
    <n v="53"/>
    <x v="49"/>
    <n v="109054.3"/>
    <n v="-15.4"/>
    <x v="197"/>
    <n v="-7.4"/>
    <n v="196998.6"/>
    <x v="197"/>
    <n v="0"/>
    <n v="5.4019000000000004"/>
    <n v="3.0019"/>
    <n v="7.1018999999999997"/>
    <n v="0"/>
    <n v="0"/>
    <n v="0"/>
    <n v="0"/>
    <n v="0"/>
    <n v="0"/>
    <n v="0"/>
    <n v="239750"/>
    <s v="Telecommunications"/>
    <x v="75"/>
    <s v="www.ntt.co.jp"/>
    <x v="179"/>
    <x v="7"/>
    <n v="0.55357906096794596"/>
    <x v="159"/>
    <x v="178"/>
  </r>
  <r>
    <x v="8"/>
    <n v="244"/>
    <x v="42"/>
    <n v="42956.800000000003"/>
    <n v="-6.8"/>
    <x v="198"/>
    <n v="-41"/>
    <n v="36281"/>
    <x v="198"/>
    <n v="0"/>
    <n v="1.9"/>
    <n v="2.3073999999999999"/>
    <n v="0"/>
    <n v="0"/>
    <n v="0"/>
    <n v="0"/>
    <n v="0"/>
    <n v="0"/>
    <n v="0"/>
    <n v="0"/>
    <n v="120958"/>
    <s v="Electronics, Electrical Equip."/>
    <x v="71"/>
    <s v="www.mitsubishielectric.com"/>
    <x v="0"/>
    <x v="8"/>
    <n v="1.1840026460130599"/>
    <x v="0"/>
    <x v="0"/>
  </r>
  <r>
    <x v="8"/>
    <n v="236"/>
    <x v="46"/>
    <n v="43606.6"/>
    <n v="-2.2999999999999998"/>
    <x v="199"/>
    <n v="-9.8000000000000007"/>
    <n v="45754.8"/>
    <x v="199"/>
    <n v="0"/>
    <n v="6.5"/>
    <n v="6.1504000000000003"/>
    <n v="0"/>
    <n v="0"/>
    <n v="0"/>
    <n v="0"/>
    <n v="0"/>
    <n v="0"/>
    <n v="0"/>
    <n v="0"/>
    <n v="196968"/>
    <s v="Computers, Office Equipment"/>
    <x v="70"/>
    <s v="www.canon.com"/>
    <x v="0"/>
    <x v="8"/>
    <n v="0.95304973467264598"/>
    <x v="0"/>
    <x v="0"/>
  </r>
  <r>
    <x v="8"/>
    <n v="233"/>
    <x v="43"/>
    <n v="44102.1"/>
    <n v="-2.5"/>
    <x v="200"/>
    <n v="-3.8"/>
    <n v="43457.4"/>
    <x v="200"/>
    <n v="0"/>
    <n v="6.6"/>
    <n v="6.6912000000000003"/>
    <n v="0"/>
    <n v="0"/>
    <n v="0"/>
    <n v="0"/>
    <n v="0"/>
    <n v="0"/>
    <n v="0"/>
    <n v="0"/>
    <n v="20238"/>
    <s v="Telecommunications"/>
    <x v="72"/>
    <s v="www.kddi.com"/>
    <x v="0"/>
    <x v="8"/>
    <n v="1.0148352179375699"/>
    <x v="0"/>
    <x v="0"/>
  </r>
  <r>
    <x v="8"/>
    <n v="186"/>
    <x v="36"/>
    <n v="52765.7"/>
    <n v="-6.7"/>
    <x v="201"/>
    <n v="-262.3"/>
    <n v="32436.7"/>
    <x v="201"/>
    <n v="0"/>
    <n v="-1.7"/>
    <n v="-2.7069000000000001"/>
    <n v="0"/>
    <n v="0"/>
    <n v="0"/>
    <n v="0"/>
    <n v="0"/>
    <n v="0"/>
    <n v="0"/>
    <n v="0"/>
    <n v="170000"/>
    <s v="Computers, Office Equipment"/>
    <x v="51"/>
    <s v="www.fujitsu.com"/>
    <x v="109"/>
    <x v="8"/>
    <n v="1.6267283663258001"/>
    <x v="0"/>
    <x v="0"/>
  </r>
  <r>
    <x v="8"/>
    <n v="54"/>
    <x v="44"/>
    <n v="108874.5"/>
    <n v="-11.1"/>
    <x v="202"/>
    <n v="-52"/>
    <n v="104353.5"/>
    <x v="202"/>
    <n v="0"/>
    <n v="1.9"/>
    <n v="2.0232000000000001"/>
    <n v="0"/>
    <n v="0"/>
    <n v="0"/>
    <n v="0"/>
    <n v="0"/>
    <n v="0"/>
    <n v="0"/>
    <n v="0"/>
    <n v="326240"/>
    <s v="Electronics, Electrical Equip."/>
    <x v="74"/>
    <s v="www.hitachi.com"/>
    <x v="0"/>
    <x v="8"/>
    <n v="1.0433238942632499"/>
    <x v="0"/>
    <x v="0"/>
  </r>
  <r>
    <x v="8"/>
    <n v="32"/>
    <x v="47"/>
    <n v="128860.6"/>
    <n v="-3.2"/>
    <x v="203"/>
    <n v="6.5"/>
    <n v="209081.8"/>
    <x v="203"/>
    <n v="0"/>
    <n v="4.9000000000000004"/>
    <n v="3.0184000000000002"/>
    <n v="0"/>
    <n v="0"/>
    <n v="0"/>
    <n v="0"/>
    <n v="0"/>
    <n v="0"/>
    <n v="0"/>
    <n v="0"/>
    <n v="227150"/>
    <s v="Telecommunications"/>
    <x v="75"/>
    <s v="www.ntt.co.jp"/>
    <x v="0"/>
    <x v="8"/>
    <n v="0.61631667605693097"/>
    <x v="0"/>
    <x v="0"/>
  </r>
  <r>
    <x v="9"/>
    <n v="347"/>
    <x v="46"/>
    <n v="31271"/>
    <n v="-0.4"/>
    <x v="177"/>
    <n v="-23.9"/>
    <n v="44062.2"/>
    <x v="177"/>
    <n v="0"/>
    <n v="4.4000000000000004"/>
    <n v="3.1"/>
    <n v="5.8"/>
    <n v="0"/>
    <n v="0"/>
    <n v="0"/>
    <n v="0"/>
    <n v="0"/>
    <n v="0"/>
    <n v="0"/>
    <n v="197673"/>
    <s v="Computers, Office Equipment"/>
    <x v="70"/>
    <s v="www.canon.com"/>
    <x v="159"/>
    <x v="9"/>
    <n v="0.70970128590946402"/>
    <x v="145"/>
    <x v="158"/>
  </r>
  <r>
    <x v="9"/>
    <n v="262"/>
    <x v="42"/>
    <n v="39118.6"/>
    <n v="6.9"/>
    <x v="178"/>
    <n v="2.1"/>
    <n v="37519.300000000003"/>
    <x v="178"/>
    <n v="0"/>
    <n v="5"/>
    <n v="5.2"/>
    <n v="10.6"/>
    <n v="0"/>
    <n v="0"/>
    <n v="0"/>
    <n v="0"/>
    <n v="0"/>
    <n v="0"/>
    <n v="0"/>
    <n v="138700"/>
    <s v="Electronics, Electrical Equip."/>
    <x v="71"/>
    <s v="www.mitsubishielectric.com"/>
    <x v="160"/>
    <x v="9"/>
    <n v="1.0426260617868699"/>
    <x v="146"/>
    <x v="159"/>
  </r>
  <r>
    <x v="9"/>
    <n v="219"/>
    <x v="43"/>
    <n v="43821.599999999999"/>
    <n v="17.8"/>
    <x v="179"/>
    <n v="22.5"/>
    <n v="56223.199999999997"/>
    <x v="179"/>
    <n v="0"/>
    <n v="11.5"/>
    <n v="9"/>
    <n v="15.8"/>
    <n v="0"/>
    <n v="0"/>
    <n v="0"/>
    <n v="0"/>
    <n v="0"/>
    <n v="0"/>
    <n v="0"/>
    <n v="35032"/>
    <s v="Telecommunications"/>
    <x v="72"/>
    <s v="www.kddi.com"/>
    <x v="161"/>
    <x v="9"/>
    <n v="0.77942201795699995"/>
    <x v="147"/>
    <x v="160"/>
  </r>
  <r>
    <x v="9"/>
    <n v="105"/>
    <x v="34"/>
    <n v="70170.3"/>
    <n v="3.9"/>
    <x v="180"/>
    <n v="-45.1"/>
    <n v="158518.6"/>
    <x v="180"/>
    <n v="0"/>
    <n v="1"/>
    <n v="0.4"/>
    <n v="3"/>
    <n v="0"/>
    <n v="0"/>
    <n v="0"/>
    <n v="0"/>
    <n v="0"/>
    <n v="0"/>
    <n v="0"/>
    <n v="128400"/>
    <s v="Electronics, Electrical Equip."/>
    <x v="58"/>
    <s v="www.sony.net"/>
    <x v="162"/>
    <x v="9"/>
    <n v="0.44266287993964099"/>
    <x v="29"/>
    <x v="161"/>
  </r>
  <r>
    <x v="9"/>
    <n v="72"/>
    <x v="26"/>
    <n v="82892.3"/>
    <n v="8.4"/>
    <x v="181"/>
    <n v="233.3"/>
    <n v="221113.1"/>
    <x v="181"/>
    <n v="0"/>
    <n v="15.9"/>
    <n v="6"/>
    <n v="40.9"/>
    <n v="0"/>
    <n v="0"/>
    <n v="0"/>
    <n v="0"/>
    <n v="0"/>
    <n v="0"/>
    <n v="0"/>
    <n v="68402"/>
    <s v="Telecommunications"/>
    <x v="73"/>
    <s v="www.softbank.jp"/>
    <x v="163"/>
    <x v="9"/>
    <n v="0.374886426900984"/>
    <x v="148"/>
    <x v="162"/>
  </r>
  <r>
    <x v="9"/>
    <n v="71"/>
    <x v="44"/>
    <n v="84558.399999999994"/>
    <n v="1.2"/>
    <x v="182"/>
    <n v="48.8"/>
    <n v="86741.9"/>
    <x v="182"/>
    <n v="0"/>
    <n v="2.5"/>
    <n v="2.5"/>
    <n v="8"/>
    <n v="0"/>
    <n v="0"/>
    <n v="0"/>
    <n v="0"/>
    <n v="0"/>
    <n v="0"/>
    <n v="0"/>
    <n v="303887"/>
    <s v="Electronics, Electrical Equip."/>
    <x v="74"/>
    <s v="www.hitachi.com"/>
    <x v="164"/>
    <x v="9"/>
    <n v="0.97482762079225804"/>
    <x v="95"/>
    <x v="163"/>
  </r>
  <r>
    <x v="9"/>
    <n v="50"/>
    <x v="47"/>
    <n v="105127.5"/>
    <n v="9.4"/>
    <x v="183"/>
    <n v="20.2"/>
    <n v="190739.8"/>
    <x v="183"/>
    <n v="0"/>
    <n v="7"/>
    <n v="3.9"/>
    <n v="9.1"/>
    <n v="0"/>
    <n v="0"/>
    <n v="0"/>
    <n v="0"/>
    <n v="0"/>
    <n v="0"/>
    <n v="0"/>
    <n v="274844"/>
    <s v="Telecommunications"/>
    <x v="76"/>
    <s v="www.ntt.co.jp"/>
    <x v="165"/>
    <x v="9"/>
    <n v="0.55115660182090997"/>
    <x v="149"/>
    <x v="164"/>
  </r>
  <r>
    <x v="8"/>
    <n v="450"/>
    <x v="50"/>
    <n v="26010.5"/>
    <n v="-0.3"/>
    <x v="204"/>
    <n v="-38.700000000000003"/>
    <n v="24442.2"/>
    <x v="204"/>
    <n v="0"/>
    <n v="1.8"/>
    <n v="1.87"/>
    <n v="0"/>
    <n v="0"/>
    <n v="0"/>
    <n v="0"/>
    <n v="0"/>
    <n v="0"/>
    <n v="0"/>
    <n v="0"/>
    <n v="206323"/>
    <s v="Electronics, Electrical Equip."/>
    <x v="77"/>
    <s v="http://global-sei.com"/>
    <x v="0"/>
    <x v="8"/>
    <n v="1.06416361865953"/>
    <x v="0"/>
    <x v="0"/>
  </r>
  <r>
    <x v="8"/>
    <n v="444"/>
    <x v="51"/>
    <n v="26302.9"/>
    <n v="5.3"/>
    <x v="205"/>
    <n v="10.199999999999999"/>
    <n v="40505.199999999997"/>
    <x v="205"/>
    <n v="0"/>
    <n v="13.4"/>
    <n v="8.67"/>
    <n v="0"/>
    <n v="0"/>
    <n v="0"/>
    <n v="0"/>
    <n v="0"/>
    <n v="0"/>
    <n v="0"/>
    <n v="0"/>
    <n v="36039"/>
    <s v="Telecommunications"/>
    <x v="78"/>
    <s v="www.telstra.com.au"/>
    <x v="0"/>
    <x v="8"/>
    <n v="0.64937094496509096"/>
    <x v="0"/>
    <x v="0"/>
  </r>
  <r>
    <x v="8"/>
    <n v="394"/>
    <x v="52"/>
    <n v="29082.5"/>
    <n v="-5.4"/>
    <x v="206"/>
    <n v="3.4"/>
    <n v="37690.800000000003"/>
    <x v="206"/>
    <n v="0"/>
    <n v="11.4"/>
    <n v="8.7609999999999992"/>
    <n v="0"/>
    <n v="0"/>
    <n v="0"/>
    <n v="0"/>
    <n v="0"/>
    <n v="0"/>
    <n v="0"/>
    <n v="0"/>
    <n v="87900"/>
    <s v="Telecommunications"/>
    <x v="79"/>
    <s v="www.bt.com"/>
    <x v="0"/>
    <x v="8"/>
    <n v="0.77160739490804098"/>
    <x v="0"/>
    <x v="0"/>
  </r>
  <r>
    <x v="8"/>
    <n v="372"/>
    <x v="53"/>
    <n v="30773.7"/>
    <n v="-1.1000000000000001"/>
    <x v="207"/>
    <n v="-6.6"/>
    <n v="47660.800000000003"/>
    <x v="207"/>
    <n v="0"/>
    <n v="7.7"/>
    <n v="4.9614000000000003"/>
    <n v="0"/>
    <n v="0"/>
    <n v="0"/>
    <n v="0"/>
    <n v="0"/>
    <n v="0"/>
    <n v="0"/>
    <n v="0"/>
    <n v="139989"/>
    <s v="Electronics, Electrical Equip."/>
    <x v="80"/>
    <s v="www.schneider-electric.com"/>
    <x v="0"/>
    <x v="8"/>
    <n v="0.64568156640257801"/>
    <x v="0"/>
    <x v="0"/>
  </r>
  <r>
    <x v="8"/>
    <n v="329"/>
    <x v="31"/>
    <n v="33873.4"/>
    <n v="14.5"/>
    <x v="208"/>
    <n v="34.299999999999997"/>
    <n v="16882"/>
    <x v="208"/>
    <n v="0"/>
    <n v="1.9"/>
    <n v="3.7623000000000002"/>
    <n v="0"/>
    <n v="0"/>
    <n v="0"/>
    <n v="0"/>
    <n v="0"/>
    <n v="0"/>
    <n v="0"/>
    <n v="0"/>
    <n v="35026"/>
    <s v="Computers, Office Equipment"/>
    <x v="61"/>
    <s v="www.lenovo.com"/>
    <x v="0"/>
    <x v="8"/>
    <n v="2.0064802748489501"/>
    <x v="0"/>
    <x v="0"/>
  </r>
  <r>
    <x v="8"/>
    <n v="321"/>
    <x v="54"/>
    <n v="34412.199999999997"/>
    <n v="-8.9"/>
    <x v="209"/>
    <n v="-0.7"/>
    <n v="19547.7"/>
    <x v="209"/>
    <n v="0"/>
    <n v="2.2999999999999998"/>
    <n v="3.9859"/>
    <n v="0"/>
    <n v="0"/>
    <n v="0"/>
    <n v="0"/>
    <n v="0"/>
    <n v="0"/>
    <n v="0"/>
    <n v="0"/>
    <n v="121917"/>
    <s v="Computers, Office Equipment"/>
    <x v="81"/>
    <s v="www.quantatw.com"/>
    <x v="0"/>
    <x v="8"/>
    <n v="1.76042194222338"/>
    <x v="0"/>
    <x v="0"/>
  </r>
  <r>
    <x v="8"/>
    <n v="289"/>
    <x v="55"/>
    <n v="37261"/>
    <n v="-7"/>
    <x v="210"/>
    <n v="-94.3"/>
    <n v="78451.3"/>
    <x v="210"/>
    <n v="0"/>
    <n v="0.6"/>
    <n v="0.26869999999999999"/>
    <n v="0"/>
    <n v="0"/>
    <n v="0"/>
    <n v="0"/>
    <n v="0"/>
    <n v="0"/>
    <n v="0"/>
    <n v="0"/>
    <n v="57182"/>
    <s v="Telecommunications"/>
    <x v="82"/>
    <s v="www.vivendi.com"/>
    <x v="0"/>
    <x v="8"/>
    <n v="0.47495707528109798"/>
    <x v="0"/>
    <x v="0"/>
  </r>
  <r>
    <x v="8"/>
    <n v="170"/>
    <x v="56"/>
    <n v="55922.3"/>
    <n v="-11.2"/>
    <x v="211"/>
    <n v="-80.5"/>
    <n v="118611.6"/>
    <x v="211"/>
    <n v="0"/>
    <n v="1.9"/>
    <n v="0.88849999999999996"/>
    <n v="0"/>
    <n v="0"/>
    <n v="0"/>
    <n v="0"/>
    <n v="0"/>
    <n v="0"/>
    <n v="0"/>
    <n v="0"/>
    <n v="170531"/>
    <s v="Telecommunications"/>
    <x v="83"/>
    <s v="www.orange.com"/>
    <x v="0"/>
    <x v="8"/>
    <n v="0.47147412226122898"/>
    <x v="0"/>
    <x v="0"/>
  </r>
  <r>
    <x v="8"/>
    <n v="158"/>
    <x v="57"/>
    <n v="58919.4"/>
    <n v="10.1"/>
    <x v="212"/>
    <n v="4.3"/>
    <n v="77310.899999999994"/>
    <x v="212"/>
    <n v="0"/>
    <n v="11.8"/>
    <n v="8.9911999999999992"/>
    <n v="0"/>
    <n v="0"/>
    <n v="0"/>
    <n v="0"/>
    <n v="0"/>
    <n v="0"/>
    <n v="0"/>
    <n v="0"/>
    <n v="158719"/>
    <s v="Telecommunications"/>
    <x v="84"/>
    <s v="www.americamovil.com"/>
    <x v="0"/>
    <x v="8"/>
    <n v="0.76210987066506797"/>
    <x v="0"/>
    <x v="0"/>
  </r>
  <r>
    <x v="8"/>
    <n v="124"/>
    <x v="29"/>
    <n v="70187.399999999994"/>
    <n v="-5.2"/>
    <x v="213"/>
    <n v="-93.9"/>
    <n v="216644.1"/>
    <x v="213"/>
    <n v="0"/>
    <n v="1"/>
    <n v="0.31269999999999998"/>
    <n v="0"/>
    <n v="0"/>
    <n v="0"/>
    <n v="0"/>
    <n v="0"/>
    <n v="0"/>
    <n v="0"/>
    <n v="0"/>
    <n v="91272"/>
    <s v="Telecommunications"/>
    <x v="62"/>
    <s v="www.vodafone.com"/>
    <x v="0"/>
    <x v="8"/>
    <n v="0.32397558945754801"/>
    <x v="0"/>
    <x v="0"/>
  </r>
  <r>
    <x v="8"/>
    <n v="105"/>
    <x v="38"/>
    <n v="74754.600000000006"/>
    <n v="-8.3000000000000007"/>
    <x v="214"/>
    <n v="-972"/>
    <n v="142289.1"/>
    <x v="214"/>
    <n v="0"/>
    <n v="-9"/>
    <n v="-4.7462"/>
    <n v="0"/>
    <n v="0"/>
    <n v="0"/>
    <n v="0"/>
    <n v="0"/>
    <n v="0"/>
    <n v="0"/>
    <n v="0"/>
    <n v="232000"/>
    <s v="Telecommunications"/>
    <x v="53"/>
    <s v="www.telekom.com"/>
    <x v="109"/>
    <x v="8"/>
    <n v="0.525371233636308"/>
    <x v="0"/>
    <x v="0"/>
  </r>
  <r>
    <x v="8"/>
    <n v="97"/>
    <x v="58"/>
    <n v="80135.399999999994"/>
    <n v="-8.3000000000000007"/>
    <x v="215"/>
    <n v="-32.799999999999997"/>
    <n v="171066.7"/>
    <x v="215"/>
    <n v="0"/>
    <n v="6.3"/>
    <n v="2.9508999999999999"/>
    <n v="0"/>
    <n v="0"/>
    <n v="0"/>
    <n v="0"/>
    <n v="0"/>
    <n v="0"/>
    <n v="0"/>
    <n v="0"/>
    <n v="133186"/>
    <s v="Telecommunications"/>
    <x v="85"/>
    <s v="www.telefonica.com"/>
    <x v="0"/>
    <x v="8"/>
    <n v="0.46844534909482699"/>
    <x v="0"/>
    <x v="0"/>
  </r>
  <r>
    <x v="8"/>
    <n v="53"/>
    <x v="59"/>
    <n v="108988.5"/>
    <n v="-3.8"/>
    <x v="216"/>
    <n v="-32.5"/>
    <n v="139283.1"/>
    <x v="216"/>
    <n v="0"/>
    <n v="5.3"/>
    <n v="4.1512000000000002"/>
    <n v="0"/>
    <n v="0"/>
    <n v="0"/>
    <n v="0"/>
    <n v="0"/>
    <n v="0"/>
    <n v="0"/>
    <n v="0"/>
    <n v="370000"/>
    <s v="Electronics, Electrical Equip."/>
    <x v="86"/>
    <s v="www.siemens.com"/>
    <x v="0"/>
    <x v="8"/>
    <n v="0.78249622531376695"/>
    <x v="0"/>
    <x v="0"/>
  </r>
  <r>
    <x v="8"/>
    <n v="30"/>
    <x v="60"/>
    <n v="132076.1"/>
    <n v="12.4"/>
    <x v="217"/>
    <n v="15.4"/>
    <n v="70404.399999999994"/>
    <x v="217"/>
    <n v="0"/>
    <n v="2.4"/>
    <n v="4.5518999999999998"/>
    <n v="0"/>
    <n v="0"/>
    <n v="0"/>
    <n v="0"/>
    <n v="0"/>
    <n v="0"/>
    <n v="0"/>
    <n v="0"/>
    <n v="1290000"/>
    <s v="Electronics, Electrical Equip."/>
    <x v="87"/>
    <s v="www.foxconn.com"/>
    <x v="0"/>
    <x v="8"/>
    <n v="1.8759637181767099"/>
    <x v="0"/>
    <x v="0"/>
  </r>
  <r>
    <x v="8"/>
    <n v="14"/>
    <x v="61"/>
    <n v="178554.8"/>
    <n v="19.899999999999999"/>
    <x v="218"/>
    <n v="70.7"/>
    <n v="169154.6"/>
    <x v="218"/>
    <n v="0"/>
    <n v="11.5"/>
    <n v="12.1698"/>
    <n v="0"/>
    <n v="0"/>
    <n v="0"/>
    <n v="0"/>
    <n v="0"/>
    <n v="0"/>
    <n v="0"/>
    <n v="0"/>
    <n v="236000"/>
    <s v="Electronics, Electrical Equip."/>
    <x v="88"/>
    <s v="www.samsung.com"/>
    <x v="0"/>
    <x v="8"/>
    <n v="1.0555716486575"/>
    <x v="0"/>
    <x v="0"/>
  </r>
  <r>
    <x v="7"/>
    <n v="421"/>
    <x v="52"/>
    <n v="29051.1"/>
    <n v="-0.1"/>
    <x v="219"/>
    <n v="-2.9"/>
    <n v="41502.5"/>
    <x v="219"/>
    <n v="0"/>
    <n v="11.001899999999999"/>
    <n v="7.7019000000000002"/>
    <n v="0"/>
    <n v="0"/>
    <n v="0"/>
    <n v="0"/>
    <n v="0"/>
    <n v="0"/>
    <n v="0"/>
    <n v="0"/>
    <n v="87800"/>
    <s v="Telecommunications"/>
    <x v="79"/>
    <s v="www.bt.com"/>
    <x v="0"/>
    <x v="7"/>
    <n v="0.69998433829287399"/>
    <x v="0"/>
    <x v="0"/>
  </r>
  <r>
    <x v="0"/>
    <n v="421"/>
    <x v="53"/>
    <n v="35944.9"/>
    <n v="5.2"/>
    <x v="220"/>
    <n v="-3.5"/>
    <n v="62278.7"/>
    <x v="220"/>
    <n v="0"/>
    <n v="10.199999999999999"/>
    <n v="5.9"/>
    <n v="13.5"/>
    <n v="0"/>
    <n v="0"/>
    <n v="0"/>
    <n v="0"/>
    <n v="0"/>
    <n v="0"/>
    <n v="0"/>
    <n v="135000"/>
    <s v="Electronics, Electrical Equip."/>
    <x v="89"/>
    <s v="www.se.com"/>
    <x v="180"/>
    <x v="0"/>
    <n v="0.57716201526364597"/>
    <x v="16"/>
    <x v="179"/>
  </r>
  <r>
    <x v="0"/>
    <n v="319"/>
    <x v="62"/>
    <n v="45721"/>
    <n v="-9.1"/>
    <x v="221"/>
    <n v="719.3"/>
    <n v="116996.6"/>
    <x v="221"/>
    <n v="0"/>
    <n v="4.9000000000000004"/>
    <n v="1.9"/>
    <n v="6.7"/>
    <n v="0"/>
    <n v="0"/>
    <n v="0"/>
    <n v="0"/>
    <n v="0"/>
    <n v="0"/>
    <n v="0"/>
    <n v="130307"/>
    <s v="Telecommunications"/>
    <x v="90"/>
    <s v="www.orange.com"/>
    <x v="181"/>
    <x v="0"/>
    <n v="0.39078913404321097"/>
    <x v="160"/>
    <x v="180"/>
  </r>
  <r>
    <x v="1"/>
    <n v="271"/>
    <x v="62"/>
    <n v="50275.199999999997"/>
    <n v="4.4000000000000004"/>
    <x v="222"/>
    <n v="-95"/>
    <n v="122876.7"/>
    <x v="222"/>
    <n v="0"/>
    <n v="0.5"/>
    <n v="0.2"/>
    <n v="0.7"/>
    <n v="0"/>
    <n v="0"/>
    <n v="0"/>
    <n v="0"/>
    <n v="0"/>
    <n v="0"/>
    <n v="0"/>
    <n v="139698"/>
    <s v="Telecommunications"/>
    <x v="90"/>
    <s v="www.orange.com"/>
    <x v="182"/>
    <x v="1"/>
    <n v="0.409151612958356"/>
    <x v="161"/>
    <x v="181"/>
  </r>
  <r>
    <x v="1"/>
    <n v="420"/>
    <x v="53"/>
    <n v="34175.300000000003"/>
    <n v="19.2"/>
    <x v="223"/>
    <n v="56.4"/>
    <n v="62019.9"/>
    <x v="223"/>
    <n v="0"/>
    <n v="11.1"/>
    <n v="6.1"/>
    <n v="13.6"/>
    <n v="0"/>
    <n v="0"/>
    <n v="0"/>
    <n v="0"/>
    <n v="0"/>
    <n v="0"/>
    <n v="0"/>
    <n v="128000"/>
    <s v="Electronics, Electrical Equip."/>
    <x v="89"/>
    <s v="www.se.com"/>
    <x v="183"/>
    <x v="1"/>
    <n v="0.55103765081852796"/>
    <x v="45"/>
    <x v="182"/>
  </r>
  <r>
    <x v="2"/>
    <n v="424"/>
    <x v="53"/>
    <n v="28667.4"/>
    <n v="-5.7"/>
    <x v="224"/>
    <n v="-10.3"/>
    <n v="60556.1"/>
    <x v="224"/>
    <n v="0"/>
    <n v="8.5"/>
    <n v="4"/>
    <n v="9.6"/>
    <n v="0"/>
    <n v="0"/>
    <n v="0"/>
    <n v="0"/>
    <n v="0"/>
    <n v="0"/>
    <n v="0"/>
    <n v="126328"/>
    <s v="Electronics, Electrical Equip."/>
    <x v="89"/>
    <s v="www.se.com"/>
    <x v="184"/>
    <x v="2"/>
    <n v="0.47340234922658497"/>
    <x v="162"/>
    <x v="183"/>
  </r>
  <r>
    <x v="2"/>
    <n v="229"/>
    <x v="62"/>
    <n v="48164.5"/>
    <n v="1.9"/>
    <x v="225"/>
    <n v="63.3"/>
    <n v="131843.6"/>
    <x v="225"/>
    <n v="0"/>
    <n v="11.4"/>
    <n v="4.2"/>
    <n v="13.1"/>
    <n v="0"/>
    <n v="0"/>
    <n v="0"/>
    <n v="0"/>
    <n v="0"/>
    <n v="0"/>
    <n v="0"/>
    <n v="142150"/>
    <s v="Telecommunications"/>
    <x v="90"/>
    <s v="www.orange.com"/>
    <x v="185"/>
    <x v="2"/>
    <n v="0.36531541917848098"/>
    <x v="163"/>
    <x v="184"/>
  </r>
  <r>
    <x v="3"/>
    <n v="411"/>
    <x v="53"/>
    <n v="30353.9"/>
    <n v="8.8000000000000007"/>
    <x v="226"/>
    <n v="13.7"/>
    <n v="48302"/>
    <x v="226"/>
    <n v="0"/>
    <n v="9.1"/>
    <n v="5.7"/>
    <n v="11.6"/>
    <n v="0"/>
    <n v="0"/>
    <n v="0"/>
    <n v="0"/>
    <n v="0"/>
    <n v="0"/>
    <n v="0"/>
    <n v="137534"/>
    <s v="Electronics, Electrical Equip."/>
    <x v="89"/>
    <s v="www.schneider-electric.com"/>
    <x v="186"/>
    <x v="3"/>
    <n v="0.62841911308020404"/>
    <x v="150"/>
    <x v="185"/>
  </r>
  <r>
    <x v="3"/>
    <n v="228"/>
    <x v="62"/>
    <n v="48836.5"/>
    <n v="5.4"/>
    <x v="227"/>
    <n v="7.3"/>
    <n v="110404.7"/>
    <x v="227"/>
    <n v="0"/>
    <n v="4.7"/>
    <n v="2.1"/>
    <n v="6.6"/>
    <n v="0"/>
    <n v="0"/>
    <n v="0"/>
    <n v="0"/>
    <n v="0"/>
    <n v="0"/>
    <n v="0"/>
    <n v="150711"/>
    <s v="Telecommunications"/>
    <x v="90"/>
    <s v="www.orange.com"/>
    <x v="187"/>
    <x v="3"/>
    <n v="0.44234076991287502"/>
    <x v="56"/>
    <x v="186"/>
  </r>
  <r>
    <x v="4"/>
    <n v="411"/>
    <x v="53"/>
    <n v="30353.9"/>
    <n v="8.8000000000000007"/>
    <x v="226"/>
    <n v="13.7"/>
    <n v="48302"/>
    <x v="226"/>
    <n v="0"/>
    <n v="9.1"/>
    <n v="5.7"/>
    <n v="11.6"/>
    <n v="0"/>
    <n v="0"/>
    <n v="0"/>
    <n v="0"/>
    <n v="0"/>
    <n v="0"/>
    <n v="0"/>
    <n v="137534"/>
    <s v="Electronics, Electrical Equip."/>
    <x v="89"/>
    <s v="www.schneider-electric.com"/>
    <x v="186"/>
    <x v="4"/>
    <n v="0.62841911308020404"/>
    <x v="150"/>
    <x v="185"/>
  </r>
  <r>
    <x v="4"/>
    <n v="228"/>
    <x v="62"/>
    <n v="48836.5"/>
    <n v="5.4"/>
    <x v="227"/>
    <n v="7.3"/>
    <n v="110404.7"/>
    <x v="227"/>
    <n v="0"/>
    <n v="4.7"/>
    <n v="2.1"/>
    <n v="6.6"/>
    <n v="0"/>
    <n v="0"/>
    <n v="0"/>
    <n v="0"/>
    <n v="0"/>
    <n v="0"/>
    <n v="0"/>
    <n v="150711"/>
    <s v="Telecommunications"/>
    <x v="90"/>
    <s v="www.orange.com"/>
    <x v="187"/>
    <x v="4"/>
    <n v="0.44234076991287502"/>
    <x v="56"/>
    <x v="186"/>
  </r>
  <r>
    <x v="5"/>
    <n v="411"/>
    <x v="53"/>
    <n v="30353.9"/>
    <n v="8.8000000000000007"/>
    <x v="226"/>
    <n v="13.7"/>
    <n v="48302"/>
    <x v="226"/>
    <n v="0"/>
    <n v="9.1"/>
    <n v="5.7"/>
    <n v="11.6"/>
    <n v="0"/>
    <n v="0"/>
    <n v="0"/>
    <n v="0"/>
    <n v="0"/>
    <n v="0"/>
    <n v="0"/>
    <n v="137534"/>
    <s v="Electronics, Electrical Equip."/>
    <x v="89"/>
    <s v="www.schneider-electric.com"/>
    <x v="186"/>
    <x v="5"/>
    <n v="0.62841911308020404"/>
    <x v="150"/>
    <x v="185"/>
  </r>
  <r>
    <x v="5"/>
    <n v="228"/>
    <x v="62"/>
    <n v="48836.5"/>
    <n v="5.4"/>
    <x v="227"/>
    <n v="7.3"/>
    <n v="110404.7"/>
    <x v="227"/>
    <n v="0"/>
    <n v="4.7"/>
    <n v="2.1"/>
    <n v="6.6"/>
    <n v="0"/>
    <n v="0"/>
    <n v="0"/>
    <n v="0"/>
    <n v="0"/>
    <n v="0"/>
    <n v="0"/>
    <n v="150711"/>
    <s v="Telecommunications"/>
    <x v="90"/>
    <s v="www.orange.com"/>
    <x v="187"/>
    <x v="5"/>
    <n v="0.44234076991287502"/>
    <x v="56"/>
    <x v="186"/>
  </r>
  <r>
    <x v="6"/>
    <n v="399"/>
    <x v="53"/>
    <n v="27306.6"/>
    <n v="-7.6"/>
    <x v="228"/>
    <n v="24"/>
    <n v="44137.3"/>
    <x v="228"/>
    <n v="0"/>
    <n v="7.1"/>
    <n v="4.4000000000000004"/>
    <n v="9"/>
    <n v="0"/>
    <n v="0"/>
    <n v="0"/>
    <n v="0"/>
    <n v="0"/>
    <n v="0"/>
    <n v="0"/>
    <n v="143901"/>
    <s v="Electronics, Electrical Equip."/>
    <x v="89"/>
    <s v="www.schneider-electric.com"/>
    <x v="188"/>
    <x v="6"/>
    <n v="0.61867400135486295"/>
    <x v="5"/>
    <x v="187"/>
  </r>
  <r>
    <x v="6"/>
    <n v="210"/>
    <x v="62"/>
    <n v="45249"/>
    <n v="1.3"/>
    <x v="229"/>
    <n v="10.3"/>
    <n v="99839.7"/>
    <x v="229"/>
    <n v="0"/>
    <n v="7.2"/>
    <n v="3.3"/>
    <n v="10"/>
    <n v="0"/>
    <n v="0"/>
    <n v="0"/>
    <n v="0"/>
    <n v="0"/>
    <n v="0"/>
    <n v="0"/>
    <n v="155202"/>
    <s v="Telecommunications"/>
    <x v="90"/>
    <s v="www.orange.com"/>
    <x v="189"/>
    <x v="6"/>
    <n v="0.45321650605921299"/>
    <x v="164"/>
    <x v="188"/>
  </r>
  <r>
    <x v="11"/>
    <n v="354"/>
    <x v="53"/>
    <n v="29551.1"/>
    <n v="-10.7"/>
    <x v="230"/>
    <n v="-39.4"/>
    <n v="46247.1"/>
    <x v="230"/>
    <n v="0"/>
    <n v="5.3"/>
    <n v="3.4"/>
    <n v="6.9"/>
    <n v="0"/>
    <n v="0"/>
    <n v="0"/>
    <n v="0"/>
    <n v="0"/>
    <n v="0"/>
    <n v="0"/>
    <n v="160843"/>
    <s v="Electronics, Electrical Equip."/>
    <x v="89"/>
    <s v="www.schneider-electric.com"/>
    <x v="190"/>
    <x v="11"/>
    <n v="0.63898276864927706"/>
    <x v="165"/>
    <x v="189"/>
  </r>
  <r>
    <x v="11"/>
    <n v="204"/>
    <x v="62"/>
    <n v="44650.6"/>
    <n v="-14.7"/>
    <x v="231"/>
    <n v="139.69999999999999"/>
    <n v="99311.2"/>
    <x v="231"/>
    <n v="0"/>
    <n v="6.6"/>
    <n v="3"/>
    <n v="8.8000000000000007"/>
    <n v="0"/>
    <n v="0"/>
    <n v="0"/>
    <n v="0"/>
    <n v="0"/>
    <n v="0"/>
    <n v="0"/>
    <n v="156191"/>
    <s v="Telecommunications"/>
    <x v="90"/>
    <s v="www.orange.com"/>
    <x v="191"/>
    <x v="11"/>
    <n v="0.44960286453088899"/>
    <x v="98"/>
    <x v="190"/>
  </r>
  <r>
    <x v="7"/>
    <n v="387"/>
    <x v="53"/>
    <n v="31265.4"/>
    <n v="1.6"/>
    <x v="232"/>
    <n v="6"/>
    <n v="50962.1"/>
    <x v="232"/>
    <n v="0"/>
    <n v="8.0018999999999991"/>
    <n v="4.9019000000000004"/>
    <n v="10.601900000000001"/>
    <n v="0"/>
    <n v="0"/>
    <n v="0"/>
    <n v="0"/>
    <n v="0"/>
    <n v="0"/>
    <n v="0"/>
    <n v="152784"/>
    <s v="Electronics, Electrical Equip."/>
    <x v="80"/>
    <s v="www.schneider-electric.com"/>
    <x v="192"/>
    <x v="7"/>
    <n v="0.61350297574079604"/>
    <x v="146"/>
    <x v="191"/>
  </r>
  <r>
    <x v="7"/>
    <n v="325"/>
    <x v="55"/>
    <n v="35873.4"/>
    <n v="-3.7"/>
    <x v="233"/>
    <n v="1139"/>
    <n v="67760.2"/>
    <x v="233"/>
    <n v="0"/>
    <n v="7.3018999999999998"/>
    <n v="3.9018999999999999"/>
    <n v="10.901899999999999"/>
    <n v="0"/>
    <n v="0"/>
    <n v="0"/>
    <n v="0"/>
    <n v="0"/>
    <n v="0"/>
    <n v="0"/>
    <n v="52440"/>
    <s v="Telecommunications"/>
    <x v="82"/>
    <s v="www.vivendi.com"/>
    <x v="193"/>
    <x v="7"/>
    <n v="0.52941697338555704"/>
    <x v="81"/>
    <x v="192"/>
  </r>
  <r>
    <x v="7"/>
    <n v="189"/>
    <x v="62"/>
    <n v="54404.800000000003"/>
    <n v="-2.7"/>
    <x v="234"/>
    <n v="136"/>
    <n v="118260.7"/>
    <x v="234"/>
    <n v="0"/>
    <n v="4.6018999999999997"/>
    <n v="2.1019000000000001"/>
    <n v="7.4019000000000004"/>
    <n v="0"/>
    <n v="0"/>
    <n v="0"/>
    <n v="0"/>
    <n v="0"/>
    <n v="0"/>
    <n v="0"/>
    <n v="165488"/>
    <s v="Telecommunications"/>
    <x v="91"/>
    <s v="www.orange.com"/>
    <x v="194"/>
    <x v="7"/>
    <n v="0.46004124785326"/>
    <x v="130"/>
    <x v="193"/>
  </r>
  <r>
    <x v="9"/>
    <n v="399"/>
    <x v="53"/>
    <n v="27306.6"/>
    <n v="-7.6"/>
    <x v="228"/>
    <n v="24"/>
    <n v="44137.3"/>
    <x v="228"/>
    <n v="0"/>
    <n v="7.1"/>
    <n v="4.4000000000000004"/>
    <n v="9"/>
    <n v="0"/>
    <n v="0"/>
    <n v="0"/>
    <n v="0"/>
    <n v="0"/>
    <n v="0"/>
    <n v="0"/>
    <n v="143901"/>
    <s v="Electronics, Electrical Equip."/>
    <x v="80"/>
    <s v="www.schneider-electric.com"/>
    <x v="188"/>
    <x v="9"/>
    <n v="0.61867400135486295"/>
    <x v="5"/>
    <x v="187"/>
  </r>
  <r>
    <x v="9"/>
    <n v="210"/>
    <x v="62"/>
    <n v="45249"/>
    <n v="1.3"/>
    <x v="229"/>
    <n v="10.3"/>
    <n v="99839.7"/>
    <x v="229"/>
    <n v="0"/>
    <n v="7.2"/>
    <n v="3.3"/>
    <n v="10"/>
    <n v="0"/>
    <n v="0"/>
    <n v="0"/>
    <n v="0"/>
    <n v="0"/>
    <n v="0"/>
    <n v="0"/>
    <n v="155202"/>
    <s v="Telecommunications"/>
    <x v="91"/>
    <s v="www.orange.com"/>
    <x v="189"/>
    <x v="9"/>
    <n v="0.45321650605921299"/>
    <x v="164"/>
    <x v="188"/>
  </r>
  <r>
    <x v="0"/>
    <n v="472"/>
    <x v="63"/>
    <n v="32468.799999999999"/>
    <n v="-1.4"/>
    <x v="235"/>
    <n v="-61.3"/>
    <n v="76993.7"/>
    <x v="235"/>
    <n v="0"/>
    <n v="7.4"/>
    <n v="3.1"/>
    <n v="5.6"/>
    <n v="0"/>
    <n v="0"/>
    <n v="0"/>
    <n v="0"/>
    <n v="0"/>
    <n v="0"/>
    <n v="0"/>
    <n v="111961"/>
    <s v="Computer Software"/>
    <x v="92"/>
    <s v="www.sap.com"/>
    <x v="195"/>
    <x v="0"/>
    <n v="0.42170723059159398"/>
    <x v="119"/>
    <x v="194"/>
  </r>
  <r>
    <x v="0"/>
    <n v="79"/>
    <x v="38"/>
    <n v="120107.7"/>
    <n v="-6.6"/>
    <x v="236"/>
    <n v="70.400000000000006"/>
    <n v="318595.5"/>
    <x v="236"/>
    <n v="0"/>
    <n v="7"/>
    <n v="2.6"/>
    <n v="16.2"/>
    <n v="0"/>
    <n v="0"/>
    <n v="0"/>
    <n v="0"/>
    <n v="0"/>
    <n v="0"/>
    <n v="0"/>
    <n v="206759"/>
    <s v="Telecommunications"/>
    <x v="93"/>
    <s v="www.telekom.com"/>
    <x v="196"/>
    <x v="0"/>
    <n v="0.37699120044068402"/>
    <x v="166"/>
    <x v="195"/>
  </r>
  <r>
    <x v="1"/>
    <n v="62"/>
    <x v="38"/>
    <n v="128630.8"/>
    <n v="11.8"/>
    <x v="237"/>
    <n v="4.2"/>
    <n v="320209.90000000002"/>
    <x v="237"/>
    <n v="0"/>
    <n v="3.8"/>
    <n v="1.5"/>
    <n v="10.199999999999999"/>
    <n v="0"/>
    <n v="0"/>
    <n v="0"/>
    <n v="0"/>
    <n v="0"/>
    <n v="0"/>
    <n v="0"/>
    <n v="216528"/>
    <s v="Telecommunications"/>
    <x v="93"/>
    <s v="www.telekom.com"/>
    <x v="197"/>
    <x v="1"/>
    <n v="0.40170775481957299"/>
    <x v="107"/>
    <x v="196"/>
  </r>
  <r>
    <x v="1"/>
    <n v="433"/>
    <x v="63"/>
    <n v="32918.5"/>
    <n v="5.7"/>
    <x v="238"/>
    <n v="6"/>
    <n v="80919.199999999997"/>
    <x v="238"/>
    <n v="0"/>
    <n v="18.899999999999999"/>
    <n v="7.7"/>
    <n v="14.1"/>
    <n v="0"/>
    <n v="0"/>
    <n v="0"/>
    <n v="0"/>
    <n v="0"/>
    <n v="0"/>
    <n v="0"/>
    <n v="107415"/>
    <s v="Computer Software"/>
    <x v="92"/>
    <s v="www.sap.com"/>
    <x v="198"/>
    <x v="1"/>
    <n v="0.40680703714322403"/>
    <x v="167"/>
    <x v="197"/>
  </r>
  <r>
    <x v="2"/>
    <n v="395"/>
    <x v="63"/>
    <n v="31150.3"/>
    <n v="1"/>
    <x v="239"/>
    <n v="57.7"/>
    <n v="71558"/>
    <x v="239"/>
    <n v="0"/>
    <n v="18.8"/>
    <n v="8.1999999999999993"/>
    <n v="16.100000000000001"/>
    <n v="0"/>
    <n v="0"/>
    <n v="0"/>
    <n v="0"/>
    <n v="0"/>
    <n v="0"/>
    <n v="0"/>
    <n v="102430"/>
    <s v="Computer Software"/>
    <x v="92"/>
    <s v="www.sap.com"/>
    <x v="199"/>
    <x v="2"/>
    <n v="0.43531540847983502"/>
    <x v="74"/>
    <x v="198"/>
  </r>
  <r>
    <x v="2"/>
    <n v="53"/>
    <x v="38"/>
    <n v="115083.2"/>
    <n v="27.7"/>
    <x v="240"/>
    <n v="9.5"/>
    <n v="324205.40000000002"/>
    <x v="240"/>
    <n v="0"/>
    <n v="4.0999999999999996"/>
    <n v="1.5"/>
    <n v="10.8"/>
    <n v="0"/>
    <n v="0"/>
    <n v="0"/>
    <n v="0"/>
    <n v="0"/>
    <n v="0"/>
    <n v="0"/>
    <n v="226291"/>
    <s v="Telecommunications"/>
    <x v="93"/>
    <s v="www.telekom.com"/>
    <x v="200"/>
    <x v="2"/>
    <n v="0.35497002825986201"/>
    <x v="168"/>
    <x v="199"/>
  </r>
  <r>
    <x v="3"/>
    <n v="427"/>
    <x v="63"/>
    <n v="29159.599999999999"/>
    <n v="10.3"/>
    <x v="241"/>
    <n v="6.4"/>
    <n v="58854.2"/>
    <x v="241"/>
    <n v="0"/>
    <n v="16.5"/>
    <n v="8.1999999999999993"/>
    <n v="14.6"/>
    <n v="0"/>
    <n v="0"/>
    <n v="0"/>
    <n v="0"/>
    <n v="0"/>
    <n v="0"/>
    <n v="0"/>
    <n v="96498"/>
    <s v="Computer Software"/>
    <x v="92"/>
    <s v="www.sap.com"/>
    <x v="201"/>
    <x v="3"/>
    <n v="0.49545486983087"/>
    <x v="133"/>
    <x v="200"/>
  </r>
  <r>
    <x v="3"/>
    <n v="90"/>
    <x v="38"/>
    <n v="89286.8"/>
    <n v="5.7"/>
    <x v="242"/>
    <n v="-34.5"/>
    <n v="166163.6"/>
    <x v="242"/>
    <n v="0"/>
    <n v="2.9"/>
    <n v="1.5"/>
    <n v="7.2"/>
    <n v="0"/>
    <n v="0"/>
    <n v="0"/>
    <n v="0"/>
    <n v="0"/>
    <n v="0"/>
    <n v="0"/>
    <n v="215675"/>
    <s v="Telecommunications"/>
    <x v="93"/>
    <s v="www.telekom.com"/>
    <x v="202"/>
    <x v="3"/>
    <n v="0.53734271525171595"/>
    <x v="169"/>
    <x v="201"/>
  </r>
  <r>
    <x v="4"/>
    <n v="427"/>
    <x v="63"/>
    <n v="29159.599999999999"/>
    <n v="10.3"/>
    <x v="241"/>
    <n v="6.4"/>
    <n v="58854.2"/>
    <x v="241"/>
    <n v="0"/>
    <n v="16.5"/>
    <n v="8.1999999999999993"/>
    <n v="14.6"/>
    <n v="0"/>
    <n v="0"/>
    <n v="0"/>
    <n v="0"/>
    <n v="0"/>
    <n v="0"/>
    <n v="0"/>
    <n v="96498"/>
    <s v="Computer Software"/>
    <x v="92"/>
    <s v="www.sap.com"/>
    <x v="201"/>
    <x v="4"/>
    <n v="0.49545486983087"/>
    <x v="133"/>
    <x v="200"/>
  </r>
  <r>
    <x v="4"/>
    <n v="90"/>
    <x v="38"/>
    <n v="89286.8"/>
    <n v="5.7"/>
    <x v="242"/>
    <n v="-34.5"/>
    <n v="166163.6"/>
    <x v="242"/>
    <n v="0"/>
    <n v="2.9"/>
    <n v="1.5"/>
    <n v="7.2"/>
    <n v="0"/>
    <n v="0"/>
    <n v="0"/>
    <n v="0"/>
    <n v="0"/>
    <n v="0"/>
    <n v="0"/>
    <n v="215675"/>
    <s v="Telecommunications"/>
    <x v="93"/>
    <s v="www.telekom.com"/>
    <x v="202"/>
    <x v="4"/>
    <n v="0.53734271525171595"/>
    <x v="169"/>
    <x v="201"/>
  </r>
  <r>
    <x v="5"/>
    <n v="427"/>
    <x v="63"/>
    <n v="29159.599999999999"/>
    <n v="10.3"/>
    <x v="241"/>
    <n v="6.4"/>
    <n v="58854.2"/>
    <x v="241"/>
    <n v="0"/>
    <n v="16.5"/>
    <n v="8.1999999999999993"/>
    <n v="14.6"/>
    <n v="0"/>
    <n v="0"/>
    <n v="0"/>
    <n v="0"/>
    <n v="0"/>
    <n v="0"/>
    <n v="0"/>
    <n v="96498"/>
    <s v="Computer Software"/>
    <x v="92"/>
    <s v="www.sap.com"/>
    <x v="201"/>
    <x v="5"/>
    <n v="0.49545486983087"/>
    <x v="133"/>
    <x v="200"/>
  </r>
  <r>
    <x v="5"/>
    <n v="90"/>
    <x v="38"/>
    <n v="89286.8"/>
    <n v="5.7"/>
    <x v="242"/>
    <n v="-34.5"/>
    <n v="166163.6"/>
    <x v="242"/>
    <n v="0"/>
    <n v="2.9"/>
    <n v="1.5"/>
    <n v="7.2"/>
    <n v="0"/>
    <n v="0"/>
    <n v="0"/>
    <n v="0"/>
    <n v="0"/>
    <n v="0"/>
    <n v="0"/>
    <n v="215675"/>
    <s v="Telecommunications"/>
    <x v="93"/>
    <s v="www.telekom.com"/>
    <x v="202"/>
    <x v="5"/>
    <n v="0.53734271525171595"/>
    <x v="169"/>
    <x v="201"/>
  </r>
  <r>
    <x v="6"/>
    <n v="443"/>
    <x v="63"/>
    <n v="24397.200000000001"/>
    <n v="5.8"/>
    <x v="243"/>
    <n v="18.600000000000001"/>
    <n v="46695.8"/>
    <x v="243"/>
    <n v="0"/>
    <n v="16.5"/>
    <n v="8.6"/>
    <n v="14.5"/>
    <n v="0"/>
    <n v="0"/>
    <n v="0"/>
    <n v="0"/>
    <n v="0"/>
    <n v="0"/>
    <n v="0"/>
    <n v="84183"/>
    <s v="Computer Software"/>
    <x v="92"/>
    <s v="www.sap.com"/>
    <x v="203"/>
    <x v="6"/>
    <n v="0.52247097169338597"/>
    <x v="132"/>
    <x v="202"/>
  </r>
  <r>
    <x v="6"/>
    <n v="77"/>
    <x v="38"/>
    <n v="80831.8"/>
    <n v="5.3"/>
    <x v="244"/>
    <n v="-18"/>
    <n v="156596.70000000001"/>
    <x v="244"/>
    <n v="0"/>
    <n v="3.7"/>
    <n v="1.9"/>
    <n v="9.6"/>
    <n v="0"/>
    <n v="0"/>
    <n v="0"/>
    <n v="0"/>
    <n v="0"/>
    <n v="0"/>
    <n v="0"/>
    <n v="221000"/>
    <s v="Telecommunications"/>
    <x v="93"/>
    <s v="www.telekom.com"/>
    <x v="204"/>
    <x v="6"/>
    <n v="0.51617818255429404"/>
    <x v="162"/>
    <x v="203"/>
  </r>
  <r>
    <x v="11"/>
    <n v="462"/>
    <x v="63"/>
    <n v="23065.200000000001"/>
    <n v="-1"/>
    <x v="245"/>
    <n v="-21.9"/>
    <n v="44957.8"/>
    <x v="245"/>
    <n v="0"/>
    <n v="14.7"/>
    <n v="7.6"/>
    <n v="13.4"/>
    <n v="0"/>
    <n v="0"/>
    <n v="0"/>
    <n v="0"/>
    <n v="0"/>
    <n v="0"/>
    <n v="0"/>
    <n v="76986"/>
    <s v="Computer Software"/>
    <x v="92"/>
    <s v="www.sap.com"/>
    <x v="205"/>
    <x v="11"/>
    <n v="0.51304111856007195"/>
    <x v="90"/>
    <x v="204"/>
  </r>
  <r>
    <x v="11"/>
    <n v="90"/>
    <x v="38"/>
    <n v="76793"/>
    <n v="-7.6"/>
    <x v="246"/>
    <n v="-6.9"/>
    <n v="156325.9"/>
    <x v="246"/>
    <n v="0"/>
    <n v="4.7"/>
    <n v="2.2999999999999998"/>
    <n v="11.3"/>
    <n v="0"/>
    <n v="0"/>
    <n v="0"/>
    <n v="0"/>
    <n v="0"/>
    <n v="0"/>
    <n v="0"/>
    <n v="226000"/>
    <s v="Telecommunications"/>
    <x v="93"/>
    <s v="www.telekom.com"/>
    <x v="206"/>
    <x v="11"/>
    <n v="0.49123657692039502"/>
    <x v="170"/>
    <x v="205"/>
  </r>
  <r>
    <x v="11"/>
    <n v="71"/>
    <x v="59"/>
    <n v="87660"/>
    <n v="-13.7"/>
    <x v="247"/>
    <n v="14.4"/>
    <n v="134320.29999999999"/>
    <x v="247"/>
    <n v="0"/>
    <n v="9.5"/>
    <n v="6.2"/>
    <n v="21.7"/>
    <n v="0"/>
    <n v="0"/>
    <n v="0"/>
    <n v="0"/>
    <n v="0"/>
    <n v="0"/>
    <n v="0"/>
    <n v="348000"/>
    <s v="Electronics, Electrical Equip."/>
    <x v="94"/>
    <s v="www.siemens.com"/>
    <x v="207"/>
    <x v="11"/>
    <n v="0.65261914989767"/>
    <x v="171"/>
    <x v="206"/>
  </r>
  <r>
    <x v="7"/>
    <n v="58"/>
    <x v="59"/>
    <n v="106124"/>
    <n v="-2.6"/>
    <x v="248"/>
    <n v="-2.8"/>
    <n v="137970.29999999999"/>
    <x v="248"/>
    <n v="0"/>
    <n v="5.3018999999999998"/>
    <n v="4.1018999999999997"/>
    <n v="14.8019"/>
    <n v="0"/>
    <n v="0"/>
    <n v="0"/>
    <n v="0"/>
    <n v="0"/>
    <n v="0"/>
    <n v="0"/>
    <n v="362000"/>
    <s v="Electronics, Electrical Equip."/>
    <x v="86"/>
    <s v="www.siemens.com"/>
    <x v="208"/>
    <x v="7"/>
    <n v="0.76918003367391397"/>
    <x v="9"/>
    <x v="207"/>
  </r>
  <r>
    <x v="9"/>
    <n v="443"/>
    <x v="63"/>
    <n v="24397.200000000001"/>
    <n v="5.8"/>
    <x v="243"/>
    <n v="18.600000000000001"/>
    <n v="46695.8"/>
    <x v="243"/>
    <n v="0"/>
    <n v="16.5"/>
    <n v="8.6"/>
    <n v="14.5"/>
    <n v="0"/>
    <n v="0"/>
    <n v="0"/>
    <n v="0"/>
    <n v="0"/>
    <n v="0"/>
    <n v="0"/>
    <n v="84183"/>
    <s v="Computer Software"/>
    <x v="95"/>
    <s v="www.sap.com"/>
    <x v="203"/>
    <x v="9"/>
    <n v="0.52247097169338597"/>
    <x v="132"/>
    <x v="202"/>
  </r>
  <r>
    <x v="9"/>
    <n v="77"/>
    <x v="38"/>
    <n v="80831.8"/>
    <n v="5.3"/>
    <x v="244"/>
    <n v="-18"/>
    <n v="156596.70000000001"/>
    <x v="244"/>
    <n v="0"/>
    <n v="3.7"/>
    <n v="1.9"/>
    <n v="9.6"/>
    <n v="0"/>
    <n v="0"/>
    <n v="0"/>
    <n v="0"/>
    <n v="0"/>
    <n v="0"/>
    <n v="0"/>
    <n v="221000"/>
    <s v="Telecommunications"/>
    <x v="53"/>
    <s v="www.telekom.com"/>
    <x v="204"/>
    <x v="9"/>
    <n v="0.51617818255429404"/>
    <x v="162"/>
    <x v="203"/>
  </r>
  <r>
    <x v="0"/>
    <n v="302"/>
    <x v="29"/>
    <n v="47550.400000000001"/>
    <n v="-10.199999999999999"/>
    <x v="249"/>
    <n v="407.9"/>
    <n v="169051.3"/>
    <x v="249"/>
    <n v="0"/>
    <n v="25.9"/>
    <n v="7.3"/>
    <n v="17.899999999999999"/>
    <n v="0"/>
    <n v="0"/>
    <n v="0"/>
    <n v="0"/>
    <n v="0"/>
    <n v="0"/>
    <n v="0"/>
    <n v="98103"/>
    <s v="Telecommunications"/>
    <x v="43"/>
    <s v="www.vodafone.com"/>
    <x v="209"/>
    <x v="0"/>
    <n v="0.281277931610109"/>
    <x v="172"/>
    <x v="208"/>
  </r>
  <r>
    <x v="1"/>
    <n v="247"/>
    <x v="29"/>
    <n v="52931.7"/>
    <n v="3.7"/>
    <x v="250"/>
    <n v="1757.7"/>
    <n v="170749.3"/>
    <x v="250"/>
    <n v="0"/>
    <n v="4.5999999999999996"/>
    <n v="1.4"/>
    <n v="4"/>
    <n v="0"/>
    <n v="0"/>
    <n v="0"/>
    <n v="0"/>
    <n v="0"/>
    <n v="0"/>
    <n v="0"/>
    <n v="96941"/>
    <s v="Telecommunications"/>
    <x v="43"/>
    <s v="www.vodafone.com"/>
    <x v="210"/>
    <x v="1"/>
    <n v="0.30999658563754001"/>
    <x v="173"/>
    <x v="209"/>
  </r>
  <r>
    <x v="2"/>
    <n v="436"/>
    <x v="52"/>
    <n v="27863.3"/>
    <n v="-4.2"/>
    <x v="251"/>
    <n v="-12.7"/>
    <n v="70169.600000000006"/>
    <x v="251"/>
    <n v="0"/>
    <n v="6.9"/>
    <n v="2.7"/>
    <n v="11.9"/>
    <n v="0"/>
    <n v="0"/>
    <n v="0"/>
    <n v="0"/>
    <n v="0"/>
    <n v="0"/>
    <n v="0"/>
    <n v="99700"/>
    <s v="Telecommunications"/>
    <x v="96"/>
    <s v="www,bt.com"/>
    <x v="211"/>
    <x v="2"/>
    <n v="0.39708506247719799"/>
    <x v="174"/>
    <x v="210"/>
  </r>
  <r>
    <x v="3"/>
    <n v="405"/>
    <x v="52"/>
    <n v="30743"/>
    <n v="-2.2000000000000002"/>
    <x v="252"/>
    <n v="5.2"/>
    <n v="60302.7"/>
    <x v="252"/>
    <n v="0"/>
    <n v="9.1999999999999993"/>
    <n v="4.7"/>
    <n v="21.4"/>
    <n v="0"/>
    <n v="0"/>
    <n v="0"/>
    <n v="0"/>
    <n v="0"/>
    <n v="0"/>
    <n v="0"/>
    <n v="106700"/>
    <s v="Telecommunications"/>
    <x v="97"/>
    <s v="www,btplc.com"/>
    <x v="212"/>
    <x v="3"/>
    <n v="0.50981133514751398"/>
    <x v="175"/>
    <x v="211"/>
  </r>
  <r>
    <x v="3"/>
    <n v="217"/>
    <x v="29"/>
    <n v="50532.4"/>
    <n v="-15.6"/>
    <x v="253"/>
    <n v="-425.7"/>
    <n v="160391.20000000001"/>
    <x v="253"/>
    <n v="0"/>
    <n v="-18.399999999999999"/>
    <n v="-5.8"/>
    <n v="-13.3"/>
    <n v="0"/>
    <n v="0"/>
    <n v="0"/>
    <n v="0"/>
    <n v="0"/>
    <n v="0"/>
    <n v="0"/>
    <n v="98996"/>
    <s v="Telecommunications"/>
    <x v="43"/>
    <s v="www.vodafone.com"/>
    <x v="213"/>
    <x v="3"/>
    <n v="0.31505718518222903"/>
    <x v="176"/>
    <x v="212"/>
  </r>
  <r>
    <x v="4"/>
    <n v="405"/>
    <x v="52"/>
    <n v="30743"/>
    <n v="-2.2000000000000002"/>
    <x v="252"/>
    <n v="5.2"/>
    <n v="60302.7"/>
    <x v="252"/>
    <n v="0"/>
    <n v="9.1999999999999993"/>
    <n v="4.7"/>
    <n v="21.4"/>
    <n v="0"/>
    <n v="0"/>
    <n v="0"/>
    <n v="0"/>
    <n v="0"/>
    <n v="0"/>
    <n v="0"/>
    <n v="106700"/>
    <s v="Telecommunications"/>
    <x v="97"/>
    <s v="www,btplc.com"/>
    <x v="212"/>
    <x v="4"/>
    <n v="0.50981133514751398"/>
    <x v="175"/>
    <x v="211"/>
  </r>
  <r>
    <x v="4"/>
    <n v="217"/>
    <x v="29"/>
    <n v="50532.4"/>
    <n v="-15.6"/>
    <x v="253"/>
    <n v="-425.7"/>
    <n v="160391.20000000001"/>
    <x v="253"/>
    <n v="0"/>
    <n v="-18.399999999999999"/>
    <n v="-5.8"/>
    <n v="-13.3"/>
    <n v="0"/>
    <n v="0"/>
    <n v="0"/>
    <n v="0"/>
    <n v="0"/>
    <n v="0"/>
    <n v="0"/>
    <n v="98996"/>
    <s v="Telecommunications"/>
    <x v="43"/>
    <s v="www.vodafone.com"/>
    <x v="213"/>
    <x v="4"/>
    <n v="0.31505718518222903"/>
    <x v="176"/>
    <x v="212"/>
  </r>
  <r>
    <x v="5"/>
    <n v="405"/>
    <x v="52"/>
    <n v="30743"/>
    <n v="-2.2000000000000002"/>
    <x v="252"/>
    <n v="5.2"/>
    <n v="60302.7"/>
    <x v="252"/>
    <n v="0"/>
    <n v="9.1999999999999993"/>
    <n v="4.7"/>
    <n v="21.4"/>
    <n v="0"/>
    <n v="0"/>
    <n v="0"/>
    <n v="0"/>
    <n v="0"/>
    <n v="0"/>
    <n v="0"/>
    <n v="106700"/>
    <s v="Telecommunications"/>
    <x v="97"/>
    <s v="www,btplc.com"/>
    <x v="212"/>
    <x v="5"/>
    <n v="0.50981133514751398"/>
    <x v="175"/>
    <x v="211"/>
  </r>
  <r>
    <x v="5"/>
    <n v="217"/>
    <x v="29"/>
    <n v="50532.4"/>
    <n v="-15.6"/>
    <x v="253"/>
    <n v="-425.7"/>
    <n v="160391.20000000001"/>
    <x v="253"/>
    <n v="0"/>
    <n v="-18.399999999999999"/>
    <n v="-5.8"/>
    <n v="-13.3"/>
    <n v="0"/>
    <n v="0"/>
    <n v="0"/>
    <n v="0"/>
    <n v="0"/>
    <n v="0"/>
    <n v="0"/>
    <n v="98996"/>
    <s v="Telecommunications"/>
    <x v="43"/>
    <s v="www.vodafone.com"/>
    <x v="213"/>
    <x v="5"/>
    <n v="0.31505718518222903"/>
    <x v="176"/>
    <x v="212"/>
  </r>
  <r>
    <x v="6"/>
    <n v="346"/>
    <x v="52"/>
    <n v="31333.4"/>
    <n v="9.3000000000000007"/>
    <x v="254"/>
    <n v="-36.200000000000003"/>
    <n v="52971.6"/>
    <x v="254"/>
    <n v="0"/>
    <n v="7.9"/>
    <n v="4.7"/>
    <n v="23.8"/>
    <n v="0"/>
    <n v="0"/>
    <n v="0"/>
    <n v="0"/>
    <n v="0"/>
    <n v="0"/>
    <n v="0"/>
    <n v="106400"/>
    <s v="Telecommunications"/>
    <x v="97"/>
    <s v="www.btplc.com"/>
    <x v="214"/>
    <x v="6"/>
    <n v="0.59151318819895904"/>
    <x v="177"/>
    <x v="213"/>
  </r>
  <r>
    <x v="11"/>
    <n v="369"/>
    <x v="52"/>
    <n v="28670.2"/>
    <n v="-0.9"/>
    <x v="255"/>
    <n v="13.4"/>
    <n v="61208.9"/>
    <x v="255"/>
    <n v="0"/>
    <n v="13.6"/>
    <n v="6.4"/>
    <n v="26.1"/>
    <n v="0"/>
    <n v="0"/>
    <n v="0"/>
    <n v="0"/>
    <n v="0"/>
    <n v="0"/>
    <n v="0"/>
    <n v="102500"/>
    <s v="Telecommunications"/>
    <x v="97"/>
    <s v="www.bt.com"/>
    <x v="215"/>
    <x v="11"/>
    <n v="0.46839920338382202"/>
    <x v="78"/>
    <x v="214"/>
  </r>
  <r>
    <x v="11"/>
    <n v="133"/>
    <x v="29"/>
    <n v="61690.3"/>
    <n v="-9.1999999999999993"/>
    <x v="256"/>
    <n v="-165.4"/>
    <n v="192158.9"/>
    <x v="256"/>
    <n v="0"/>
    <n v="-9.8000000000000007"/>
    <n v="-3.2"/>
    <n v="-6.4"/>
    <n v="0"/>
    <n v="0"/>
    <n v="0"/>
    <n v="0"/>
    <n v="0"/>
    <n v="0"/>
    <n v="0"/>
    <n v="111684"/>
    <s v="Telecommunications"/>
    <x v="43"/>
    <s v="www.vodafone.com"/>
    <x v="216"/>
    <x v="11"/>
    <n v="0.32103795348537101"/>
    <x v="178"/>
    <x v="215"/>
  </r>
  <r>
    <x v="7"/>
    <n v="141"/>
    <x v="29"/>
    <n v="65986.5"/>
    <n v="-6"/>
    <x v="257"/>
    <n v="13794.5"/>
    <n v="203095.1"/>
    <x v="257"/>
    <n v="0"/>
    <n v="142.70189999999999"/>
    <n v="46.301900000000003"/>
    <n v="79.801900000000003"/>
    <n v="0"/>
    <n v="0"/>
    <n v="0"/>
    <n v="0"/>
    <n v="0"/>
    <n v="0"/>
    <n v="0"/>
    <n v="89146"/>
    <s v="Telecommunications"/>
    <x v="62"/>
    <s v="www.vodafone.com"/>
    <x v="217"/>
    <x v="7"/>
    <n v="0.32490444131837698"/>
    <x v="179"/>
    <x v="216"/>
  </r>
  <r>
    <x v="9"/>
    <n v="346"/>
    <x v="52"/>
    <n v="31333.4"/>
    <n v="9.3000000000000007"/>
    <x v="254"/>
    <n v="-36.200000000000003"/>
    <n v="52971.6"/>
    <x v="254"/>
    <n v="0"/>
    <n v="7.9"/>
    <n v="4.7"/>
    <n v="23.8"/>
    <n v="0"/>
    <n v="0"/>
    <n v="0"/>
    <n v="0"/>
    <n v="0"/>
    <n v="0"/>
    <n v="0"/>
    <n v="106400"/>
    <s v="Telecommunications"/>
    <x v="79"/>
    <s v="www.btplc.com"/>
    <x v="214"/>
    <x v="9"/>
    <n v="0.59151318819895904"/>
    <x v="177"/>
    <x v="213"/>
  </r>
  <r>
    <x v="0"/>
    <n v="419"/>
    <x v="64"/>
    <n v="36200.699999999997"/>
    <n v="2.6"/>
    <x v="258"/>
    <n v="8"/>
    <n v="34193.9"/>
    <x v="258"/>
    <n v="0"/>
    <n v="6"/>
    <n v="6.4"/>
    <n v="16.100000000000001"/>
    <n v="0"/>
    <n v="0"/>
    <n v="0"/>
    <n v="0"/>
    <n v="0"/>
    <n v="0"/>
    <n v="0"/>
    <n v="109586"/>
    <s v="Electronics, Electrical Equip."/>
    <x v="98"/>
    <s v="https://smart-home.haier.com/"/>
    <x v="218"/>
    <x v="0"/>
    <n v="1.0586888304639099"/>
    <x v="74"/>
    <x v="217"/>
  </r>
  <r>
    <x v="0"/>
    <n v="360"/>
    <x v="30"/>
    <n v="41631.300000000003"/>
    <n v="-18.2"/>
    <x v="259"/>
    <n v="-87.7"/>
    <n v="39654.800000000003"/>
    <x v="259"/>
    <n v="0"/>
    <n v="0.9"/>
    <n v="0.9"/>
    <n v="1.8"/>
    <n v="0"/>
    <n v="0"/>
    <n v="0"/>
    <n v="0"/>
    <n v="0"/>
    <n v="0"/>
    <n v="0"/>
    <n v="32543"/>
    <s v="Electronics, Electrical Equip."/>
    <x v="44"/>
    <s v="www.mi.com/global"/>
    <x v="219"/>
    <x v="0"/>
    <n v="1.0498426420004601"/>
    <x v="180"/>
    <x v="218"/>
  </r>
  <r>
    <x v="0"/>
    <n v="217"/>
    <x v="31"/>
    <n v="61946.9"/>
    <n v="-13.5"/>
    <x v="260"/>
    <n v="-20.8"/>
    <n v="38920.1"/>
    <x v="260"/>
    <n v="0"/>
    <n v="2.6"/>
    <n v="4.0999999999999996"/>
    <n v="28.8"/>
    <n v="0"/>
    <n v="0"/>
    <n v="0"/>
    <n v="0"/>
    <n v="0"/>
    <n v="0"/>
    <n v="0"/>
    <n v="77000"/>
    <s v="Computers, Office Equipment"/>
    <x v="45"/>
    <s v="www.lenovo.com"/>
    <x v="220"/>
    <x v="0"/>
    <n v="1.59164287861542"/>
    <x v="181"/>
    <x v="219"/>
  </r>
  <r>
    <x v="0"/>
    <n v="147"/>
    <x v="65"/>
    <n v="82439.600000000006"/>
    <n v="-5.0999999999999996"/>
    <x v="261"/>
    <n v="-19.7"/>
    <n v="228807.5"/>
    <x v="261"/>
    <n v="0"/>
    <n v="33.9"/>
    <n v="12.2"/>
    <n v="26.8"/>
    <n v="0"/>
    <n v="0"/>
    <n v="0"/>
    <n v="0"/>
    <n v="0"/>
    <n v="0"/>
    <n v="0"/>
    <n v="108436"/>
    <s v="Internet Services and Retailing"/>
    <x v="99"/>
    <s v="www.tencent.com"/>
    <x v="221"/>
    <x v="0"/>
    <n v="0.360301126492794"/>
    <x v="182"/>
    <x v="220"/>
  </r>
  <r>
    <x v="0"/>
    <n v="68"/>
    <x v="66"/>
    <n v="126812.5"/>
    <n v="-4.5999999999999996"/>
    <x v="262"/>
    <n v="9.5"/>
    <n v="255263"/>
    <x v="262"/>
    <n v="0"/>
    <n v="8.4"/>
    <n v="4.2"/>
    <n v="7.4"/>
    <n v="0"/>
    <n v="0"/>
    <n v="0"/>
    <n v="0"/>
    <n v="0"/>
    <n v="0"/>
    <n v="0"/>
    <n v="235216"/>
    <s v="Internet Services and Retailing"/>
    <x v="100"/>
    <s v="www.alibabagroup.com"/>
    <x v="222"/>
    <x v="0"/>
    <n v="0.49679154440714102"/>
    <x v="130"/>
    <x v="221"/>
  </r>
  <r>
    <x v="1"/>
    <n v="46"/>
    <x v="27"/>
    <n v="147526.20000000001"/>
    <n v="36.5"/>
    <x v="263"/>
    <n v="-107.7"/>
    <n v="78164.2"/>
    <x v="263"/>
    <n v="0"/>
    <n v="-0.4"/>
    <n v="-0.7"/>
    <n v="-1.7"/>
    <n v="0"/>
    <n v="0"/>
    <n v="0"/>
    <n v="0"/>
    <n v="0"/>
    <n v="0"/>
    <n v="0"/>
    <n v="385357"/>
    <s v="Internet Services and Retailing"/>
    <x v="41"/>
    <s v="www.jd.com"/>
    <x v="223"/>
    <x v="1"/>
    <n v="1.8873883440245001"/>
    <x v="183"/>
    <x v="222"/>
  </r>
  <r>
    <x v="1"/>
    <n v="405"/>
    <x v="64"/>
    <n v="35278.199999999997"/>
    <n v="16.100000000000001"/>
    <x v="264"/>
    <n v="57.5"/>
    <n v="34234.300000000003"/>
    <x v="264"/>
    <n v="0"/>
    <n v="5.7"/>
    <n v="5.9"/>
    <n v="16.100000000000001"/>
    <n v="0"/>
    <n v="0"/>
    <n v="0"/>
    <n v="0"/>
    <n v="0"/>
    <n v="0"/>
    <n v="0"/>
    <n v="104874"/>
    <s v="Electronics, Electrical Equip."/>
    <x v="98"/>
    <s v="www.haier.net/en"/>
    <x v="224"/>
    <x v="1"/>
    <n v="1.0304928098427599"/>
    <x v="74"/>
    <x v="223"/>
  </r>
  <r>
    <x v="1"/>
    <n v="171"/>
    <x v="31"/>
    <n v="71618.2"/>
    <n v="17.899999999999999"/>
    <x v="265"/>
    <n v="72.3"/>
    <n v="44510.400000000001"/>
    <x v="265"/>
    <n v="0"/>
    <n v="2.8"/>
    <n v="4.5999999999999996"/>
    <n v="40.700000000000003"/>
    <n v="0"/>
    <n v="0"/>
    <n v="0"/>
    <n v="0"/>
    <n v="0"/>
    <n v="0"/>
    <n v="0"/>
    <n v="75000"/>
    <s v="Computers, Office Equipment"/>
    <x v="45"/>
    <s v="www.lenovo.com"/>
    <x v="225"/>
    <x v="1"/>
    <n v="1.6090217117797201"/>
    <x v="184"/>
    <x v="224"/>
  </r>
  <r>
    <x v="1"/>
    <n v="266"/>
    <x v="30"/>
    <n v="50898.1"/>
    <n v="42.8"/>
    <x v="266"/>
    <n v="1.6"/>
    <n v="46109.5"/>
    <x v="266"/>
    <n v="0"/>
    <n v="5.9"/>
    <n v="6.5"/>
    <n v="13.9"/>
    <n v="0"/>
    <n v="0"/>
    <n v="0"/>
    <n v="0"/>
    <n v="0"/>
    <n v="0"/>
    <n v="0"/>
    <n v="33427"/>
    <s v="Electronics, Electrical Equip."/>
    <x v="44"/>
    <s v="www.mi.com/global"/>
    <x v="226"/>
    <x v="1"/>
    <n v="1.1038527852177999"/>
    <x v="127"/>
    <x v="225"/>
  </r>
  <r>
    <x v="1"/>
    <n v="55"/>
    <x v="66"/>
    <n v="132935.70000000001"/>
    <n v="25.6"/>
    <x v="267"/>
    <n v="-56.4"/>
    <n v="267466.90000000002"/>
    <x v="267"/>
    <n v="0"/>
    <n v="7.3"/>
    <n v="3.6"/>
    <n v="6.5"/>
    <n v="0"/>
    <n v="0"/>
    <n v="0"/>
    <n v="0"/>
    <n v="0"/>
    <n v="0"/>
    <n v="0"/>
    <n v="254941"/>
    <s v="Internet Services and Retailing"/>
    <x v="100"/>
    <s v="www.alibabagroup.com"/>
    <x v="227"/>
    <x v="1"/>
    <n v="0.49701738794594802"/>
    <x v="124"/>
    <x v="226"/>
  </r>
  <r>
    <x v="1"/>
    <n v="121"/>
    <x v="65"/>
    <n v="86835.6"/>
    <n v="24.3"/>
    <x v="268"/>
    <n v="50.5"/>
    <n v="253831.6"/>
    <x v="268"/>
    <n v="0"/>
    <n v="40.1"/>
    <n v="13.7"/>
    <n v="27.5"/>
    <n v="0"/>
    <n v="0"/>
    <n v="0"/>
    <n v="0"/>
    <n v="0"/>
    <n v="0"/>
    <n v="0"/>
    <n v="112771"/>
    <s v="Internet Services and Retailing"/>
    <x v="99"/>
    <s v="www.tencent.com"/>
    <x v="228"/>
    <x v="1"/>
    <n v="0.34209925005397301"/>
    <x v="185"/>
    <x v="227"/>
  </r>
  <r>
    <x v="2"/>
    <n v="405"/>
    <x v="64"/>
    <n v="30395"/>
    <n v="4.5999999999999996"/>
    <x v="269"/>
    <n v="8.3000000000000007"/>
    <n v="31181.5"/>
    <x v="269"/>
    <n v="0"/>
    <n v="4.2"/>
    <n v="4.0999999999999996"/>
    <n v="12.6"/>
    <n v="0"/>
    <n v="0"/>
    <n v="0"/>
    <n v="0"/>
    <n v="0"/>
    <n v="0"/>
    <n v="0"/>
    <n v="99299"/>
    <s v="Electronics, Electrical Equip."/>
    <x v="101"/>
    <s v="www.haier.net/en"/>
    <x v="229"/>
    <x v="2"/>
    <n v="0.97477671054952497"/>
    <x v="140"/>
    <x v="228"/>
  </r>
  <r>
    <x v="2"/>
    <n v="338"/>
    <x v="30"/>
    <n v="35632.6"/>
    <n v="19.600000000000001"/>
    <x v="270"/>
    <n v="102.9"/>
    <n v="38878.1"/>
    <x v="270"/>
    <n v="0"/>
    <n v="8.3000000000000007"/>
    <n v="7.6"/>
    <n v="15.6"/>
    <n v="0"/>
    <n v="0"/>
    <n v="0"/>
    <n v="0"/>
    <n v="0"/>
    <n v="0"/>
    <n v="0"/>
    <n v="22074"/>
    <s v="Internet Services and Retailing"/>
    <x v="102"/>
    <s v="www.mi.com/global"/>
    <x v="230"/>
    <x v="2"/>
    <n v="0.91652112628960802"/>
    <x v="79"/>
    <x v="229"/>
  </r>
  <r>
    <x v="2"/>
    <n v="159"/>
    <x v="31"/>
    <n v="60742.3"/>
    <n v="19.8"/>
    <x v="271"/>
    <n v="77.2"/>
    <n v="37990.6"/>
    <x v="271"/>
    <n v="0"/>
    <n v="1.9"/>
    <n v="3.1"/>
    <n v="33.1"/>
    <n v="0"/>
    <n v="0"/>
    <n v="0"/>
    <n v="0"/>
    <n v="0"/>
    <n v="0"/>
    <n v="0"/>
    <n v="71500"/>
    <s v="Computers, Office Equipment"/>
    <x v="45"/>
    <s v="www.lenovo.com"/>
    <x v="231"/>
    <x v="2"/>
    <n v="1.59887709064874"/>
    <x v="15"/>
    <x v="230"/>
  </r>
  <r>
    <x v="2"/>
    <n v="132"/>
    <x v="65"/>
    <n v="69864.2"/>
    <n v="27.9"/>
    <x v="272"/>
    <n v="71.5"/>
    <n v="204356.3"/>
    <x v="272"/>
    <n v="0"/>
    <n v="33.200000000000003"/>
    <n v="11.3"/>
    <n v="21.5"/>
    <n v="0"/>
    <n v="0"/>
    <n v="0"/>
    <n v="0"/>
    <n v="0"/>
    <n v="0"/>
    <n v="0"/>
    <n v="85858"/>
    <s v="Internet Services and Retailing"/>
    <x v="99"/>
    <s v="www.tencent.com"/>
    <x v="232"/>
    <x v="2"/>
    <n v="0.341874461418611"/>
    <x v="186"/>
    <x v="231"/>
  </r>
  <r>
    <x v="2"/>
    <n v="63"/>
    <x v="66"/>
    <n v="105865.7"/>
    <n v="44.7"/>
    <x v="273"/>
    <n v="3.6"/>
    <n v="257977.7"/>
    <x v="273"/>
    <n v="0"/>
    <n v="21"/>
    <n v="8.6"/>
    <n v="15.5"/>
    <n v="0"/>
    <n v="0"/>
    <n v="0"/>
    <n v="0"/>
    <n v="0"/>
    <n v="0"/>
    <n v="0"/>
    <n v="251462"/>
    <s v="Internet Services and Retailing"/>
    <x v="100"/>
    <s v="www.alibabagroup.com"/>
    <x v="233"/>
    <x v="2"/>
    <n v="0.41036764030379402"/>
    <x v="187"/>
    <x v="232"/>
  </r>
  <r>
    <x v="2"/>
    <n v="59"/>
    <x v="27"/>
    <n v="108087"/>
    <n v="29.4"/>
    <x v="274"/>
    <n v="306"/>
    <n v="64718.400000000001"/>
    <x v="274"/>
    <n v="0"/>
    <n v="6.6"/>
    <n v="11.1"/>
    <n v="24.9"/>
    <n v="0"/>
    <n v="0"/>
    <n v="0"/>
    <n v="0"/>
    <n v="0"/>
    <n v="0"/>
    <n v="0"/>
    <n v="314906"/>
    <s v="Internet Services and Retailing"/>
    <x v="41"/>
    <s v="www.jd.com"/>
    <x v="234"/>
    <x v="2"/>
    <n v="1.6701123637172699"/>
    <x v="188"/>
    <x v="233"/>
  </r>
  <r>
    <x v="3"/>
    <n v="237"/>
    <x v="65"/>
    <n v="47272.7"/>
    <n v="34.4"/>
    <x v="275"/>
    <n v="12.5"/>
    <n v="105382"/>
    <x v="275"/>
    <n v="0"/>
    <n v="25.2"/>
    <n v="11.3"/>
    <n v="25.3"/>
    <n v="0"/>
    <n v="0"/>
    <n v="0"/>
    <n v="0"/>
    <n v="0"/>
    <n v="0"/>
    <n v="0"/>
    <n v="54309"/>
    <s v="Internet Services and Retailing"/>
    <x v="99"/>
    <s v="www.tencent.com"/>
    <x v="235"/>
    <x v="3"/>
    <n v="0.448584198439961"/>
    <x v="189"/>
    <x v="234"/>
  </r>
  <r>
    <x v="3"/>
    <n v="182"/>
    <x v="66"/>
    <n v="56147.199999999997"/>
    <n v="48.7"/>
    <x v="276"/>
    <n v="35.4"/>
    <n v="143608.20000000001"/>
    <x v="276"/>
    <n v="0"/>
    <n v="23.3"/>
    <n v="9.1"/>
    <n v="17.899999999999999"/>
    <n v="0"/>
    <n v="0"/>
    <n v="0"/>
    <n v="0"/>
    <n v="0"/>
    <n v="0"/>
    <n v="0"/>
    <n v="101958"/>
    <s v="Internet Services and Retailing"/>
    <x v="100"/>
    <s v="www.alibabagroup.com"/>
    <x v="236"/>
    <x v="3"/>
    <n v="0.39097488862056601"/>
    <x v="172"/>
    <x v="235"/>
  </r>
  <r>
    <x v="4"/>
    <n v="237"/>
    <x v="65"/>
    <n v="47272.7"/>
    <n v="34.4"/>
    <x v="275"/>
    <n v="12.5"/>
    <n v="105382"/>
    <x v="275"/>
    <n v="0"/>
    <n v="25.2"/>
    <n v="11.3"/>
    <n v="25.3"/>
    <n v="0"/>
    <n v="0"/>
    <n v="0"/>
    <n v="0"/>
    <n v="0"/>
    <n v="0"/>
    <n v="0"/>
    <n v="54309"/>
    <s v="Internet Services and Retailing"/>
    <x v="99"/>
    <s v="www.tencent.com"/>
    <x v="235"/>
    <x v="4"/>
    <n v="0.448584198439961"/>
    <x v="189"/>
    <x v="234"/>
  </r>
  <r>
    <x v="4"/>
    <n v="182"/>
    <x v="66"/>
    <n v="56147.199999999997"/>
    <n v="48.7"/>
    <x v="276"/>
    <n v="35.4"/>
    <n v="143608.20000000001"/>
    <x v="276"/>
    <n v="0"/>
    <n v="23.3"/>
    <n v="9.1"/>
    <n v="17.899999999999999"/>
    <n v="0"/>
    <n v="0"/>
    <n v="0"/>
    <n v="0"/>
    <n v="0"/>
    <n v="0"/>
    <n v="0"/>
    <n v="101958"/>
    <s v="Internet Services and Retailing"/>
    <x v="100"/>
    <s v="www.alibabagroup.com"/>
    <x v="236"/>
    <x v="4"/>
    <n v="0.39097488862056601"/>
    <x v="172"/>
    <x v="235"/>
  </r>
  <r>
    <x v="5"/>
    <n v="237"/>
    <x v="65"/>
    <n v="47272.7"/>
    <n v="34.4"/>
    <x v="275"/>
    <n v="12.5"/>
    <n v="105382"/>
    <x v="275"/>
    <n v="0"/>
    <n v="25.2"/>
    <n v="11.3"/>
    <n v="25.3"/>
    <n v="0"/>
    <n v="0"/>
    <n v="0"/>
    <n v="0"/>
    <n v="0"/>
    <n v="0"/>
    <n v="0"/>
    <n v="54309"/>
    <s v="Internet Services and Retailing"/>
    <x v="99"/>
    <s v="www.tencent.com"/>
    <x v="235"/>
    <x v="5"/>
    <n v="0.448584198439961"/>
    <x v="189"/>
    <x v="234"/>
  </r>
  <r>
    <x v="5"/>
    <n v="182"/>
    <x v="66"/>
    <n v="56147.199999999997"/>
    <n v="48.7"/>
    <x v="276"/>
    <n v="35.4"/>
    <n v="143608.20000000001"/>
    <x v="276"/>
    <n v="0"/>
    <n v="23.3"/>
    <n v="9.1"/>
    <n v="17.899999999999999"/>
    <n v="0"/>
    <n v="0"/>
    <n v="0"/>
    <n v="0"/>
    <n v="0"/>
    <n v="0"/>
    <n v="0"/>
    <n v="101958"/>
    <s v="Internet Services and Retailing"/>
    <x v="100"/>
    <s v="www.alibabagroup.com"/>
    <x v="236"/>
    <x v="5"/>
    <n v="0.39097488862056601"/>
    <x v="172"/>
    <x v="235"/>
  </r>
  <r>
    <x v="6"/>
    <n v="478"/>
    <x v="65"/>
    <n v="22870.7"/>
    <n v="39.700000000000003"/>
    <x v="277"/>
    <n v="35"/>
    <n v="56968"/>
    <x v="277"/>
    <n v="0"/>
    <n v="27"/>
    <n v="10.9"/>
    <n v="24.6"/>
    <n v="0"/>
    <n v="0"/>
    <n v="0"/>
    <n v="0"/>
    <n v="0"/>
    <n v="0"/>
    <n v="0"/>
    <n v="38775"/>
    <s v="Internet Services and Retailing"/>
    <x v="99"/>
    <s v="www.tencent.com"/>
    <x v="237"/>
    <x v="6"/>
    <n v="0.40146573514955802"/>
    <x v="190"/>
    <x v="236"/>
  </r>
  <r>
    <x v="6"/>
    <n v="462"/>
    <x v="66"/>
    <n v="23517.3"/>
    <n v="47.9"/>
    <x v="278"/>
    <n v="-42.2"/>
    <n v="73538.399999999994"/>
    <x v="278"/>
    <n v="0"/>
    <n v="27.6"/>
    <n v="8.8000000000000007"/>
    <n v="16"/>
    <n v="0"/>
    <n v="0"/>
    <n v="0"/>
    <n v="0"/>
    <n v="0"/>
    <n v="0"/>
    <n v="0"/>
    <n v="50097"/>
    <s v="Internet Services and Retailing"/>
    <x v="100"/>
    <s v="www.alibabagroup.com"/>
    <x v="238"/>
    <x v="6"/>
    <n v="0.31979618811396499"/>
    <x v="191"/>
    <x v="237"/>
  </r>
  <r>
    <x v="6"/>
    <n v="450"/>
    <x v="67"/>
    <n v="24060.400000000001"/>
    <n v="8.5"/>
    <x v="279"/>
    <n v="9.3000000000000007"/>
    <n v="24548.6"/>
    <x v="279"/>
    <n v="0"/>
    <n v="9.1999999999999993"/>
    <n v="9"/>
    <n v="25.1"/>
    <n v="0"/>
    <n v="0"/>
    <n v="0"/>
    <n v="0"/>
    <n v="0"/>
    <n v="0"/>
    <n v="0"/>
    <n v="126418"/>
    <s v="Electronics, Electrical Equip."/>
    <x v="103"/>
    <s v="www.midea.com"/>
    <x v="239"/>
    <x v="6"/>
    <n v="0.98011291886299001"/>
    <x v="192"/>
    <x v="238"/>
  </r>
  <r>
    <x v="11"/>
    <n v="202"/>
    <x v="31"/>
    <n v="44912.1"/>
    <n v="-3"/>
    <x v="280"/>
    <n v="-115.5"/>
    <n v="24933.4"/>
    <x v="280"/>
    <n v="0"/>
    <n v="-0.3"/>
    <n v="-0.5"/>
    <n v="-4.3"/>
    <n v="0"/>
    <n v="0"/>
    <n v="0"/>
    <n v="0"/>
    <n v="0"/>
    <n v="0"/>
    <n v="0"/>
    <n v="60000"/>
    <s v="Computers, Office Equipment"/>
    <x v="45"/>
    <s v="www.lenovo.com"/>
    <x v="240"/>
    <x v="11"/>
    <n v="1.8012826168914"/>
    <x v="112"/>
    <x v="239"/>
  </r>
  <r>
    <x v="7"/>
    <n v="286"/>
    <x v="31"/>
    <n v="38707.1"/>
    <n v="14.3"/>
    <x v="281"/>
    <n v="28.7"/>
    <n v="18357.099999999999"/>
    <x v="281"/>
    <n v="0"/>
    <n v="2.1019000000000001"/>
    <n v="4.5019"/>
    <n v="27.101900000000001"/>
    <n v="0"/>
    <n v="0"/>
    <n v="0"/>
    <n v="0"/>
    <n v="0"/>
    <n v="0"/>
    <n v="0"/>
    <n v="54000"/>
    <s v="Computers, Office Equipment"/>
    <x v="61"/>
    <s v="www.lenovo.com"/>
    <x v="241"/>
    <x v="7"/>
    <n v="2.1085628993686401"/>
    <x v="193"/>
    <x v="240"/>
  </r>
  <r>
    <x v="9"/>
    <n v="478"/>
    <x v="65"/>
    <n v="22870.7"/>
    <n v="39.700000000000003"/>
    <x v="277"/>
    <n v="35"/>
    <n v="56968"/>
    <x v="277"/>
    <n v="0"/>
    <n v="27"/>
    <n v="10.9"/>
    <n v="24.6"/>
    <n v="0"/>
    <n v="0"/>
    <n v="0"/>
    <n v="0"/>
    <n v="0"/>
    <n v="0"/>
    <n v="0"/>
    <n v="38775"/>
    <s v="Internet Services and Retailing"/>
    <x v="104"/>
    <s v="www.tencent.com"/>
    <x v="237"/>
    <x v="9"/>
    <n v="0.40146573514955802"/>
    <x v="190"/>
    <x v="236"/>
  </r>
  <r>
    <x v="9"/>
    <n v="462"/>
    <x v="66"/>
    <n v="23517.3"/>
    <n v="47.9"/>
    <x v="278"/>
    <n v="-42.2"/>
    <n v="73538.399999999994"/>
    <x v="278"/>
    <n v="0"/>
    <n v="27.6"/>
    <n v="8.8000000000000007"/>
    <n v="16"/>
    <n v="0"/>
    <n v="0"/>
    <n v="0"/>
    <n v="0"/>
    <n v="0"/>
    <n v="0"/>
    <n v="0"/>
    <n v="50097"/>
    <s v="Internet Services and Retailing"/>
    <x v="105"/>
    <s v="www.alibabagroup.com"/>
    <x v="238"/>
    <x v="9"/>
    <n v="0.31979618811396499"/>
    <x v="191"/>
    <x v="237"/>
  </r>
  <r>
    <x v="9"/>
    <n v="450"/>
    <x v="67"/>
    <n v="24060.400000000001"/>
    <n v="8.5"/>
    <x v="279"/>
    <n v="9.3000000000000007"/>
    <n v="24548.6"/>
    <x v="279"/>
    <n v="0"/>
    <n v="9.1999999999999993"/>
    <n v="9"/>
    <n v="25.1"/>
    <n v="0"/>
    <n v="0"/>
    <n v="0"/>
    <n v="0"/>
    <n v="0"/>
    <n v="0"/>
    <n v="0"/>
    <n v="126418"/>
    <s v="Electronics, Electrical Equip."/>
    <x v="106"/>
    <s v="www.midea.com"/>
    <x v="239"/>
    <x v="9"/>
    <n v="0.98011291886299001"/>
    <x v="192"/>
    <x v="238"/>
  </r>
  <r>
    <x v="0"/>
    <n v="218"/>
    <x v="68"/>
    <n v="61902.6"/>
    <n v="-5.9"/>
    <x v="282"/>
    <n v="-13.7"/>
    <n v="60716.6"/>
    <x v="282"/>
    <n v="0"/>
    <n v="3.2"/>
    <n v="3.2"/>
    <n v="7.2"/>
    <n v="0"/>
    <n v="0"/>
    <n v="0"/>
    <n v="0"/>
    <n v="0"/>
    <n v="0"/>
    <n v="0"/>
    <n v="233391"/>
    <s v="Electronics, Electrical Equip."/>
    <x v="107"/>
    <s v="https://holdings.panasonic/global"/>
    <x v="242"/>
    <x v="0"/>
    <n v="1.01953337308084"/>
    <x v="169"/>
    <x v="241"/>
  </r>
  <r>
    <x v="1"/>
    <n v="193"/>
    <x v="68"/>
    <n v="65774.399999999994"/>
    <n v="4.0999999999999996"/>
    <x v="283"/>
    <n v="46"/>
    <n v="66086.7"/>
    <x v="283"/>
    <n v="0"/>
    <n v="3.5"/>
    <n v="3.4"/>
    <n v="8.6999999999999993"/>
    <n v="0"/>
    <n v="0"/>
    <n v="0"/>
    <n v="0"/>
    <n v="0"/>
    <n v="0"/>
    <n v="0"/>
    <n v="240198"/>
    <s v="Electronics, Electrical Equip."/>
    <x v="107"/>
    <s v="https://holdings.panasonic/global"/>
    <x v="243"/>
    <x v="1"/>
    <n v="0.99527438955190695"/>
    <x v="194"/>
    <x v="242"/>
  </r>
  <r>
    <x v="2"/>
    <n v="154"/>
    <x v="37"/>
    <n v="63191.3"/>
    <n v="-8.3000000000000007"/>
    <x v="284"/>
    <n v="-25"/>
    <n v="61908.4"/>
    <x v="284"/>
    <n v="0"/>
    <n v="2.5"/>
    <n v="2.5"/>
    <n v="6.6"/>
    <n v="0"/>
    <n v="0"/>
    <n v="0"/>
    <n v="0"/>
    <n v="0"/>
    <n v="0"/>
    <n v="0"/>
    <n v="243540"/>
    <s v="Electronics, Electrical Equip."/>
    <x v="107"/>
    <s v="www.panasonic.com/global"/>
    <x v="244"/>
    <x v="2"/>
    <n v="1.0207225513823699"/>
    <x v="56"/>
    <x v="243"/>
  </r>
  <r>
    <x v="3"/>
    <n v="131"/>
    <x v="37"/>
    <n v="72178.399999999994"/>
    <n v="0.2"/>
    <x v="285"/>
    <n v="20.3"/>
    <n v="54341.1"/>
    <x v="285"/>
    <n v="0"/>
    <n v="3.6"/>
    <n v="4.7"/>
    <n v="14.8"/>
    <n v="0"/>
    <n v="0"/>
    <n v="0"/>
    <n v="0"/>
    <n v="0"/>
    <n v="0"/>
    <n v="0"/>
    <n v="271869"/>
    <s v="Electronics, Electrical Equip."/>
    <x v="107"/>
    <s v="www.panasonic.com/global"/>
    <x v="245"/>
    <x v="3"/>
    <n v="1.3282469438417699"/>
    <x v="9"/>
    <x v="244"/>
  </r>
  <r>
    <x v="4"/>
    <n v="131"/>
    <x v="37"/>
    <n v="72178.399999999994"/>
    <n v="0.2"/>
    <x v="285"/>
    <n v="20.3"/>
    <n v="54341.1"/>
    <x v="285"/>
    <n v="0"/>
    <n v="3.6"/>
    <n v="4.7"/>
    <n v="14.8"/>
    <n v="0"/>
    <n v="0"/>
    <n v="0"/>
    <n v="0"/>
    <n v="0"/>
    <n v="0"/>
    <n v="0"/>
    <n v="271869"/>
    <s v="Electronics, Electrical Equip."/>
    <x v="107"/>
    <s v="www.panasonic.com/global"/>
    <x v="245"/>
    <x v="4"/>
    <n v="1.3282469438417699"/>
    <x v="9"/>
    <x v="244"/>
  </r>
  <r>
    <x v="5"/>
    <n v="131"/>
    <x v="37"/>
    <n v="72178.399999999994"/>
    <n v="0.2"/>
    <x v="285"/>
    <n v="20.3"/>
    <n v="54341.1"/>
    <x v="285"/>
    <n v="0"/>
    <n v="3.6"/>
    <n v="4.7"/>
    <n v="14.8"/>
    <n v="0"/>
    <n v="0"/>
    <n v="0"/>
    <n v="0"/>
    <n v="0"/>
    <n v="0"/>
    <n v="0"/>
    <n v="271869"/>
    <s v="Electronics, Electrical Equip."/>
    <x v="107"/>
    <s v="www.panasonic.com/global"/>
    <x v="245"/>
    <x v="5"/>
    <n v="1.3282469438417699"/>
    <x v="9"/>
    <x v="244"/>
  </r>
  <r>
    <x v="6"/>
    <n v="110"/>
    <x v="37"/>
    <n v="67774.899999999994"/>
    <n v="6.7"/>
    <x v="286"/>
    <n v="0.2"/>
    <n v="53702.2"/>
    <x v="286"/>
    <n v="0"/>
    <n v="2"/>
    <n v="2.6"/>
    <n v="9.8000000000000007"/>
    <n v="0"/>
    <n v="0"/>
    <n v="0"/>
    <n v="0"/>
    <n v="0"/>
    <n v="0"/>
    <n v="0"/>
    <n v="257533"/>
    <s v="Electronics, Electrical Equip."/>
    <x v="107"/>
    <s v="www.panasonic.com/global"/>
    <x v="246"/>
    <x v="6"/>
    <n v="1.26205071673041"/>
    <x v="195"/>
    <x v="245"/>
  </r>
  <r>
    <x v="11"/>
    <n v="128"/>
    <x v="37"/>
    <n v="62920.800000000003"/>
    <n v="-10.3"/>
    <x v="287"/>
    <n v="-1.4"/>
    <n v="49804.1"/>
    <x v="287"/>
    <n v="0"/>
    <n v="2.6"/>
    <n v="3.2"/>
    <n v="10.6"/>
    <n v="0"/>
    <n v="0"/>
    <n v="0"/>
    <n v="0"/>
    <n v="0"/>
    <n v="0"/>
    <n v="0"/>
    <n v="249520"/>
    <s v="Electronics, Electrical Equip."/>
    <x v="107"/>
    <s v="www.panasonic.com/global"/>
    <x v="247"/>
    <x v="11"/>
    <n v="1.26336586746874"/>
    <x v="146"/>
    <x v="246"/>
  </r>
  <r>
    <x v="7"/>
    <n v="471"/>
    <x v="50"/>
    <n v="25641.4"/>
    <n v="-1.4"/>
    <x v="288"/>
    <n v="45.8"/>
    <n v="24811.3"/>
    <x v="288"/>
    <n v="0"/>
    <n v="2.6019000000000001"/>
    <n v="2.7019000000000002"/>
    <n v="6.3018999999999998"/>
    <n v="0"/>
    <n v="0"/>
    <n v="0"/>
    <n v="0"/>
    <n v="0"/>
    <n v="0"/>
    <n v="0"/>
    <n v="225484"/>
    <s v="Electronics, Electrical Equip."/>
    <x v="77"/>
    <s v="global-sei.com"/>
    <x v="248"/>
    <x v="7"/>
    <n v="1.03345652988759"/>
    <x v="196"/>
    <x v="247"/>
  </r>
  <r>
    <x v="9"/>
    <n v="110"/>
    <x v="37"/>
    <n v="67774.899999999994"/>
    <n v="6.7"/>
    <x v="286"/>
    <n v="0.2"/>
    <n v="53702.2"/>
    <x v="286"/>
    <n v="0"/>
    <n v="2"/>
    <n v="2.6"/>
    <n v="9.8000000000000007"/>
    <n v="0"/>
    <n v="0"/>
    <n v="0"/>
    <n v="0"/>
    <n v="0"/>
    <n v="0"/>
    <n v="0"/>
    <n v="257533"/>
    <s v="Electronics, Electrical Equip."/>
    <x v="108"/>
    <s v="www.panasonic.com/global"/>
    <x v="246"/>
    <x v="9"/>
    <n v="1.26205071673041"/>
    <x v="195"/>
    <x v="245"/>
  </r>
  <r>
    <x v="0"/>
    <n v="355"/>
    <x v="58"/>
    <n v="42063"/>
    <n v="-9.4"/>
    <x v="289"/>
    <n v="-78"/>
    <n v="116988"/>
    <x v="289"/>
    <n v="0"/>
    <n v="5"/>
    <n v="1.8"/>
    <n v="7.9"/>
    <n v="0"/>
    <n v="0"/>
    <n v="0"/>
    <n v="0"/>
    <n v="0"/>
    <n v="0"/>
    <n v="0"/>
    <n v="103651"/>
    <s v="Telecommunications"/>
    <x v="109"/>
    <s v="www.telefonica.com"/>
    <x v="249"/>
    <x v="0"/>
    <n v="0.35954969740486198"/>
    <x v="197"/>
    <x v="248"/>
  </r>
  <r>
    <x v="0"/>
    <n v="349"/>
    <x v="57"/>
    <n v="42724.3"/>
    <n v="-14"/>
    <x v="290"/>
    <n v="-60.1"/>
    <n v="83055.3"/>
    <x v="290"/>
    <n v="0"/>
    <n v="8.9"/>
    <n v="4.5999999999999996"/>
    <n v="19.7"/>
    <n v="0"/>
    <n v="0"/>
    <n v="0"/>
    <n v="0"/>
    <n v="0"/>
    <n v="0"/>
    <n v="0"/>
    <n v="176014"/>
    <s v="Telecommunications"/>
    <x v="110"/>
    <s v="www.americamovil.com"/>
    <x v="250"/>
    <x v="0"/>
    <n v="0.51440787041886504"/>
    <x v="110"/>
    <x v="249"/>
  </r>
  <r>
    <x v="0"/>
    <n v="27"/>
    <x v="60"/>
    <n v="222535.3"/>
    <n v="3.7"/>
    <x v="291"/>
    <n v="-4.8"/>
    <n v="134617.70000000001"/>
    <x v="291"/>
    <n v="0"/>
    <n v="2.1"/>
    <n v="3.5"/>
    <n v="10.1"/>
    <n v="0"/>
    <n v="0"/>
    <n v="0"/>
    <n v="0"/>
    <n v="0"/>
    <n v="0"/>
    <n v="0"/>
    <n v="767062"/>
    <s v="Electronics, Electrical Equip."/>
    <x v="111"/>
    <s v="www.honhai.com"/>
    <x v="251"/>
    <x v="0"/>
    <n v="1.6530909382644301"/>
    <x v="198"/>
    <x v="250"/>
  </r>
  <r>
    <x v="1"/>
    <n v="20"/>
    <x v="60"/>
    <n v="214619.2"/>
    <n v="18"/>
    <x v="292"/>
    <n v="44.3"/>
    <n v="141043.5"/>
    <x v="292"/>
    <n v="0"/>
    <n v="2.2999999999999998"/>
    <n v="3.5"/>
    <n v="10"/>
    <n v="0"/>
    <n v="0"/>
    <n v="0"/>
    <n v="0"/>
    <n v="0"/>
    <n v="0"/>
    <n v="0"/>
    <n v="826608"/>
    <s v="Electronics, Electrical Equip."/>
    <x v="111"/>
    <s v="www.foxconn.com"/>
    <x v="252"/>
    <x v="1"/>
    <n v="1.5216525398192799"/>
    <x v="164"/>
    <x v="251"/>
  </r>
  <r>
    <x v="1"/>
    <n v="275"/>
    <x v="57"/>
    <n v="49701.9"/>
    <n v="5"/>
    <x v="293"/>
    <n v="335.2"/>
    <n v="82587.5"/>
    <x v="293"/>
    <n v="0"/>
    <n v="19.100000000000001"/>
    <n v="11.5"/>
    <n v="49.8"/>
    <n v="0"/>
    <n v="0"/>
    <n v="0"/>
    <n v="0"/>
    <n v="0"/>
    <n v="0"/>
    <n v="0"/>
    <n v="181205"/>
    <s v="Telecommunications"/>
    <x v="110"/>
    <s v="www.americamovil.com"/>
    <x v="253"/>
    <x v="1"/>
    <n v="0.60180899046465897"/>
    <x v="199"/>
    <x v="252"/>
  </r>
  <r>
    <x v="1"/>
    <n v="300"/>
    <x v="58"/>
    <n v="46438.5"/>
    <n v="-5.4"/>
    <x v="294"/>
    <n v="433.7"/>
    <n v="124175.2"/>
    <x v="294"/>
    <n v="0"/>
    <n v="20.7"/>
    <n v="7.7"/>
    <n v="38.1"/>
    <n v="0"/>
    <n v="0"/>
    <n v="0"/>
    <n v="0"/>
    <n v="0"/>
    <n v="0"/>
    <n v="0"/>
    <n v="104150"/>
    <s v="Telecommunications"/>
    <x v="109"/>
    <s v="www.telefonica.com"/>
    <x v="254"/>
    <x v="1"/>
    <n v="0.37397564086870799"/>
    <x v="200"/>
    <x v="253"/>
  </r>
  <r>
    <x v="2"/>
    <n v="499"/>
    <x v="69"/>
    <n v="24124"/>
    <n v="-0.4"/>
    <x v="295"/>
    <n v="599.9"/>
    <n v="15836"/>
    <x v="295"/>
    <n v="0"/>
    <n v="2.5"/>
    <n v="3.9"/>
    <n v="17.8"/>
    <n v="0"/>
    <n v="0"/>
    <n v="0"/>
    <n v="0"/>
    <n v="0"/>
    <n v="0"/>
    <n v="0"/>
    <n v="167201"/>
    <s v="Electronics, Electrical Equip."/>
    <x v="112"/>
    <s v="www.flex.com"/>
    <x v="255"/>
    <x v="2"/>
    <n v="1.52336448598131"/>
    <x v="201"/>
    <x v="254"/>
  </r>
  <r>
    <x v="2"/>
    <n v="237"/>
    <x v="57"/>
    <n v="47326"/>
    <n v="-9.6"/>
    <x v="296"/>
    <n v="-38"/>
    <n v="81591"/>
    <x v="296"/>
    <n v="0"/>
    <n v="4.5999999999999996"/>
    <n v="2.7"/>
    <n v="17.3"/>
    <n v="0"/>
    <n v="0"/>
    <n v="0"/>
    <n v="0"/>
    <n v="0"/>
    <n v="0"/>
    <n v="0"/>
    <n v="186851"/>
    <s v="Telecommunications"/>
    <x v="110"/>
    <s v="www.americamovil.com"/>
    <x v="256"/>
    <x v="2"/>
    <n v="0.58003946513708604"/>
    <x v="8"/>
    <x v="255"/>
  </r>
  <r>
    <x v="2"/>
    <n v="223"/>
    <x v="58"/>
    <n v="49082.9"/>
    <n v="-9.4"/>
    <x v="297"/>
    <n v="41"/>
    <n v="128561.4"/>
    <x v="297"/>
    <n v="0"/>
    <n v="3.7"/>
    <n v="1.4"/>
    <n v="13.1"/>
    <n v="0"/>
    <n v="0"/>
    <n v="0"/>
    <n v="0"/>
    <n v="0"/>
    <n v="0"/>
    <n v="0"/>
    <n v="112797"/>
    <s v="Telecommunications"/>
    <x v="109"/>
    <s v="www.telefonica.com"/>
    <x v="257"/>
    <x v="2"/>
    <n v="0.38178566817100601"/>
    <x v="163"/>
    <x v="256"/>
  </r>
  <r>
    <x v="2"/>
    <n v="22"/>
    <x v="60"/>
    <n v="181945.4"/>
    <n v="5.3"/>
    <x v="298"/>
    <n v="-7.3"/>
    <n v="130845.6"/>
    <x v="298"/>
    <n v="0"/>
    <n v="1.9"/>
    <n v="2.6"/>
    <n v="7.5"/>
    <n v="0"/>
    <n v="0"/>
    <n v="0"/>
    <n v="0"/>
    <n v="0"/>
    <n v="0"/>
    <n v="0"/>
    <n v="878429"/>
    <s v="Electronics, Electrical Equip."/>
    <x v="111"/>
    <s v="www.foxconn.com"/>
    <x v="258"/>
    <x v="2"/>
    <n v="1.3905351039698699"/>
    <x v="202"/>
    <x v="257"/>
  </r>
  <r>
    <x v="3"/>
    <n v="196"/>
    <x v="57"/>
    <n v="53977.599999999999"/>
    <n v="-0.1"/>
    <x v="299"/>
    <n v="76.3"/>
    <n v="72580"/>
    <x v="299"/>
    <n v="0"/>
    <n v="5.0999999999999996"/>
    <n v="3.8"/>
    <n v="27.5"/>
    <n v="0"/>
    <n v="0"/>
    <n v="0"/>
    <n v="0"/>
    <n v="0"/>
    <n v="0"/>
    <n v="0"/>
    <n v="194431"/>
    <s v="Telecommunications"/>
    <x v="110"/>
    <s v="www.americamovil.com"/>
    <x v="259"/>
    <x v="3"/>
    <n v="0.74369798842656398"/>
    <x v="185"/>
    <x v="258"/>
  </r>
  <r>
    <x v="3"/>
    <n v="176"/>
    <x v="58"/>
    <n v="57465.9"/>
    <n v="-2"/>
    <x v="300"/>
    <n v="11.3"/>
    <n v="130355.7"/>
    <x v="300"/>
    <n v="0"/>
    <n v="6.8"/>
    <n v="3"/>
    <n v="19.2"/>
    <n v="0"/>
    <n v="0"/>
    <n v="0"/>
    <n v="0"/>
    <n v="0"/>
    <n v="0"/>
    <n v="0"/>
    <n v="120138"/>
    <s v="Telecommunications"/>
    <x v="109"/>
    <s v="www.telefonica.com"/>
    <x v="260"/>
    <x v="3"/>
    <n v="0.44083918079531598"/>
    <x v="203"/>
    <x v="259"/>
  </r>
  <r>
    <x v="3"/>
    <n v="23"/>
    <x v="60"/>
    <n v="175617"/>
    <n v="13.5"/>
    <x v="301"/>
    <n v="-6.1"/>
    <n v="110012.9"/>
    <x v="301"/>
    <n v="0"/>
    <n v="2.4"/>
    <n v="3.9"/>
    <n v="10.9"/>
    <n v="0"/>
    <n v="0"/>
    <n v="0"/>
    <n v="0"/>
    <n v="0"/>
    <n v="0"/>
    <n v="0"/>
    <n v="667680"/>
    <s v="Electronics, Electrical Equip."/>
    <x v="111"/>
    <s v="www.foxconn.com"/>
    <x v="261"/>
    <x v="3"/>
    <n v="1.59633097573103"/>
    <x v="81"/>
    <x v="260"/>
  </r>
  <r>
    <x v="3"/>
    <n v="15"/>
    <x v="61"/>
    <n v="221579.4"/>
    <n v="4.5"/>
    <x v="302"/>
    <n v="9.1"/>
    <n v="304165.3"/>
    <x v="302"/>
    <n v="0"/>
    <n v="18"/>
    <n v="13.1"/>
    <n v="18.5"/>
    <n v="0"/>
    <n v="0"/>
    <n v="0"/>
    <n v="0"/>
    <n v="0"/>
    <n v="0"/>
    <n v="0"/>
    <n v="309630"/>
    <s v="Electronics, Electrical Equip."/>
    <x v="103"/>
    <s v="www.samsung.com"/>
    <x v="262"/>
    <x v="3"/>
    <n v="0.72848349236418497"/>
    <x v="32"/>
    <x v="261"/>
  </r>
  <r>
    <x v="4"/>
    <n v="196"/>
    <x v="57"/>
    <n v="53977.599999999999"/>
    <n v="-0.1"/>
    <x v="299"/>
    <n v="76.3"/>
    <n v="72580"/>
    <x v="299"/>
    <n v="0"/>
    <n v="5.0999999999999996"/>
    <n v="3.8"/>
    <n v="27.5"/>
    <n v="0"/>
    <n v="0"/>
    <n v="0"/>
    <n v="0"/>
    <n v="0"/>
    <n v="0"/>
    <n v="0"/>
    <n v="194431"/>
    <s v="Telecommunications"/>
    <x v="110"/>
    <s v="www.americamovil.com"/>
    <x v="259"/>
    <x v="4"/>
    <n v="0.74369798842656398"/>
    <x v="185"/>
    <x v="258"/>
  </r>
  <r>
    <x v="4"/>
    <n v="176"/>
    <x v="58"/>
    <n v="57465.9"/>
    <n v="-2"/>
    <x v="300"/>
    <n v="11.3"/>
    <n v="130355.7"/>
    <x v="300"/>
    <n v="0"/>
    <n v="6.8"/>
    <n v="3"/>
    <n v="19.2"/>
    <n v="0"/>
    <n v="0"/>
    <n v="0"/>
    <n v="0"/>
    <n v="0"/>
    <n v="0"/>
    <n v="0"/>
    <n v="120138"/>
    <s v="Telecommunications"/>
    <x v="109"/>
    <s v="www.telefonica.com"/>
    <x v="260"/>
    <x v="4"/>
    <n v="0.44083918079531598"/>
    <x v="203"/>
    <x v="259"/>
  </r>
  <r>
    <x v="4"/>
    <n v="23"/>
    <x v="60"/>
    <n v="175617"/>
    <n v="13.5"/>
    <x v="301"/>
    <n v="-6.1"/>
    <n v="110012.9"/>
    <x v="301"/>
    <n v="0"/>
    <n v="2.4"/>
    <n v="3.9"/>
    <n v="10.9"/>
    <n v="0"/>
    <n v="0"/>
    <n v="0"/>
    <n v="0"/>
    <n v="0"/>
    <n v="0"/>
    <n v="0"/>
    <n v="667680"/>
    <s v="Electronics, Electrical Equip."/>
    <x v="111"/>
    <s v="www.foxconn.com"/>
    <x v="261"/>
    <x v="4"/>
    <n v="1.59633097573103"/>
    <x v="81"/>
    <x v="260"/>
  </r>
  <r>
    <x v="4"/>
    <n v="15"/>
    <x v="61"/>
    <n v="221579.4"/>
    <n v="4.5"/>
    <x v="302"/>
    <n v="9.1"/>
    <n v="304165.3"/>
    <x v="302"/>
    <n v="0"/>
    <n v="18"/>
    <n v="13.1"/>
    <n v="18.5"/>
    <n v="0"/>
    <n v="0"/>
    <n v="0"/>
    <n v="0"/>
    <n v="0"/>
    <n v="0"/>
    <n v="0"/>
    <n v="309630"/>
    <s v="Electronics, Electrical Equip."/>
    <x v="103"/>
    <s v="www.samsung.com"/>
    <x v="262"/>
    <x v="4"/>
    <n v="0.72848349236418497"/>
    <x v="32"/>
    <x v="261"/>
  </r>
  <r>
    <x v="5"/>
    <n v="196"/>
    <x v="57"/>
    <n v="53977.599999999999"/>
    <n v="-0.1"/>
    <x v="299"/>
    <n v="76.3"/>
    <n v="72580"/>
    <x v="299"/>
    <n v="0"/>
    <n v="5.0999999999999996"/>
    <n v="3.8"/>
    <n v="27.5"/>
    <n v="0"/>
    <n v="0"/>
    <n v="0"/>
    <n v="0"/>
    <n v="0"/>
    <n v="0"/>
    <n v="0"/>
    <n v="194431"/>
    <s v="Telecommunications"/>
    <x v="110"/>
    <s v="www.americamovil.com"/>
    <x v="259"/>
    <x v="5"/>
    <n v="0.74369798842656398"/>
    <x v="185"/>
    <x v="258"/>
  </r>
  <r>
    <x v="5"/>
    <n v="176"/>
    <x v="58"/>
    <n v="57465.9"/>
    <n v="-2"/>
    <x v="300"/>
    <n v="11.3"/>
    <n v="130355.7"/>
    <x v="300"/>
    <n v="0"/>
    <n v="6.8"/>
    <n v="3"/>
    <n v="19.2"/>
    <n v="0"/>
    <n v="0"/>
    <n v="0"/>
    <n v="0"/>
    <n v="0"/>
    <n v="0"/>
    <n v="0"/>
    <n v="120138"/>
    <s v="Telecommunications"/>
    <x v="109"/>
    <s v="www.telefonica.com"/>
    <x v="260"/>
    <x v="5"/>
    <n v="0.44083918079531598"/>
    <x v="203"/>
    <x v="259"/>
  </r>
  <r>
    <x v="5"/>
    <n v="23"/>
    <x v="60"/>
    <n v="175617"/>
    <n v="13.5"/>
    <x v="301"/>
    <n v="-6.1"/>
    <n v="110012.9"/>
    <x v="301"/>
    <n v="0"/>
    <n v="2.4"/>
    <n v="3.9"/>
    <n v="10.9"/>
    <n v="0"/>
    <n v="0"/>
    <n v="0"/>
    <n v="0"/>
    <n v="0"/>
    <n v="0"/>
    <n v="0"/>
    <n v="667680"/>
    <s v="Electronics, Electrical Equip."/>
    <x v="111"/>
    <s v="www.foxconn.com"/>
    <x v="261"/>
    <x v="5"/>
    <n v="1.59633097573103"/>
    <x v="81"/>
    <x v="260"/>
  </r>
  <r>
    <x v="5"/>
    <n v="15"/>
    <x v="61"/>
    <n v="221579.4"/>
    <n v="4.5"/>
    <x v="302"/>
    <n v="9.1"/>
    <n v="304165.3"/>
    <x v="302"/>
    <n v="0"/>
    <n v="18"/>
    <n v="13.1"/>
    <n v="18.5"/>
    <n v="0"/>
    <n v="0"/>
    <n v="0"/>
    <n v="0"/>
    <n v="0"/>
    <n v="0"/>
    <n v="0"/>
    <n v="309630"/>
    <s v="Electronics, Electrical Equip."/>
    <x v="103"/>
    <s v="www.samsung.com"/>
    <x v="262"/>
    <x v="5"/>
    <n v="0.72848349236418497"/>
    <x v="32"/>
    <x v="261"/>
  </r>
  <r>
    <x v="6"/>
    <n v="479"/>
    <x v="40"/>
    <n v="22839.7"/>
    <n v="-9"/>
    <x v="303"/>
    <n v="-8.6"/>
    <n v="20606.400000000001"/>
    <x v="303"/>
    <n v="0"/>
    <n v="3.4"/>
    <n v="3.8"/>
    <n v="7.3"/>
    <n v="0"/>
    <n v="0"/>
    <n v="0"/>
    <n v="0"/>
    <n v="0"/>
    <n v="0"/>
    <n v="0"/>
    <n v="49094"/>
    <s v="Electronics, Electrical Equip."/>
    <x v="113"/>
    <s v="www.lgdisplay.com"/>
    <x v="263"/>
    <x v="6"/>
    <n v="1.10837895022906"/>
    <x v="137"/>
    <x v="262"/>
  </r>
  <r>
    <x v="6"/>
    <n v="458"/>
    <x v="70"/>
    <n v="23772.5"/>
    <n v="-10.9"/>
    <x v="304"/>
    <n v="-7.9"/>
    <n v="10768.5"/>
    <x v="304"/>
    <n v="0"/>
    <n v="1.1000000000000001"/>
    <n v="2.2999999999999998"/>
    <n v="7.7"/>
    <n v="0"/>
    <n v="0"/>
    <n v="0"/>
    <n v="0"/>
    <n v="0"/>
    <n v="0"/>
    <n v="0"/>
    <n v="64728"/>
    <s v="Computers, Office Equipment"/>
    <x v="114"/>
    <s v="www.compal.com"/>
    <x v="264"/>
    <x v="6"/>
    <n v="2.2075962297441598"/>
    <x v="204"/>
    <x v="263"/>
  </r>
  <r>
    <x v="6"/>
    <n v="390"/>
    <x v="54"/>
    <n v="27715.1"/>
    <n v="-12.7"/>
    <x v="305"/>
    <n v="-16.399999999999999"/>
    <n v="18229"/>
    <x v="305"/>
    <n v="0"/>
    <n v="1.7"/>
    <n v="2.6"/>
    <n v="11.4"/>
    <n v="0"/>
    <n v="0"/>
    <n v="0"/>
    <n v="0"/>
    <n v="0"/>
    <n v="0"/>
    <n v="0"/>
    <n v="92698"/>
    <s v="Computers, Office Equipment"/>
    <x v="103"/>
    <s v="www.quantatw.com"/>
    <x v="265"/>
    <x v="6"/>
    <n v="1.5203851006637801"/>
    <x v="205"/>
    <x v="264"/>
  </r>
  <r>
    <x v="6"/>
    <n v="296"/>
    <x v="71"/>
    <n v="35891.199999999997"/>
    <n v="-6.1"/>
    <x v="306"/>
    <n v="-20.100000000000001"/>
    <n v="13776.4"/>
    <x v="306"/>
    <n v="0"/>
    <n v="1.7"/>
    <n v="4.4000000000000004"/>
    <n v="13"/>
    <n v="0"/>
    <n v="0"/>
    <n v="0"/>
    <n v="0"/>
    <n v="0"/>
    <n v="0"/>
    <n v="0"/>
    <n v="196251"/>
    <s v="Computers, Office Equipment"/>
    <x v="114"/>
    <s v="www.pegatroncorp.com"/>
    <x v="266"/>
    <x v="6"/>
    <n v="2.6052669783107301"/>
    <x v="21"/>
    <x v="265"/>
  </r>
  <r>
    <x v="6"/>
    <n v="201"/>
    <x v="72"/>
    <n v="47712.2"/>
    <n v="-4.5999999999999996"/>
    <x v="307"/>
    <n v="-39.799999999999997"/>
    <n v="31347.5"/>
    <x v="307"/>
    <n v="0"/>
    <n v="0.1"/>
    <n v="0.2"/>
    <n v="0.7"/>
    <n v="0"/>
    <n v="0"/>
    <n v="0"/>
    <n v="0"/>
    <n v="0"/>
    <n v="0"/>
    <n v="0"/>
    <n v="75000"/>
    <s v="Electronics, Electrical Equip."/>
    <x v="103"/>
    <s v="www.lg.com"/>
    <x v="267"/>
    <x v="6"/>
    <n v="1.52204163011404"/>
    <x v="161"/>
    <x v="266"/>
  </r>
  <r>
    <x v="6"/>
    <n v="176"/>
    <x v="57"/>
    <n v="52201"/>
    <n v="-7.4"/>
    <x v="308"/>
    <n v="-79"/>
    <n v="73554.7"/>
    <x v="308"/>
    <n v="0"/>
    <n v="0.9"/>
    <n v="0.6"/>
    <n v="4.5999999999999996"/>
    <n v="0"/>
    <n v="0"/>
    <n v="0"/>
    <n v="0"/>
    <n v="0"/>
    <n v="0"/>
    <n v="0"/>
    <n v="194193"/>
    <s v="Telecommunications"/>
    <x v="110"/>
    <s v="www.americamovil.com"/>
    <x v="268"/>
    <x v="6"/>
    <n v="0.70968952357905102"/>
    <x v="206"/>
    <x v="267"/>
  </r>
  <r>
    <x v="6"/>
    <n v="153"/>
    <x v="58"/>
    <n v="57543.8"/>
    <n v="-5.5"/>
    <x v="309"/>
    <n v="283.39999999999998"/>
    <n v="130395.5"/>
    <x v="309"/>
    <n v="0"/>
    <n v="4.5999999999999996"/>
    <n v="2"/>
    <n v="13.7"/>
    <n v="0"/>
    <n v="0"/>
    <n v="0"/>
    <n v="0"/>
    <n v="0"/>
    <n v="0"/>
    <n v="0"/>
    <n v="127323"/>
    <s v="Telecommunications"/>
    <x v="109"/>
    <s v="www.telefonica.com"/>
    <x v="269"/>
    <x v="6"/>
    <n v="0.44130203879735103"/>
    <x v="207"/>
    <x v="268"/>
  </r>
  <r>
    <x v="6"/>
    <n v="27"/>
    <x v="60"/>
    <n v="135128.79999999999"/>
    <n v="-4.3"/>
    <x v="310"/>
    <n v="-0.4"/>
    <n v="80435.8"/>
    <x v="310"/>
    <n v="0"/>
    <n v="3.4"/>
    <n v="5.7"/>
    <n v="13.8"/>
    <n v="0"/>
    <n v="0"/>
    <n v="0"/>
    <n v="0"/>
    <n v="0"/>
    <n v="0"/>
    <n v="0"/>
    <n v="726772"/>
    <s v="Electronics, Electrical Equip."/>
    <x v="111"/>
    <s v="www.foxconn.com"/>
    <x v="270"/>
    <x v="6"/>
    <n v="1.6799584264717899"/>
    <x v="208"/>
    <x v="269"/>
  </r>
  <r>
    <x v="6"/>
    <n v="15"/>
    <x v="61"/>
    <n v="173957.3"/>
    <n v="-2"/>
    <x v="311"/>
    <n v="16.8"/>
    <n v="217103.6"/>
    <x v="311"/>
    <n v="0"/>
    <n v="11.1"/>
    <n v="8.9"/>
    <n v="12.5"/>
    <n v="0"/>
    <n v="0"/>
    <n v="0"/>
    <n v="0"/>
    <n v="0"/>
    <n v="0"/>
    <n v="0"/>
    <n v="325000"/>
    <s v="Electronics, Electrical Equip."/>
    <x v="115"/>
    <s v="www.samsung.com"/>
    <x v="271"/>
    <x v="6"/>
    <n v="0.80126400483455795"/>
    <x v="155"/>
    <x v="270"/>
  </r>
  <r>
    <x v="11"/>
    <n v="482"/>
    <x v="51"/>
    <n v="22126.3"/>
    <n v="-10.199999999999999"/>
    <x v="312"/>
    <n v="-10.3"/>
    <n v="31077.9"/>
    <x v="312"/>
    <n v="0"/>
    <n v="15.9"/>
    <n v="11.3"/>
    <n v="32.5"/>
    <n v="0"/>
    <n v="0"/>
    <n v="0"/>
    <n v="0"/>
    <n v="0"/>
    <n v="0"/>
    <n v="0"/>
    <n v="36165"/>
    <s v="Telecommunications"/>
    <x v="116"/>
    <s v="www.telstra.com.au"/>
    <x v="272"/>
    <x v="11"/>
    <n v="0.71196251999008897"/>
    <x v="209"/>
    <x v="271"/>
  </r>
  <r>
    <x v="11"/>
    <n v="429"/>
    <x v="40"/>
    <n v="25100.2"/>
    <n v="-0.1"/>
    <x v="313"/>
    <n v="-0.5"/>
    <n v="19258.900000000001"/>
    <x v="313"/>
    <n v="0"/>
    <n v="3.4"/>
    <n v="4.4000000000000004"/>
    <n v="8.1999999999999993"/>
    <n v="0"/>
    <n v="0"/>
    <n v="0"/>
    <n v="0"/>
    <n v="0"/>
    <n v="0"/>
    <n v="0"/>
    <n v="49205"/>
    <s v="Electronics, Electrical Equip."/>
    <x v="113"/>
    <s v="www.lgdisplay.com"/>
    <x v="273"/>
    <x v="11"/>
    <n v="1.30330392701556"/>
    <x v="210"/>
    <x v="272"/>
  </r>
  <r>
    <x v="11"/>
    <n v="404"/>
    <x v="32"/>
    <n v="26569.4"/>
    <n v="-20.100000000000001"/>
    <x v="314"/>
    <n v="-104.5"/>
    <n v="77372.2"/>
    <x v="314"/>
    <n v="0"/>
    <n v="-0.3"/>
    <n v="-0.1"/>
    <n v="-0.4"/>
    <n v="0"/>
    <n v="0"/>
    <n v="0"/>
    <n v="0"/>
    <n v="0"/>
    <n v="0"/>
    <n v="0"/>
    <n v="82094"/>
    <s v="Telecommunications"/>
    <x v="46"/>
    <s v="www.telecomitalia.com"/>
    <x v="274"/>
    <x v="11"/>
    <n v="0.34339724086946"/>
    <x v="211"/>
    <x v="273"/>
  </r>
  <r>
    <x v="11"/>
    <n v="368"/>
    <x v="41"/>
    <n v="28689.200000000001"/>
    <n v="-7.1"/>
    <x v="315"/>
    <n v="30"/>
    <n v="33646.1"/>
    <x v="315"/>
    <n v="0"/>
    <n v="2.5"/>
    <n v="2.1"/>
    <n v="5.6"/>
    <n v="0"/>
    <n v="0"/>
    <n v="0"/>
    <n v="0"/>
    <n v="0"/>
    <n v="0"/>
    <n v="0"/>
    <n v="112959"/>
    <s v="Electronics, Electrical Equip."/>
    <x v="117"/>
    <s v="www.philips.com"/>
    <x v="275"/>
    <x v="11"/>
    <n v="0.85267534721706195"/>
    <x v="119"/>
    <x v="274"/>
  </r>
  <r>
    <x v="11"/>
    <n v="180"/>
    <x v="72"/>
    <n v="49996.2"/>
    <n v="-12.3"/>
    <x v="316"/>
    <n v="-71"/>
    <n v="30976.6"/>
    <x v="316"/>
    <n v="0"/>
    <n v="0.2"/>
    <n v="0.4"/>
    <n v="1.1000000000000001"/>
    <n v="0"/>
    <n v="0"/>
    <n v="0"/>
    <n v="0"/>
    <n v="0"/>
    <n v="0"/>
    <n v="0"/>
    <n v="77000"/>
    <s v="Electronics, Electrical Equip."/>
    <x v="103"/>
    <s v="www.lg.com"/>
    <x v="276"/>
    <x v="11"/>
    <n v="1.6139989540491899"/>
    <x v="212"/>
    <x v="275"/>
  </r>
  <r>
    <x v="11"/>
    <n v="154"/>
    <x v="57"/>
    <n v="56361.1"/>
    <n v="-11.6"/>
    <x v="317"/>
    <n v="-36.299999999999997"/>
    <n v="75080.800000000003"/>
    <x v="317"/>
    <n v="0"/>
    <n v="3.9"/>
    <n v="2.9"/>
    <n v="34"/>
    <n v="0"/>
    <n v="0"/>
    <n v="0"/>
    <n v="0"/>
    <n v="0"/>
    <n v="0"/>
    <n v="0"/>
    <n v="195475"/>
    <s v="Telecommunications"/>
    <x v="110"/>
    <s v="www.americamovil.com"/>
    <x v="277"/>
    <x v="11"/>
    <n v="0.75067260870954999"/>
    <x v="213"/>
    <x v="276"/>
  </r>
  <r>
    <x v="11"/>
    <n v="137"/>
    <x v="58"/>
    <n v="60917"/>
    <n v="-8.8000000000000007"/>
    <x v="318"/>
    <n v="-23.5"/>
    <n v="133574.29999999999"/>
    <x v="318"/>
    <n v="0"/>
    <n v="5"/>
    <n v="2.2999999999999998"/>
    <n v="15.7"/>
    <n v="0"/>
    <n v="0"/>
    <n v="0"/>
    <n v="0"/>
    <n v="0"/>
    <n v="0"/>
    <n v="0"/>
    <n v="129890"/>
    <s v="Telecommunications"/>
    <x v="109"/>
    <s v="www.telefonica.com"/>
    <x v="278"/>
    <x v="11"/>
    <n v="0.45605329767777197"/>
    <x v="214"/>
    <x v="277"/>
  </r>
  <r>
    <x v="11"/>
    <n v="25"/>
    <x v="60"/>
    <n v="141213.1"/>
    <n v="1.6"/>
    <x v="319"/>
    <n v="7.4"/>
    <n v="70287.199999999997"/>
    <x v="319"/>
    <n v="0"/>
    <n v="3.3"/>
    <n v="6.6"/>
    <n v="15.1"/>
    <n v="0"/>
    <n v="0"/>
    <n v="0"/>
    <n v="0"/>
    <n v="0"/>
    <n v="0"/>
    <n v="0"/>
    <n v="1060000"/>
    <s v="Electronics, Electrical Equip."/>
    <x v="111"/>
    <s v="www.foxconn.com"/>
    <x v="279"/>
    <x v="11"/>
    <n v="2.0090870030389598"/>
    <x v="215"/>
    <x v="278"/>
  </r>
  <r>
    <x v="11"/>
    <n v="13"/>
    <x v="61"/>
    <n v="177440.2"/>
    <n v="-9.4"/>
    <x v="320"/>
    <n v="-24.6"/>
    <n v="206585"/>
    <x v="320"/>
    <n v="0"/>
    <n v="9.3000000000000007"/>
    <n v="8"/>
    <n v="11.2"/>
    <n v="0"/>
    <n v="0"/>
    <n v="0"/>
    <n v="0"/>
    <n v="0"/>
    <n v="0"/>
    <n v="0"/>
    <n v="319000"/>
    <s v="Electronics, Electrical Equip."/>
    <x v="115"/>
    <s v="www.samsung.com"/>
    <x v="280"/>
    <x v="11"/>
    <n v="0.85892102524384595"/>
    <x v="216"/>
    <x v="279"/>
  </r>
  <r>
    <x v="7"/>
    <n v="481"/>
    <x v="40"/>
    <n v="24697.9"/>
    <n v="-5.5"/>
    <x v="321"/>
    <n v="88"/>
    <n v="20579.3"/>
    <x v="321"/>
    <n v="0"/>
    <n v="1.6019000000000001"/>
    <n v="1.9018999999999999"/>
    <n v="3.9018999999999999"/>
    <n v="0"/>
    <n v="0"/>
    <n v="0"/>
    <n v="0"/>
    <n v="0"/>
    <n v="0"/>
    <n v="0"/>
    <n v="51205"/>
    <s v="Electronics, Electrical Equip."/>
    <x v="55"/>
    <s v="www.lgdisplay.com"/>
    <x v="281"/>
    <x v="7"/>
    <n v="1.20013314349856"/>
    <x v="217"/>
    <x v="280"/>
  </r>
  <r>
    <x v="7"/>
    <n v="453"/>
    <x v="51"/>
    <n v="26641.599999999999"/>
    <n v="1.3"/>
    <x v="322"/>
    <n v="11.3"/>
    <n v="35256.1"/>
    <x v="322"/>
    <n v="0"/>
    <n v="14.7019"/>
    <n v="11.101900000000001"/>
    <n v="33.901899999999998"/>
    <n v="0"/>
    <n v="0"/>
    <n v="0"/>
    <n v="0"/>
    <n v="0"/>
    <n v="0"/>
    <n v="0"/>
    <n v="37721"/>
    <s v="Telecommunications"/>
    <x v="78"/>
    <s v="www.telstra.com.au"/>
    <x v="282"/>
    <x v="7"/>
    <n v="0.75565930434733297"/>
    <x v="218"/>
    <x v="281"/>
  </r>
  <r>
    <x v="7"/>
    <n v="409"/>
    <x v="54"/>
    <n v="29662.6"/>
    <n v="-13.8"/>
    <x v="323"/>
    <n v="-19.5"/>
    <n v="18727.7"/>
    <x v="323"/>
    <n v="0"/>
    <n v="2.1019000000000001"/>
    <n v="3.3018999999999998"/>
    <n v="15.2019"/>
    <n v="0"/>
    <n v="0"/>
    <n v="0"/>
    <n v="0"/>
    <n v="0"/>
    <n v="0"/>
    <n v="0"/>
    <n v="121917"/>
    <s v="Computers, Office Equipment"/>
    <x v="81"/>
    <s v="www.quantatw.com"/>
    <x v="283"/>
    <x v="7"/>
    <n v="1.58388910544274"/>
    <x v="80"/>
    <x v="282"/>
  </r>
  <r>
    <x v="7"/>
    <n v="370"/>
    <x v="41"/>
    <n v="32449.599999999999"/>
    <n v="-0.4"/>
    <x v="324"/>
    <n v="434.3"/>
    <n v="36593"/>
    <x v="324"/>
    <n v="0"/>
    <n v="4.8018999999999998"/>
    <n v="4.2019000000000002"/>
    <n v="10.001899999999999"/>
    <n v="0"/>
    <n v="0"/>
    <n v="0"/>
    <n v="0"/>
    <n v="0"/>
    <n v="0"/>
    <n v="0"/>
    <n v="116681"/>
    <s v="Electronics, Electrical Equip."/>
    <x v="56"/>
    <s v="www.philips.com"/>
    <x v="284"/>
    <x v="7"/>
    <n v="0.88677069384855001"/>
    <x v="164"/>
    <x v="283"/>
  </r>
  <r>
    <x v="7"/>
    <n v="156"/>
    <x v="57"/>
    <n v="61562.2"/>
    <n v="4.5"/>
    <x v="197"/>
    <n v="-15.9"/>
    <n v="78312.2"/>
    <x v="325"/>
    <n v="0"/>
    <n v="9.5018999999999991"/>
    <n v="7.5019"/>
    <n v="37.801900000000003"/>
    <n v="0"/>
    <n v="0"/>
    <n v="0"/>
    <n v="0"/>
    <n v="0"/>
    <n v="0"/>
    <n v="0"/>
    <n v="173174"/>
    <s v="Telecommunications"/>
    <x v="84"/>
    <s v="www.americamovil.com"/>
    <x v="285"/>
    <x v="7"/>
    <n v="0.78611250865127003"/>
    <x v="219"/>
    <x v="284"/>
  </r>
  <r>
    <x v="7"/>
    <n v="109"/>
    <x v="58"/>
    <n v="75752"/>
    <n v="-5.5"/>
    <x v="325"/>
    <n v="20.8"/>
    <n v="163768.1"/>
    <x v="326"/>
    <n v="0"/>
    <n v="8.0018999999999991"/>
    <n v="3.7019000000000002"/>
    <n v="20.901900000000001"/>
    <n v="0"/>
    <n v="0"/>
    <n v="0"/>
    <n v="0"/>
    <n v="0"/>
    <n v="0"/>
    <n v="0"/>
    <n v="126730"/>
    <s v="Telecommunications"/>
    <x v="85"/>
    <s v="www.telefonica.com"/>
    <x v="286"/>
    <x v="7"/>
    <n v="0.462556505204616"/>
    <x v="220"/>
    <x v="285"/>
  </r>
  <r>
    <x v="7"/>
    <n v="32"/>
    <x v="60"/>
    <n v="133161.70000000001"/>
    <n v="0.8"/>
    <x v="326"/>
    <n v="12.3"/>
    <n v="77599.399999999994"/>
    <x v="327"/>
    <n v="0"/>
    <n v="2.7019000000000002"/>
    <n v="4.6018999999999997"/>
    <n v="14.001899999999999"/>
    <n v="0"/>
    <n v="0"/>
    <n v="0"/>
    <n v="0"/>
    <n v="0"/>
    <n v="0"/>
    <n v="0"/>
    <n v="1110000"/>
    <s v="Electronics, Electrical Equip."/>
    <x v="87"/>
    <s v="www.foxconn.com"/>
    <x v="287"/>
    <x v="7"/>
    <n v="1.7160145568135801"/>
    <x v="42"/>
    <x v="286"/>
  </r>
  <r>
    <x v="7"/>
    <n v="13"/>
    <x v="61"/>
    <n v="208938.4"/>
    <n v="17"/>
    <x v="327"/>
    <n v="32.4"/>
    <n v="202876.2"/>
    <x v="328"/>
    <n v="0"/>
    <n v="13.001899999999999"/>
    <n v="13.401899999999999"/>
    <n v="19.901900000000001"/>
    <n v="0"/>
    <n v="0"/>
    <n v="0"/>
    <n v="0"/>
    <n v="0"/>
    <n v="0"/>
    <n v="0"/>
    <n v="286000"/>
    <s v="Electronics, Electrical Equip."/>
    <x v="88"/>
    <s v="www.samsung.com"/>
    <x v="288"/>
    <x v="7"/>
    <n v="1.02988127735042"/>
    <x v="221"/>
    <x v="287"/>
  </r>
  <r>
    <x v="9"/>
    <n v="479"/>
    <x v="40"/>
    <n v="22839.7"/>
    <n v="-9"/>
    <x v="303"/>
    <n v="-8.6"/>
    <n v="20606.400000000001"/>
    <x v="303"/>
    <n v="0"/>
    <n v="3.4"/>
    <n v="3.8"/>
    <n v="7.3"/>
    <n v="0"/>
    <n v="0"/>
    <n v="0"/>
    <n v="0"/>
    <n v="0"/>
    <n v="0"/>
    <n v="0"/>
    <n v="49094"/>
    <s v="Electronics, Electrical Equip."/>
    <x v="55"/>
    <s v="www.lgdisplay.com"/>
    <x v="263"/>
    <x v="9"/>
    <n v="1.10837895022906"/>
    <x v="137"/>
    <x v="262"/>
  </r>
  <r>
    <x v="9"/>
    <n v="458"/>
    <x v="70"/>
    <n v="23772.5"/>
    <n v="-10.9"/>
    <x v="304"/>
    <n v="-7.9"/>
    <n v="10768.5"/>
    <x v="304"/>
    <n v="0"/>
    <n v="1.1000000000000001"/>
    <n v="2.2999999999999998"/>
    <n v="7.7"/>
    <n v="0"/>
    <n v="0"/>
    <n v="0"/>
    <n v="0"/>
    <n v="0"/>
    <n v="0"/>
    <n v="0"/>
    <n v="64728"/>
    <s v="Computers, Office Equipment"/>
    <x v="118"/>
    <s v="www.compal.com"/>
    <x v="264"/>
    <x v="9"/>
    <n v="2.2075962297441598"/>
    <x v="204"/>
    <x v="263"/>
  </r>
  <r>
    <x v="9"/>
    <n v="390"/>
    <x v="54"/>
    <n v="27715.1"/>
    <n v="-12.7"/>
    <x v="305"/>
    <n v="-16.399999999999999"/>
    <n v="18229"/>
    <x v="305"/>
    <n v="0"/>
    <n v="1.7"/>
    <n v="2.6"/>
    <n v="11.4"/>
    <n v="0"/>
    <n v="0"/>
    <n v="0"/>
    <n v="0"/>
    <n v="0"/>
    <n v="0"/>
    <n v="0"/>
    <n v="92698"/>
    <s v="Computers, Office Equipment"/>
    <x v="106"/>
    <s v="www.quantatw.com"/>
    <x v="265"/>
    <x v="9"/>
    <n v="1.5203851006637801"/>
    <x v="205"/>
    <x v="264"/>
  </r>
  <r>
    <x v="9"/>
    <n v="296"/>
    <x v="71"/>
    <n v="35891.199999999997"/>
    <n v="-6.1"/>
    <x v="306"/>
    <n v="-20.100000000000001"/>
    <n v="13776.4"/>
    <x v="306"/>
    <n v="0"/>
    <n v="1.7"/>
    <n v="4.4000000000000004"/>
    <n v="13"/>
    <n v="0"/>
    <n v="0"/>
    <n v="0"/>
    <n v="0"/>
    <n v="0"/>
    <n v="0"/>
    <n v="0"/>
    <n v="196251"/>
    <s v="Computers, Office Equipment"/>
    <x v="118"/>
    <s v="www.pegatroncorp.com"/>
    <x v="266"/>
    <x v="9"/>
    <n v="2.6052669783107301"/>
    <x v="21"/>
    <x v="265"/>
  </r>
  <r>
    <x v="9"/>
    <n v="201"/>
    <x v="72"/>
    <n v="47712.2"/>
    <n v="-4.5999999999999996"/>
    <x v="307"/>
    <n v="-39.799999999999997"/>
    <n v="31347.5"/>
    <x v="307"/>
    <n v="0"/>
    <n v="0.1"/>
    <n v="0.2"/>
    <n v="0.7"/>
    <n v="0"/>
    <n v="0"/>
    <n v="0"/>
    <n v="0"/>
    <n v="0"/>
    <n v="0"/>
    <n v="0"/>
    <n v="75000"/>
    <s v="Electronics, Electrical Equip."/>
    <x v="106"/>
    <s v="www.lg.com"/>
    <x v="267"/>
    <x v="9"/>
    <n v="1.52204163011404"/>
    <x v="161"/>
    <x v="266"/>
  </r>
  <r>
    <x v="9"/>
    <n v="176"/>
    <x v="57"/>
    <n v="52201"/>
    <n v="-7.4"/>
    <x v="308"/>
    <n v="-79"/>
    <n v="73554.7"/>
    <x v="308"/>
    <n v="0"/>
    <n v="0.9"/>
    <n v="0.6"/>
    <n v="4.5999999999999996"/>
    <n v="0"/>
    <n v="0"/>
    <n v="0"/>
    <n v="0"/>
    <n v="0"/>
    <n v="0"/>
    <n v="0"/>
    <n v="194193"/>
    <s v="Telecommunications"/>
    <x v="84"/>
    <s v="www.americamovil.com"/>
    <x v="268"/>
    <x v="9"/>
    <n v="0.70968952357905102"/>
    <x v="206"/>
    <x v="267"/>
  </r>
  <r>
    <x v="9"/>
    <n v="153"/>
    <x v="58"/>
    <n v="57543.8"/>
    <n v="-5.5"/>
    <x v="309"/>
    <n v="283.39999999999998"/>
    <n v="130395.5"/>
    <x v="309"/>
    <n v="0"/>
    <n v="4.5999999999999996"/>
    <n v="2"/>
    <n v="13.7"/>
    <n v="0"/>
    <n v="0"/>
    <n v="0"/>
    <n v="0"/>
    <n v="0"/>
    <n v="0"/>
    <n v="0"/>
    <n v="127323"/>
    <s v="Telecommunications"/>
    <x v="85"/>
    <s v="www.telefonica.com"/>
    <x v="269"/>
    <x v="9"/>
    <n v="0.44130203879735103"/>
    <x v="207"/>
    <x v="268"/>
  </r>
  <r>
    <x v="9"/>
    <n v="27"/>
    <x v="60"/>
    <n v="135128.79999999999"/>
    <n v="-4.3"/>
    <x v="310"/>
    <n v="-0.4"/>
    <n v="80435.8"/>
    <x v="310"/>
    <n v="0"/>
    <n v="3.4"/>
    <n v="5.7"/>
    <n v="13.8"/>
    <n v="0"/>
    <n v="0"/>
    <n v="0"/>
    <n v="0"/>
    <n v="0"/>
    <n v="0"/>
    <n v="0"/>
    <n v="726772"/>
    <s v="Electronics, Electrical Equip."/>
    <x v="87"/>
    <s v="www.foxconn.com"/>
    <x v="270"/>
    <x v="9"/>
    <n v="1.6799584264717899"/>
    <x v="208"/>
    <x v="269"/>
  </r>
  <r>
    <x v="9"/>
    <n v="15"/>
    <x v="61"/>
    <n v="173957.3"/>
    <n v="-2"/>
    <x v="311"/>
    <n v="16.8"/>
    <n v="217103.6"/>
    <x v="311"/>
    <n v="0"/>
    <n v="11.1"/>
    <n v="8.9"/>
    <n v="12.5"/>
    <n v="0"/>
    <n v="0"/>
    <n v="0"/>
    <n v="0"/>
    <n v="0"/>
    <n v="0"/>
    <n v="0"/>
    <n v="325000"/>
    <s v="Electronics, Electrical Equip."/>
    <x v="88"/>
    <s v="www.samsung.com"/>
    <x v="271"/>
    <x v="9"/>
    <n v="0.80126400483455795"/>
    <x v="155"/>
    <x v="270"/>
  </r>
  <r>
    <x v="0"/>
    <n v="463"/>
    <x v="73"/>
    <n v="33063.599999999999"/>
    <n v="7.1"/>
    <x v="328"/>
    <n v="0"/>
    <n v="14097.1"/>
    <x v="329"/>
    <n v="0"/>
    <n v="1.1000000000000001"/>
    <n v="2.7"/>
    <n v="11.9"/>
    <n v="0"/>
    <n v="0"/>
    <n v="0"/>
    <n v="0"/>
    <n v="0"/>
    <n v="0"/>
    <n v="0"/>
    <n v="65000"/>
    <s v="Computers, Office Equipment"/>
    <x v="12"/>
    <s v="www.wistron.com"/>
    <x v="289"/>
    <x v="0"/>
    <n v="2.3454185612643701"/>
    <x v="174"/>
    <x v="288"/>
  </r>
  <r>
    <x v="10"/>
    <n v="359"/>
    <x v="32"/>
    <n v="33262.699999999997"/>
    <n v="-8.9"/>
    <x v="329"/>
    <n v="0"/>
    <n v="86571.1"/>
    <x v="330"/>
    <n v="0"/>
    <n v="5.3838082897660096"/>
    <n v="2.0685887091650699"/>
    <n v="8.15705566183839"/>
    <n v="0"/>
    <n v="0"/>
    <n v="0"/>
    <n v="0"/>
    <n v="0"/>
    <n v="0"/>
    <n v="0"/>
    <n v="82441"/>
    <s v="Telecommunications"/>
    <x v="12"/>
    <s v="www.telecomitalia.com"/>
    <x v="290"/>
    <x v="10"/>
    <n v="0.38422406553688199"/>
    <x v="222"/>
    <x v="289"/>
  </r>
  <r>
    <x v="10"/>
    <n v="157"/>
    <x v="28"/>
    <n v="63175.8"/>
    <n v="-2.7"/>
    <x v="330"/>
    <n v="0"/>
    <n v="58191.1"/>
    <x v="331"/>
    <n v="0"/>
    <n v="0"/>
    <n v="0"/>
    <n v="0"/>
    <n v="0"/>
    <n v="0"/>
    <n v="0"/>
    <n v="0"/>
    <n v="0"/>
    <n v="0"/>
    <n v="0"/>
    <n v="198741"/>
    <s v="Electronics, Electrical Equip."/>
    <x v="12"/>
    <s v="www.toshiba.com"/>
    <x v="291"/>
    <x v="10"/>
    <n v="1.08566086566502"/>
    <x v="223"/>
    <x v="290"/>
  </r>
  <r>
    <x v="10"/>
    <n v="116"/>
    <x v="34"/>
    <n v="74724.899999999994"/>
    <n v="-3.6"/>
    <x v="331"/>
    <n v="0"/>
    <n v="132051.79999999999"/>
    <x v="332"/>
    <n v="0"/>
    <n v="-1.53335768933782"/>
    <n v="-0.86768980051767597"/>
    <n v="-5.9295676249126696"/>
    <n v="0"/>
    <n v="0"/>
    <n v="0"/>
    <n v="0"/>
    <n v="0"/>
    <n v="0"/>
    <n v="0"/>
    <n v="131700"/>
    <s v="Electronics, Electrical Equip."/>
    <x v="12"/>
    <s v="www.sony.net"/>
    <x v="292"/>
    <x v="10"/>
    <n v="0.56587566394399802"/>
    <x v="224"/>
    <x v="291"/>
  </r>
  <r>
    <x v="8"/>
    <n v="225"/>
    <x v="72"/>
    <n v="45246.1"/>
    <n v="-7.6"/>
    <x v="332"/>
    <n v="0"/>
    <n v="29387.1"/>
    <x v="333"/>
    <n v="0"/>
    <n v="0.1"/>
    <n v="0.20169999999999999"/>
    <n v="0"/>
    <n v="0"/>
    <n v="0"/>
    <n v="0"/>
    <n v="0"/>
    <n v="0"/>
    <n v="0"/>
    <n v="0"/>
    <n v="86697"/>
    <s v="Electronics, Electrical Equip."/>
    <x v="12"/>
    <s v="www.lg.com"/>
    <x v="0"/>
    <x v="8"/>
    <n v="1.5396585576664601"/>
    <x v="0"/>
    <x v="0"/>
  </r>
  <r>
    <x v="10"/>
    <n v="481"/>
    <x v="51"/>
    <n v="24640.400000000001"/>
    <n v="-7.5"/>
    <x v="333"/>
    <n v="0.3"/>
    <n v="37142.6"/>
    <x v="334"/>
    <n v="0"/>
    <n v="15.9230369636857"/>
    <n v="10.563342361601"/>
    <n v="30.080577767896202"/>
    <n v="0"/>
    <n v="0"/>
    <n v="0"/>
    <n v="0"/>
    <n v="0"/>
    <n v="0"/>
    <n v="0"/>
    <n v="31931"/>
    <s v="Telecommunications"/>
    <x v="12"/>
    <s v="www.telstra.com.au"/>
    <x v="293"/>
    <x v="10"/>
    <n v="0.66339997738445899"/>
    <x v="225"/>
    <x v="292"/>
  </r>
  <r>
    <x v="10"/>
    <n v="473"/>
    <x v="40"/>
    <n v="25126.3"/>
    <n v="1.7"/>
    <x v="334"/>
    <n v="120.6"/>
    <n v="20898.099999999999"/>
    <x v="335"/>
    <n v="0"/>
    <n v="3.4179326044821599"/>
    <n v="4.1094644967724303"/>
    <n v="8.2564220889093995"/>
    <n v="0"/>
    <n v="0"/>
    <n v="0"/>
    <n v="0"/>
    <n v="0"/>
    <n v="0"/>
    <n v="0"/>
    <n v="49421"/>
    <s v="Electronics, Electrical Equip."/>
    <x v="12"/>
    <s v="www.lgdisplay.com"/>
    <x v="294"/>
    <x v="10"/>
    <n v="1.20232461324235"/>
    <x v="226"/>
    <x v="293"/>
  </r>
  <r>
    <x v="10"/>
    <n v="470"/>
    <x v="35"/>
    <n v="25341.5"/>
    <n v="-13.3"/>
    <x v="335"/>
    <n v="-1852.7"/>
    <n v="16361.5"/>
    <x v="336"/>
    <n v="0"/>
    <n v="-7.9801905964524602"/>
    <n v="-12.3601136815084"/>
    <n v="-208.16263510036001"/>
    <n v="0"/>
    <n v="0"/>
    <n v="0"/>
    <n v="0"/>
    <n v="0"/>
    <n v="0"/>
    <n v="0"/>
    <n v="49096"/>
    <s v="Electronics, Electrical Equip."/>
    <x v="12"/>
    <s v="www.sharp.co.jp"/>
    <x v="295"/>
    <x v="10"/>
    <n v="1.5488494331204401"/>
    <x v="227"/>
    <x v="294"/>
  </r>
  <r>
    <x v="10"/>
    <n v="461"/>
    <x v="50"/>
    <n v="25674"/>
    <n v="0.1"/>
    <x v="336"/>
    <n v="63.5"/>
    <n v="24399.8"/>
    <x v="337"/>
    <n v="0"/>
    <n v="4.2428137415283897"/>
    <n v="4.4643808555807798"/>
    <n v="10.9676899686868"/>
    <n v="0"/>
    <n v="0"/>
    <n v="0"/>
    <n v="0"/>
    <n v="0"/>
    <n v="0"/>
    <n v="0"/>
    <n v="240798"/>
    <s v="Electronics, Electrical Equip."/>
    <x v="12"/>
    <s v="http://global-sei.com/"/>
    <x v="296"/>
    <x v="10"/>
    <n v="1.05222173952246"/>
    <x v="228"/>
    <x v="295"/>
  </r>
  <r>
    <x v="10"/>
    <n v="423"/>
    <x v="70"/>
    <n v="27909.1"/>
    <n v="19.600000000000001"/>
    <x v="337"/>
    <n v="179.3"/>
    <n v="11985.8"/>
    <x v="338"/>
    <n v="0"/>
    <n v="0.83162839360638596"/>
    <n v="1.9364581421348599"/>
    <n v="7.2492738232813796"/>
    <n v="0"/>
    <n v="0"/>
    <n v="0"/>
    <n v="0"/>
    <n v="0"/>
    <n v="0"/>
    <n v="0"/>
    <n v="64473"/>
    <s v="Computers, Office Equipment"/>
    <x v="12"/>
    <s v="www.compal.com"/>
    <x v="297"/>
    <x v="10"/>
    <n v="2.3285137412604899"/>
    <x v="229"/>
    <x v="296"/>
  </r>
  <r>
    <x v="10"/>
    <n v="411"/>
    <x v="52"/>
    <n v="28928.799999999999"/>
    <n v="-0.4"/>
    <x v="338"/>
    <n v="7.2"/>
    <n v="40360.699999999997"/>
    <x v="339"/>
    <n v="0"/>
    <n v="11.875017283814101"/>
    <n v="8.5114975706565996"/>
    <n v="286.44209121987802"/>
    <n v="0"/>
    <n v="0"/>
    <n v="0"/>
    <n v="0"/>
    <n v="0"/>
    <n v="0"/>
    <n v="0"/>
    <n v="88500"/>
    <s v="Telecommunications"/>
    <x v="12"/>
    <s v="www.bt.com"/>
    <x v="298"/>
    <x v="10"/>
    <n v="0.71675664693625196"/>
    <x v="230"/>
    <x v="297"/>
  </r>
  <r>
    <x v="10"/>
    <n v="389"/>
    <x v="54"/>
    <n v="30569.599999999999"/>
    <n v="3.1"/>
    <x v="339"/>
    <n v="-0.6"/>
    <n v="19234.599999999999"/>
    <x v="340"/>
    <n v="0"/>
    <n v="2.0386266094420602"/>
    <n v="3.2399945930770602"/>
    <n v="14.878124477761601"/>
    <n v="0"/>
    <n v="0"/>
    <n v="0"/>
    <n v="0"/>
    <n v="0"/>
    <n v="0"/>
    <n v="0"/>
    <n v="120370"/>
    <s v="Computers, Office Equipment"/>
    <x v="12"/>
    <s v="www.quantatw.com"/>
    <x v="299"/>
    <x v="10"/>
    <n v="1.5893026109199"/>
    <x v="231"/>
    <x v="298"/>
  </r>
  <r>
    <x v="10"/>
    <n v="385"/>
    <x v="41"/>
    <n v="30876.3"/>
    <n v="-4.8"/>
    <x v="340"/>
    <n v="-64.5"/>
    <n v="34303.699999999997"/>
    <x v="341"/>
    <n v="0"/>
    <n v="1.7829208810641199"/>
    <n v="1.60478315750196"/>
    <n v="4.1868848967919599"/>
    <n v="0"/>
    <n v="0"/>
    <n v="0"/>
    <n v="0"/>
    <n v="0"/>
    <n v="0"/>
    <n v="0"/>
    <n v="113678"/>
    <s v="Electronics, Electrical Equip."/>
    <x v="12"/>
    <s v="www.philips.com"/>
    <x v="300"/>
    <x v="10"/>
    <n v="0.90008657958179406"/>
    <x v="232"/>
    <x v="299"/>
  </r>
  <r>
    <x v="10"/>
    <n v="367"/>
    <x v="53"/>
    <n v="33082.300000000003"/>
    <n v="5.8"/>
    <x v="341"/>
    <n v="2.7"/>
    <n v="49797.9"/>
    <x v="342"/>
    <n v="0"/>
    <n v="7.7830138775115403"/>
    <n v="5.1704991575949997"/>
    <n v="10.7848639954428"/>
    <n v="0"/>
    <n v="0"/>
    <n v="0"/>
    <n v="0"/>
    <n v="0"/>
    <n v="0"/>
    <n v="0"/>
    <n v="167124"/>
    <s v="Electronics, Electrical Equip."/>
    <x v="12"/>
    <s v="www.schneider-electric.com"/>
    <x v="301"/>
    <x v="10"/>
    <n v="0.66433122681880197"/>
    <x v="233"/>
    <x v="300"/>
  </r>
  <r>
    <x v="10"/>
    <n v="355"/>
    <x v="71"/>
    <n v="33652.5"/>
    <n v="5.2"/>
    <x v="342"/>
    <n v="50.3"/>
    <n v="14465"/>
    <x v="343"/>
    <n v="0"/>
    <n v="1.43733749349974"/>
    <n v="3.3439336329070199"/>
    <n v="11.434717855369801"/>
    <n v="0"/>
    <n v="0"/>
    <n v="0"/>
    <n v="0"/>
    <n v="0"/>
    <n v="0"/>
    <n v="0"/>
    <n v="196251"/>
    <s v="Computers, Office Equipment"/>
    <x v="12"/>
    <s v="www.pegatroncorp.com"/>
    <x v="302"/>
    <x v="10"/>
    <n v="2.3264777048047001"/>
    <x v="234"/>
    <x v="301"/>
  </r>
  <r>
    <x v="10"/>
    <n v="334"/>
    <x v="46"/>
    <n v="35215"/>
    <n v="-7.9"/>
    <x v="343"/>
    <n v="1.9"/>
    <n v="37209"/>
    <x v="344"/>
    <n v="0"/>
    <n v="6.83600738321738"/>
    <n v="6.4696713160794399"/>
    <n v="9.6900535362073796"/>
    <n v="0"/>
    <n v="0"/>
    <n v="0"/>
    <n v="0"/>
    <n v="0"/>
    <n v="0"/>
    <n v="0"/>
    <n v="191889"/>
    <s v="Computers, Office Equipment"/>
    <x v="12"/>
    <s v="www.canon.com"/>
    <x v="303"/>
    <x v="10"/>
    <n v="0.94641081458786902"/>
    <x v="235"/>
    <x v="302"/>
  </r>
  <r>
    <x v="10"/>
    <n v="291"/>
    <x v="42"/>
    <n v="39318.800000000003"/>
    <n v="-2.8"/>
    <x v="344"/>
    <n v="39.299999999999997"/>
    <n v="33854.1"/>
    <x v="345"/>
    <n v="0"/>
    <n v="5.4289551054457403"/>
    <n v="6.3052924165758402"/>
    <n v="13.894240783170201"/>
    <n v="0"/>
    <n v="0"/>
    <n v="0"/>
    <n v="0"/>
    <n v="0"/>
    <n v="0"/>
    <n v="0"/>
    <n v="129249"/>
    <s v="Electronics, Electrical Equip."/>
    <x v="12"/>
    <s v="www.mitsubishielectric.com"/>
    <x v="304"/>
    <x v="10"/>
    <n v="1.1614191486407901"/>
    <x v="236"/>
    <x v="303"/>
  </r>
  <r>
    <x v="10"/>
    <n v="267"/>
    <x v="43"/>
    <n v="41593.5"/>
    <n v="-3.8"/>
    <x v="345"/>
    <n v="21.1"/>
    <n v="43785.9"/>
    <x v="346"/>
    <n v="0"/>
    <n v="9.3574717203409197"/>
    <n v="8.8889345656935195"/>
    <n v="15.8090773942501"/>
    <n v="0"/>
    <n v="0"/>
    <n v="0"/>
    <n v="0"/>
    <n v="0"/>
    <n v="0"/>
    <n v="0"/>
    <n v="28173"/>
    <s v="Telecommunications"/>
    <x v="12"/>
    <s v="www.kddi.com"/>
    <x v="305"/>
    <x v="10"/>
    <n v="0.94992908676080701"/>
    <x v="237"/>
    <x v="304"/>
  </r>
  <r>
    <x v="10"/>
    <n v="199"/>
    <x v="62"/>
    <n v="52325"/>
    <n v="-3.8"/>
    <x v="346"/>
    <n v="-50.7"/>
    <n v="106961.9"/>
    <x v="347"/>
    <n v="0"/>
    <n v="2.3449593884376498"/>
    <n v="1.1471374386580599"/>
    <n v="3.4308146996569202"/>
    <n v="0"/>
    <n v="0"/>
    <n v="0"/>
    <n v="0"/>
    <n v="0"/>
    <n v="0"/>
    <n v="0"/>
    <n v="156233"/>
    <s v="Telecommunications"/>
    <x v="12"/>
    <s v="www.orange.com"/>
    <x v="306"/>
    <x v="10"/>
    <n v="0.489192880829529"/>
    <x v="238"/>
    <x v="305"/>
  </r>
  <r>
    <x v="10"/>
    <n v="175"/>
    <x v="72"/>
    <n v="57038.6"/>
    <n v="7.4"/>
    <x v="347"/>
    <n v="134.9"/>
    <n v="33729.199999999997"/>
    <x v="348"/>
    <n v="0"/>
    <n v="0.66498827110062297"/>
    <n v="1.12454490471164"/>
    <n v="3.5569267702579799"/>
    <n v="0"/>
    <n v="0"/>
    <n v="0"/>
    <n v="0"/>
    <n v="0"/>
    <n v="0"/>
    <n v="0"/>
    <n v="83000"/>
    <s v="Electronics, Electrical Equip."/>
    <x v="12"/>
    <s v="www.lg.com"/>
    <x v="307"/>
    <x v="10"/>
    <n v="1.69107479572596"/>
    <x v="239"/>
    <x v="306"/>
  </r>
  <r>
    <x v="10"/>
    <n v="155"/>
    <x v="57"/>
    <n v="63744.800000000003"/>
    <n v="3.5"/>
    <x v="348"/>
    <n v="-40.700000000000003"/>
    <n v="86739.4"/>
    <x v="349"/>
    <n v="0"/>
    <n v="5.4401300184485599"/>
    <n v="3.9979524875662"/>
    <n v="27.718229703698398"/>
    <n v="0"/>
    <n v="0"/>
    <n v="0"/>
    <n v="0"/>
    <n v="0"/>
    <n v="0"/>
    <n v="0"/>
    <n v="191156"/>
    <s v="Telecommunications"/>
    <x v="12"/>
    <s v="www.americamovil.com"/>
    <x v="308"/>
    <x v="10"/>
    <n v="0.73490017224006599"/>
    <x v="240"/>
    <x v="307"/>
  </r>
  <r>
    <x v="10"/>
    <n v="140"/>
    <x v="58"/>
    <n v="66826.600000000006"/>
    <n v="-11.8"/>
    <x v="349"/>
    <n v="-34.700000000000003"/>
    <n v="147972.20000000001"/>
    <x v="350"/>
    <n v="0"/>
    <n v="5.9570590154219998"/>
    <n v="2.69030263792793"/>
    <n v="15.5823466092573"/>
    <n v="0"/>
    <n v="0"/>
    <n v="0"/>
    <n v="0"/>
    <n v="0"/>
    <n v="0"/>
    <n v="0"/>
    <n v="123700"/>
    <s v="Telecommunications"/>
    <x v="12"/>
    <s v="www.telefonica.com"/>
    <x v="309"/>
    <x v="10"/>
    <n v="0.45161591163745601"/>
    <x v="241"/>
    <x v="308"/>
  </r>
  <r>
    <x v="10"/>
    <n v="136"/>
    <x v="29"/>
    <n v="67944.600000000006"/>
    <n v="3"/>
    <x v="350"/>
    <n v="-90.2"/>
    <n v="181940"/>
    <x v="351"/>
    <n v="0"/>
    <n v="13.6428796401774"/>
    <n v="5.0948664394855498"/>
    <n v="9.4412706237516808"/>
    <n v="0"/>
    <n v="0"/>
    <n v="0"/>
    <n v="0"/>
    <n v="0"/>
    <n v="0"/>
    <n v="0"/>
    <n v="105970"/>
    <s v="Telecommunications"/>
    <x v="12"/>
    <s v="www.vodafone.com"/>
    <x v="310"/>
    <x v="10"/>
    <n v="0.37344509178850199"/>
    <x v="242"/>
    <x v="309"/>
  </r>
  <r>
    <x v="10"/>
    <n v="131"/>
    <x v="37"/>
    <n v="70169.600000000006"/>
    <n v="-9.1"/>
    <x v="351"/>
    <n v="35.799999999999997"/>
    <n v="49678.5"/>
    <x v="352"/>
    <n v="0"/>
    <n v="2.3263635534476501"/>
    <n v="3.2859285203860802"/>
    <n v="10.7355890960508"/>
    <n v="0"/>
    <n v="0"/>
    <n v="0"/>
    <n v="0"/>
    <n v="0"/>
    <n v="0"/>
    <n v="0"/>
    <n v="254084"/>
    <s v="Electronics, Electrical Equip."/>
    <x v="12"/>
    <s v="www.panasonic.com"/>
    <x v="311"/>
    <x v="10"/>
    <n v="1.4124742091649301"/>
    <x v="243"/>
    <x v="310"/>
  </r>
  <r>
    <x v="10"/>
    <n v="110"/>
    <x v="26"/>
    <n v="78857.2"/>
    <n v="18.5"/>
    <x v="352"/>
    <n v="15.5"/>
    <n v="175416.3"/>
    <x v="353"/>
    <n v="0"/>
    <n v="7.7087444139533199"/>
    <n v="3.4654134193914699"/>
    <n v="25.609386190335801"/>
    <n v="0"/>
    <n v="0"/>
    <n v="0"/>
    <n v="0"/>
    <n v="0"/>
    <n v="0"/>
    <n v="0"/>
    <n v="66154"/>
    <s v="Telecommunications"/>
    <x v="12"/>
    <s v="www.softbank.jp"/>
    <x v="312"/>
    <x v="10"/>
    <n v="0.44954317244178599"/>
    <x v="244"/>
    <x v="311"/>
  </r>
  <r>
    <x v="10"/>
    <n v="102"/>
    <x v="38"/>
    <n v="83117.7"/>
    <n v="4.0999999999999996"/>
    <x v="353"/>
    <n v="214.2"/>
    <n v="156515.4"/>
    <x v="354"/>
    <n v="0"/>
    <n v="4.6666353857241001"/>
    <n v="2.47822259023713"/>
    <n v="12.6029996620831"/>
    <n v="0"/>
    <n v="0"/>
    <n v="0"/>
    <n v="0"/>
    <n v="0"/>
    <n v="0"/>
    <n v="0"/>
    <n v="228000"/>
    <s v="Telecommunications"/>
    <x v="12"/>
    <s v="www.telekom.com"/>
    <x v="313"/>
    <x v="10"/>
    <n v="0.53105125757593197"/>
    <x v="140"/>
    <x v="312"/>
  </r>
  <r>
    <x v="10"/>
    <n v="89"/>
    <x v="44"/>
    <n v="88786.9"/>
    <n v="-7.5"/>
    <x v="354"/>
    <n v="-17"/>
    <n v="103372.4"/>
    <x v="355"/>
    <n v="0"/>
    <n v="2.4718736660475802"/>
    <n v="2.1231005568217398"/>
    <n v="8.9808328150063801"/>
    <n v="0"/>
    <n v="0"/>
    <n v="0"/>
    <n v="0"/>
    <n v="0"/>
    <n v="0"/>
    <n v="0"/>
    <n v="333150"/>
    <s v="Electronics, Electrical Equip."/>
    <x v="12"/>
    <s v="www.hitachi.com"/>
    <x v="314"/>
    <x v="10"/>
    <n v="0.85890334363911403"/>
    <x v="245"/>
    <x v="313"/>
  </r>
  <r>
    <x v="10"/>
    <n v="65"/>
    <x v="47"/>
    <n v="100913.9"/>
    <n v="-7.5"/>
    <x v="355"/>
    <n v="-19.399999999999999"/>
    <n v="172649.7"/>
    <x v="356"/>
    <n v="0"/>
    <n v="4.6692279259844298"/>
    <n v="2.72916778888119"/>
    <n v="6.5078705193562101"/>
    <n v="0"/>
    <n v="0"/>
    <n v="0"/>
    <n v="0"/>
    <n v="0"/>
    <n v="0"/>
    <n v="0"/>
    <n v="241600"/>
    <s v="Telecommunications"/>
    <x v="12"/>
    <s v="www.ntt.co.jp"/>
    <x v="315"/>
    <x v="10"/>
    <n v="0.58450087083846602"/>
    <x v="246"/>
    <x v="314"/>
  </r>
  <r>
    <x v="10"/>
    <n v="63"/>
    <x v="59"/>
    <n v="101560.3"/>
    <n v="-4.3"/>
    <x v="356"/>
    <n v="29.7"/>
    <n v="132473.20000000001"/>
    <x v="357"/>
    <n v="0"/>
    <n v="7.1763277579920501"/>
    <n v="5.5017165736163998"/>
    <n v="18.641059284210701"/>
    <n v="0"/>
    <n v="0"/>
    <n v="0"/>
    <n v="0"/>
    <n v="0"/>
    <n v="0"/>
    <n v="0"/>
    <n v="357000"/>
    <s v="Electronics, Electrical Equip."/>
    <x v="12"/>
    <s v="www.siemens.com"/>
    <x v="316"/>
    <x v="10"/>
    <n v="0.76664789557434998"/>
    <x v="247"/>
    <x v="315"/>
  </r>
  <r>
    <x v="10"/>
    <n v="31"/>
    <x v="60"/>
    <n v="139039.4"/>
    <n v="4.4000000000000004"/>
    <x v="357"/>
    <n v="19.8"/>
    <n v="77934"/>
    <x v="358"/>
    <n v="0"/>
    <n v="3.0982584792512098"/>
    <n v="5.5274976261965296"/>
    <n v="14.633616077343"/>
    <n v="0"/>
    <n v="0"/>
    <n v="0"/>
    <n v="0"/>
    <n v="0"/>
    <n v="0"/>
    <n v="0"/>
    <n v="1060000"/>
    <s v="Electronics, Electrical Equip."/>
    <x v="12"/>
    <s v="www.foxconn.com"/>
    <x v="317"/>
    <x v="10"/>
    <n v="1.7840660045679699"/>
    <x v="248"/>
    <x v="316"/>
  </r>
  <r>
    <x v="10"/>
    <n v="13"/>
    <x v="61"/>
    <n v="195845.3"/>
    <n v="-6.3"/>
    <x v="358"/>
    <n v="-19.5"/>
    <n v="209666"/>
    <x v="359"/>
    <n v="0"/>
    <n v="11.1938861948691"/>
    <n v="10.456010988906201"/>
    <n v="14.855585845834"/>
    <n v="0"/>
    <n v="0"/>
    <n v="0"/>
    <n v="0"/>
    <n v="0"/>
    <n v="0"/>
    <n v="0"/>
    <n v="307000"/>
    <s v="Electronics, Electrical Equip."/>
    <x v="12"/>
    <s v="www.samsung.com"/>
    <x v="318"/>
    <x v="10"/>
    <n v="0.93408230232846501"/>
    <x v="249"/>
    <x v="317"/>
  </r>
  <r>
    <x v="0"/>
    <n v="420"/>
    <x v="70"/>
    <n v="36039.699999999997"/>
    <n v="-18.5"/>
    <x v="359"/>
    <n v="-45.9"/>
    <n v="14767.2"/>
    <x v="360"/>
    <n v="0"/>
    <n v="0.7"/>
    <n v="1.7"/>
    <n v="6.5"/>
    <n v="0"/>
    <n v="0"/>
    <n v="0"/>
    <n v="0"/>
    <n v="0"/>
    <n v="0"/>
    <n v="0"/>
    <n v="73120"/>
    <s v="Computers, Office Equipment"/>
    <x v="12"/>
    <s v="www.compal.com"/>
    <x v="319"/>
    <x v="0"/>
    <n v="2.4405235928273501"/>
    <x v="124"/>
    <x v="318"/>
  </r>
  <r>
    <x v="0"/>
    <n v="345"/>
    <x v="54"/>
    <n v="42997"/>
    <n v="6.3"/>
    <x v="360"/>
    <n v="-19.3"/>
    <n v="26576.400000000001"/>
    <x v="361"/>
    <n v="0"/>
    <n v="2.2999999999999998"/>
    <n v="3.7"/>
    <n v="17.7"/>
    <n v="0"/>
    <n v="0"/>
    <n v="0"/>
    <n v="0"/>
    <n v="0"/>
    <n v="0"/>
    <n v="0"/>
    <n v="67979"/>
    <s v="Computers, Office Equipment"/>
    <x v="12"/>
    <s v="www.quantatw.com"/>
    <x v="320"/>
    <x v="0"/>
    <n v="1.6178639695368799"/>
    <x v="250"/>
    <x v="319"/>
  </r>
  <r>
    <x v="0"/>
    <n v="333"/>
    <x v="71"/>
    <n v="44272.5"/>
    <n v="-2.2000000000000002"/>
    <x v="361"/>
    <n v="-31.1"/>
    <n v="20717.8"/>
    <x v="362"/>
    <n v="0"/>
    <n v="1.1000000000000001"/>
    <n v="2.4"/>
    <n v="8.5"/>
    <n v="0"/>
    <n v="0"/>
    <n v="0"/>
    <n v="0"/>
    <n v="0"/>
    <n v="0"/>
    <n v="0"/>
    <n v="161836"/>
    <s v="Electronics, Electrical Equip."/>
    <x v="12"/>
    <s v="www.pegatroncorp.com"/>
    <x v="321"/>
    <x v="0"/>
    <n v="2.1369305621253201"/>
    <x v="153"/>
    <x v="320"/>
  </r>
  <r>
    <x v="0"/>
    <n v="204"/>
    <x v="72"/>
    <n v="64952.800000000003"/>
    <n v="-2.9"/>
    <x v="362"/>
    <n v="2.8"/>
    <n v="43845.7"/>
    <x v="363"/>
    <n v="0"/>
    <n v="1.4"/>
    <n v="2.1"/>
    <n v="6.1"/>
    <n v="0"/>
    <n v="0"/>
    <n v="0"/>
    <n v="0"/>
    <n v="0"/>
    <n v="0"/>
    <n v="0"/>
    <n v="74000"/>
    <s v="Electronics, Electrical Equip."/>
    <x v="12"/>
    <s v="www.lg.com"/>
    <x v="322"/>
    <x v="0"/>
    <n v="1.4813949828603501"/>
    <x v="251"/>
    <x v="321"/>
  </r>
  <r>
    <x v="0"/>
    <n v="25"/>
    <x v="61"/>
    <n v="234129.3"/>
    <n v="-4.2"/>
    <x v="363"/>
    <n v="23.6"/>
    <n v="356469.6"/>
    <x v="364"/>
    <n v="0"/>
    <n v="18.100000000000001"/>
    <n v="11.9"/>
    <n v="15.5"/>
    <n v="0"/>
    <n v="0"/>
    <n v="0"/>
    <n v="0"/>
    <n v="0"/>
    <n v="0"/>
    <n v="0"/>
    <n v="270372"/>
    <s v="Electronics, Electrical Equip."/>
    <x v="12"/>
    <s v="www.samsung.com"/>
    <x v="323"/>
    <x v="0"/>
    <n v="0.65680018716883604"/>
    <x v="187"/>
    <x v="322"/>
  </r>
  <r>
    <x v="1"/>
    <n v="462"/>
    <x v="73"/>
    <n v="30866.6"/>
    <n v="7.6"/>
    <x v="328"/>
    <n v="27.1"/>
    <n v="17943.900000000001"/>
    <x v="365"/>
    <n v="0"/>
    <n v="1.2"/>
    <n v="2.1"/>
    <n v="13.3"/>
    <n v="0"/>
    <n v="0"/>
    <n v="0"/>
    <n v="0"/>
    <n v="0"/>
    <n v="0"/>
    <n v="0"/>
    <n v="80000"/>
    <s v="Computers, Office Equipment"/>
    <x v="12"/>
    <s v="www.wistron.com"/>
    <x v="324"/>
    <x v="1"/>
    <n v="1.72017231482565"/>
    <x v="134"/>
    <x v="323"/>
  </r>
  <r>
    <x v="1"/>
    <n v="317"/>
    <x v="70"/>
    <n v="44243.1"/>
    <n v="24.2"/>
    <x v="364"/>
    <n v="42.3"/>
    <n v="19379.900000000001"/>
    <x v="366"/>
    <n v="0"/>
    <n v="1"/>
    <n v="2.2999999999999998"/>
    <n v="11.3"/>
    <n v="0"/>
    <n v="0"/>
    <n v="0"/>
    <n v="0"/>
    <n v="0"/>
    <n v="0"/>
    <n v="0"/>
    <n v="109709"/>
    <s v="Computers, Office Equipment"/>
    <x v="12"/>
    <s v="www.compal.com"/>
    <x v="325"/>
    <x v="1"/>
    <n v="2.2829374764575698"/>
    <x v="170"/>
    <x v="324"/>
  </r>
  <r>
    <x v="1"/>
    <n v="311"/>
    <x v="71"/>
    <n v="45247"/>
    <n v="-4.8"/>
    <x v="365"/>
    <n v="7.2"/>
    <n v="24419.8"/>
    <x v="367"/>
    <n v="0"/>
    <n v="1.6"/>
    <n v="3"/>
    <n v="12.2"/>
    <n v="0"/>
    <n v="0"/>
    <n v="0"/>
    <n v="0"/>
    <n v="0"/>
    <n v="0"/>
    <n v="0"/>
    <n v="132157"/>
    <s v="Electronics, Electrical Equip."/>
    <x v="12"/>
    <s v="www.pegatroncorp.com"/>
    <x v="326"/>
    <x v="1"/>
    <n v="1.85288167798262"/>
    <x v="252"/>
    <x v="325"/>
  </r>
  <r>
    <x v="1"/>
    <n v="187"/>
    <x v="72"/>
    <n v="66861.8"/>
    <n v="24.7"/>
    <x v="366"/>
    <n v="-46"/>
    <n v="45002.2"/>
    <x v="368"/>
    <n v="0"/>
    <n v="1.3"/>
    <n v="2"/>
    <n v="6.2"/>
    <n v="0"/>
    <n v="0"/>
    <n v="0"/>
    <n v="0"/>
    <n v="0"/>
    <n v="0"/>
    <n v="0"/>
    <n v="75000"/>
    <s v="Electronics, Electrical Equip."/>
    <x v="12"/>
    <s v="www.lg.com"/>
    <x v="327"/>
    <x v="1"/>
    <n v="1.48574514134865"/>
    <x v="253"/>
    <x v="326"/>
  </r>
  <r>
    <x v="1"/>
    <n v="349"/>
    <x v="54"/>
    <n v="40439.699999999997"/>
    <n v="9.1999999999999993"/>
    <x v="367"/>
    <n v="40.1"/>
    <n v="25892"/>
    <x v="369"/>
    <n v="0"/>
    <n v="3"/>
    <n v="4.7"/>
    <n v="20.7"/>
    <n v="0"/>
    <n v="0"/>
    <n v="0"/>
    <n v="0"/>
    <n v="0"/>
    <n v="0"/>
    <n v="0"/>
    <n v="91313"/>
    <s v="Computers, Office Equipment"/>
    <x v="12"/>
    <s v="www.quantatw.com"/>
    <x v="328"/>
    <x v="1"/>
    <n v="1.5618608064267001"/>
    <x v="254"/>
    <x v="327"/>
  </r>
  <r>
    <x v="1"/>
    <n v="18"/>
    <x v="61"/>
    <n v="244334.9"/>
    <n v="21.7"/>
    <x v="368"/>
    <n v="55.1"/>
    <n v="358981.8"/>
    <x v="370"/>
    <n v="0"/>
    <n v="14"/>
    <n v="9.6"/>
    <n v="13.8"/>
    <n v="0"/>
    <n v="0"/>
    <n v="0"/>
    <n v="0"/>
    <n v="0"/>
    <n v="0"/>
    <n v="0"/>
    <n v="266673"/>
    <s v="Electronics, Electrical Equip."/>
    <x v="12"/>
    <s v="www.samsung.com"/>
    <x v="329"/>
    <x v="1"/>
    <n v="0.68063311287647499"/>
    <x v="208"/>
    <x v="328"/>
  </r>
  <r>
    <x v="2"/>
    <n v="421"/>
    <x v="73"/>
    <n v="28694.5"/>
    <n v="1"/>
    <x v="369"/>
    <n v="34"/>
    <n v="15270.9"/>
    <x v="371"/>
    <n v="0"/>
    <n v="1"/>
    <n v="1.9"/>
    <n v="11.6"/>
    <n v="0"/>
    <n v="0"/>
    <n v="0"/>
    <n v="0"/>
    <n v="0"/>
    <n v="0"/>
    <n v="0"/>
    <n v="69506"/>
    <s v="Computers, Office Equipment"/>
    <x v="12"/>
    <s v="www.wistron.com"/>
    <x v="330"/>
    <x v="2"/>
    <n v="1.87903136029965"/>
    <x v="150"/>
    <x v="329"/>
  </r>
  <r>
    <x v="2"/>
    <n v="339"/>
    <x v="70"/>
    <n v="35619.1"/>
    <n v="12.3"/>
    <x v="370"/>
    <n v="41.3"/>
    <n v="16627.8"/>
    <x v="372"/>
    <n v="0"/>
    <n v="0.9"/>
    <n v="1.9"/>
    <n v="8.4"/>
    <n v="0"/>
    <n v="0"/>
    <n v="0"/>
    <n v="0"/>
    <n v="0"/>
    <n v="0"/>
    <n v="0"/>
    <n v="112761"/>
    <s v="Computers, Office Equipment"/>
    <x v="12"/>
    <s v="www.compal.com"/>
    <x v="331"/>
    <x v="2"/>
    <n v="2.14214147391717"/>
    <x v="39"/>
    <x v="330"/>
  </r>
  <r>
    <x v="2"/>
    <n v="324"/>
    <x v="54"/>
    <n v="37042.9"/>
    <n v="11.2"/>
    <x v="371"/>
    <n v="66.7"/>
    <n v="23640.799999999999"/>
    <x v="373"/>
    <n v="0"/>
    <n v="2.2999999999999998"/>
    <n v="3.6"/>
    <n v="16.7"/>
    <n v="0"/>
    <n v="0"/>
    <n v="0"/>
    <n v="0"/>
    <n v="0"/>
    <n v="0"/>
    <n v="0"/>
    <n v="90895"/>
    <s v="Computers, Office Equipment"/>
    <x v="12"/>
    <s v="www.quantatw.com"/>
    <x v="332"/>
    <x v="2"/>
    <n v="1.56690551927177"/>
    <x v="255"/>
    <x v="331"/>
  </r>
  <r>
    <x v="2"/>
    <n v="235"/>
    <x v="71"/>
    <n v="47517.9"/>
    <n v="7.5"/>
    <x v="372"/>
    <n v="9.8000000000000007"/>
    <n v="24370.5"/>
    <x v="374"/>
    <n v="0"/>
    <n v="1.4"/>
    <n v="2.8"/>
    <n v="11.9"/>
    <n v="0"/>
    <n v="0"/>
    <n v="0"/>
    <n v="0"/>
    <n v="0"/>
    <n v="0"/>
    <n v="0"/>
    <n v="169083"/>
    <s v="Electronics, Electrical Equip."/>
    <x v="12"/>
    <s v="www.pegatroncorp.com"/>
    <x v="333"/>
    <x v="2"/>
    <n v="1.94981227303502"/>
    <x v="174"/>
    <x v="332"/>
  </r>
  <r>
    <x v="2"/>
    <n v="192"/>
    <x v="72"/>
    <n v="53625.4"/>
    <n v="0.3"/>
    <x v="373"/>
    <n v="6115.2"/>
    <n v="44349.8"/>
    <x v="375"/>
    <n v="0"/>
    <n v="3.1"/>
    <n v="3.8"/>
    <n v="11.7"/>
    <n v="0"/>
    <n v="0"/>
    <n v="0"/>
    <n v="0"/>
    <n v="0"/>
    <n v="0"/>
    <n v="0"/>
    <n v="75000"/>
    <s v="Electronics, Electrical Equip."/>
    <x v="12"/>
    <s v="www.lg.com"/>
    <x v="334"/>
    <x v="2"/>
    <n v="1.20914637721027"/>
    <x v="66"/>
    <x v="333"/>
  </r>
  <r>
    <x v="2"/>
    <n v="15"/>
    <x v="61"/>
    <n v="200734.4"/>
    <n v="1.5"/>
    <x v="374"/>
    <n v="19.899999999999999"/>
    <n v="347991.8"/>
    <x v="376"/>
    <n v="0"/>
    <n v="11"/>
    <n v="6.4"/>
    <n v="9"/>
    <n v="0"/>
    <n v="0"/>
    <n v="0"/>
    <n v="0"/>
    <n v="0"/>
    <n v="0"/>
    <n v="0"/>
    <n v="267937"/>
    <s v="Electronics, Electrical Equip."/>
    <x v="12"/>
    <s v="www.samsung.com"/>
    <x v="335"/>
    <x v="2"/>
    <n v="0.57683658063207199"/>
    <x v="5"/>
    <x v="334"/>
  </r>
  <r>
    <x v="3"/>
    <n v="424"/>
    <x v="73"/>
    <n v="29509.5"/>
    <n v="7.4"/>
    <x v="375"/>
    <n v="27.5"/>
    <n v="11032.7"/>
    <x v="377"/>
    <n v="0"/>
    <n v="0.6"/>
    <n v="1.5"/>
    <n v="7.3"/>
    <n v="0"/>
    <n v="0"/>
    <n v="0"/>
    <n v="0"/>
    <n v="0"/>
    <n v="0"/>
    <n v="0"/>
    <n v="82955"/>
    <s v="Computers, Office Equipment"/>
    <x v="12"/>
    <s v="www.wistron.com"/>
    <x v="336"/>
    <x v="3"/>
    <n v="2.67473057365831"/>
    <x v="137"/>
    <x v="335"/>
  </r>
  <r>
    <x v="3"/>
    <n v="390"/>
    <x v="70"/>
    <n v="32102.799999999999"/>
    <n v="10"/>
    <x v="376"/>
    <n v="56.5"/>
    <n v="13007.4"/>
    <x v="378"/>
    <n v="0"/>
    <n v="0.9"/>
    <n v="2.2999999999999998"/>
    <n v="8.6"/>
    <n v="0"/>
    <n v="0"/>
    <n v="0"/>
    <n v="0"/>
    <n v="0"/>
    <n v="0"/>
    <n v="0"/>
    <n v="82374"/>
    <s v="Computers, Office Equipment"/>
    <x v="12"/>
    <s v="www.compal.com"/>
    <x v="337"/>
    <x v="3"/>
    <n v="2.4680412688162101"/>
    <x v="256"/>
    <x v="336"/>
  </r>
  <r>
    <x v="3"/>
    <n v="365"/>
    <x v="54"/>
    <n v="34102.6"/>
    <n v="1.6"/>
    <x v="377"/>
    <n v="6.2"/>
    <n v="21455.9"/>
    <x v="379"/>
    <n v="0"/>
    <n v="1.5"/>
    <n v="2.2999999999999998"/>
    <n v="11.4"/>
    <n v="0"/>
    <n v="0"/>
    <n v="0"/>
    <n v="0"/>
    <n v="0"/>
    <n v="0"/>
    <n v="0"/>
    <n v="112421"/>
    <s v="Computers, Office Equipment"/>
    <x v="12"/>
    <s v="www.quantatw.com"/>
    <x v="338"/>
    <x v="3"/>
    <n v="1.58942761664624"/>
    <x v="205"/>
    <x v="337"/>
  </r>
  <r>
    <x v="3"/>
    <n v="259"/>
    <x v="71"/>
    <n v="44453.3"/>
    <n v="13.3"/>
    <x v="378"/>
    <n v="-23.6"/>
    <n v="19011.900000000001"/>
    <x v="380"/>
    <n v="0"/>
    <n v="0.8"/>
    <n v="1.9"/>
    <n v="7.6"/>
    <n v="0"/>
    <n v="0"/>
    <n v="0"/>
    <n v="0"/>
    <n v="0"/>
    <n v="0"/>
    <n v="0"/>
    <n v="156477"/>
    <s v="Electronics, Electrical Equip."/>
    <x v="12"/>
    <s v="www.pegatroncorp.com"/>
    <x v="339"/>
    <x v="3"/>
    <n v="2.3381829275348598"/>
    <x v="257"/>
    <x v="338"/>
  </r>
  <r>
    <x v="3"/>
    <n v="185"/>
    <x v="72"/>
    <n v="55757.4"/>
    <n v="2.7"/>
    <x v="379"/>
    <n v="-26.2"/>
    <n v="39731.5"/>
    <x v="381"/>
    <n v="0"/>
    <n v="2"/>
    <n v="2.8"/>
    <n v="8.8000000000000007"/>
    <n v="0"/>
    <n v="0"/>
    <n v="0"/>
    <n v="0"/>
    <n v="0"/>
    <n v="0"/>
    <n v="0"/>
    <n v="72600"/>
    <s v="Electronics, Electrical Equip."/>
    <x v="12"/>
    <s v="www.lg.com"/>
    <x v="340"/>
    <x v="3"/>
    <n v="1.40335502057561"/>
    <x v="98"/>
    <x v="339"/>
  </r>
  <r>
    <x v="4"/>
    <n v="424"/>
    <x v="73"/>
    <n v="29509.5"/>
    <n v="7.4"/>
    <x v="375"/>
    <n v="27.5"/>
    <n v="11032.7"/>
    <x v="377"/>
    <n v="0"/>
    <n v="0.6"/>
    <n v="1.5"/>
    <n v="7.3"/>
    <n v="0"/>
    <n v="0"/>
    <n v="0"/>
    <n v="0"/>
    <n v="0"/>
    <n v="0"/>
    <n v="0"/>
    <n v="82955"/>
    <s v="Computers, Office Equipment"/>
    <x v="12"/>
    <s v="www.wistron.com"/>
    <x v="336"/>
    <x v="4"/>
    <n v="2.67473057365831"/>
    <x v="137"/>
    <x v="335"/>
  </r>
  <r>
    <x v="4"/>
    <n v="390"/>
    <x v="70"/>
    <n v="32102.799999999999"/>
    <n v="10"/>
    <x v="376"/>
    <n v="56.5"/>
    <n v="13007.4"/>
    <x v="378"/>
    <n v="0"/>
    <n v="0.9"/>
    <n v="2.2999999999999998"/>
    <n v="8.6"/>
    <n v="0"/>
    <n v="0"/>
    <n v="0"/>
    <n v="0"/>
    <n v="0"/>
    <n v="0"/>
    <n v="0"/>
    <n v="82374"/>
    <s v="Computers, Office Equipment"/>
    <x v="12"/>
    <s v="www.compal.com"/>
    <x v="337"/>
    <x v="4"/>
    <n v="2.4680412688162101"/>
    <x v="256"/>
    <x v="336"/>
  </r>
  <r>
    <x v="4"/>
    <n v="365"/>
    <x v="54"/>
    <n v="34102.6"/>
    <n v="1.6"/>
    <x v="377"/>
    <n v="6.2"/>
    <n v="21455.9"/>
    <x v="379"/>
    <n v="0"/>
    <n v="1.5"/>
    <n v="2.2999999999999998"/>
    <n v="11.4"/>
    <n v="0"/>
    <n v="0"/>
    <n v="0"/>
    <n v="0"/>
    <n v="0"/>
    <n v="0"/>
    <n v="0"/>
    <n v="112421"/>
    <s v="Computers, Office Equipment"/>
    <x v="12"/>
    <s v="www.quantatw.com"/>
    <x v="338"/>
    <x v="4"/>
    <n v="1.58942761664624"/>
    <x v="205"/>
    <x v="337"/>
  </r>
  <r>
    <x v="4"/>
    <n v="259"/>
    <x v="71"/>
    <n v="44453.3"/>
    <n v="13.3"/>
    <x v="378"/>
    <n v="-23.6"/>
    <n v="19011.900000000001"/>
    <x v="380"/>
    <n v="0"/>
    <n v="0.8"/>
    <n v="1.9"/>
    <n v="7.6"/>
    <n v="0"/>
    <n v="0"/>
    <n v="0"/>
    <n v="0"/>
    <n v="0"/>
    <n v="0"/>
    <n v="0"/>
    <n v="156477"/>
    <s v="Electronics, Electrical Equip."/>
    <x v="12"/>
    <s v="www.pegatroncorp.com"/>
    <x v="339"/>
    <x v="4"/>
    <n v="2.3381829275348598"/>
    <x v="257"/>
    <x v="338"/>
  </r>
  <r>
    <x v="4"/>
    <n v="185"/>
    <x v="72"/>
    <n v="55757.4"/>
    <n v="2.7"/>
    <x v="379"/>
    <n v="-26.2"/>
    <n v="39731.5"/>
    <x v="381"/>
    <n v="0"/>
    <n v="2"/>
    <n v="2.8"/>
    <n v="8.8000000000000007"/>
    <n v="0"/>
    <n v="0"/>
    <n v="0"/>
    <n v="0"/>
    <n v="0"/>
    <n v="0"/>
    <n v="0"/>
    <n v="72600"/>
    <s v="Electronics, Electrical Equip."/>
    <x v="12"/>
    <s v="www.lg.com"/>
    <x v="340"/>
    <x v="4"/>
    <n v="1.40335502057561"/>
    <x v="98"/>
    <x v="339"/>
  </r>
  <r>
    <x v="5"/>
    <n v="424"/>
    <x v="73"/>
    <n v="29509.5"/>
    <n v="7.4"/>
    <x v="375"/>
    <n v="27.5"/>
    <n v="11032.7"/>
    <x v="377"/>
    <n v="0"/>
    <n v="0.6"/>
    <n v="1.5"/>
    <n v="7.3"/>
    <n v="0"/>
    <n v="0"/>
    <n v="0"/>
    <n v="0"/>
    <n v="0"/>
    <n v="0"/>
    <n v="0"/>
    <n v="82955"/>
    <s v="Computers, Office Equipment"/>
    <x v="12"/>
    <s v="www.wistron.com"/>
    <x v="336"/>
    <x v="5"/>
    <n v="2.67473057365831"/>
    <x v="137"/>
    <x v="335"/>
  </r>
  <r>
    <x v="5"/>
    <n v="390"/>
    <x v="70"/>
    <n v="32102.799999999999"/>
    <n v="10"/>
    <x v="376"/>
    <n v="56.5"/>
    <n v="13007.4"/>
    <x v="378"/>
    <n v="0"/>
    <n v="0.9"/>
    <n v="2.2999999999999998"/>
    <n v="8.6"/>
    <n v="0"/>
    <n v="0"/>
    <n v="0"/>
    <n v="0"/>
    <n v="0"/>
    <n v="0"/>
    <n v="0"/>
    <n v="82374"/>
    <s v="Computers, Office Equipment"/>
    <x v="12"/>
    <s v="www.compal.com"/>
    <x v="337"/>
    <x v="5"/>
    <n v="2.4680412688162101"/>
    <x v="256"/>
    <x v="336"/>
  </r>
  <r>
    <x v="5"/>
    <n v="365"/>
    <x v="54"/>
    <n v="34102.6"/>
    <n v="1.6"/>
    <x v="377"/>
    <n v="6.2"/>
    <n v="21455.9"/>
    <x v="379"/>
    <n v="0"/>
    <n v="1.5"/>
    <n v="2.2999999999999998"/>
    <n v="11.4"/>
    <n v="0"/>
    <n v="0"/>
    <n v="0"/>
    <n v="0"/>
    <n v="0"/>
    <n v="0"/>
    <n v="0"/>
    <n v="112421"/>
    <s v="Computers, Office Equipment"/>
    <x v="12"/>
    <s v="www.quantatw.com"/>
    <x v="338"/>
    <x v="5"/>
    <n v="1.58942761664624"/>
    <x v="205"/>
    <x v="337"/>
  </r>
  <r>
    <x v="5"/>
    <n v="259"/>
    <x v="71"/>
    <n v="44453.3"/>
    <n v="13.3"/>
    <x v="378"/>
    <n v="-23.6"/>
    <n v="19011.900000000001"/>
    <x v="380"/>
    <n v="0"/>
    <n v="0.8"/>
    <n v="1.9"/>
    <n v="7.6"/>
    <n v="0"/>
    <n v="0"/>
    <n v="0"/>
    <n v="0"/>
    <n v="0"/>
    <n v="0"/>
    <n v="0"/>
    <n v="156477"/>
    <s v="Electronics, Electrical Equip."/>
    <x v="12"/>
    <s v="www.pegatroncorp.com"/>
    <x v="339"/>
    <x v="5"/>
    <n v="2.3381829275348598"/>
    <x v="257"/>
    <x v="338"/>
  </r>
  <r>
    <x v="5"/>
    <n v="185"/>
    <x v="72"/>
    <n v="55757.4"/>
    <n v="2.7"/>
    <x v="379"/>
    <n v="-26.2"/>
    <n v="39731.5"/>
    <x v="381"/>
    <n v="0"/>
    <n v="2"/>
    <n v="2.8"/>
    <n v="8.8000000000000007"/>
    <n v="0"/>
    <n v="0"/>
    <n v="0"/>
    <n v="0"/>
    <n v="0"/>
    <n v="0"/>
    <n v="0"/>
    <n v="72600"/>
    <s v="Electronics, Electrical Equip."/>
    <x v="12"/>
    <s v="www.lg.com"/>
    <x v="340"/>
    <x v="5"/>
    <n v="1.40335502057561"/>
    <x v="98"/>
    <x v="339"/>
  </r>
  <r>
    <x v="11"/>
    <n v="400"/>
    <x v="70"/>
    <n v="26694.9"/>
    <n v="-4.4000000000000004"/>
    <x v="380"/>
    <n v="17.899999999999999"/>
    <n v="9985.2999999999993"/>
    <x v="382"/>
    <n v="0"/>
    <n v="1"/>
    <n v="2.7"/>
    <n v="8.6999999999999993"/>
    <n v="0"/>
    <n v="0"/>
    <n v="0"/>
    <n v="0"/>
    <n v="0"/>
    <n v="0"/>
    <n v="0"/>
    <n v="72796"/>
    <s v="Computers, Office Equipment"/>
    <x v="12"/>
    <s v="www.compal.com"/>
    <x v="341"/>
    <x v="11"/>
    <n v="2.6734199272931201"/>
    <x v="194"/>
    <x v="340"/>
  </r>
  <r>
    <x v="11"/>
    <n v="326"/>
    <x v="54"/>
    <n v="31734.3"/>
    <n v="3.8"/>
    <x v="381"/>
    <n v="-9.9"/>
    <n v="16186.3"/>
    <x v="383"/>
    <n v="0"/>
    <n v="1.8"/>
    <n v="3.5"/>
    <n v="13.9"/>
    <n v="0"/>
    <n v="0"/>
    <n v="0"/>
    <n v="0"/>
    <n v="0"/>
    <n v="0"/>
    <n v="0"/>
    <n v="90167"/>
    <s v="Computers, Office Equipment"/>
    <x v="12"/>
    <s v="www.quantatw.com"/>
    <x v="342"/>
    <x v="11"/>
    <n v="1.96056541643242"/>
    <x v="127"/>
    <x v="341"/>
  </r>
  <r>
    <x v="11"/>
    <n v="259"/>
    <x v="71"/>
    <n v="38238.9"/>
    <n v="13.6"/>
    <x v="382"/>
    <n v="55.1"/>
    <n v="14496.7"/>
    <x v="384"/>
    <n v="0"/>
    <n v="2"/>
    <n v="5.2"/>
    <n v="16.399999999999999"/>
    <n v="0"/>
    <n v="0"/>
    <n v="0"/>
    <n v="0"/>
    <n v="0"/>
    <n v="0"/>
    <n v="0"/>
    <n v="196251"/>
    <s v="Computers, Office Equipment"/>
    <x v="12"/>
    <s v="www.pegatroncorp.com"/>
    <x v="343"/>
    <x v="11"/>
    <n v="2.6377658363627599"/>
    <x v="46"/>
    <x v="342"/>
  </r>
  <r>
    <x v="7"/>
    <n v="375"/>
    <x v="71"/>
    <n v="31999.1"/>
    <n v="7.3"/>
    <x v="383"/>
    <n v="55.9"/>
    <n v="13956.2"/>
    <x v="385"/>
    <n v="0"/>
    <n v="1.0019"/>
    <n v="2.3018999999999998"/>
    <n v="8.9018999999999995"/>
    <n v="0"/>
    <n v="0"/>
    <n v="0"/>
    <n v="0"/>
    <n v="0"/>
    <n v="0"/>
    <n v="0"/>
    <n v="187300"/>
    <s v="Computers, Office Equipment"/>
    <x v="12"/>
    <s v="www.pegatroncorp.com"/>
    <x v="344"/>
    <x v="7"/>
    <n v="2.2928232613462098"/>
    <x v="113"/>
    <x v="343"/>
  </r>
  <r>
    <x v="7"/>
    <n v="194"/>
    <x v="72"/>
    <n v="53118.3"/>
    <n v="17.399999999999999"/>
    <x v="384"/>
    <n v="172.4"/>
    <n v="33669.5"/>
    <x v="386"/>
    <n v="0"/>
    <n v="0.3019"/>
    <n v="0.50190000000000001"/>
    <n v="1.5019"/>
    <n v="0"/>
    <n v="0"/>
    <n v="0"/>
    <n v="0"/>
    <n v="0"/>
    <n v="0"/>
    <n v="0"/>
    <n v="85905"/>
    <s v="Electronics, Electrical Equip."/>
    <x v="12"/>
    <s v="www.lg.com"/>
    <x v="345"/>
    <x v="7"/>
    <n v="1.57763851557047"/>
    <x v="258"/>
    <x v="344"/>
  </r>
  <r>
    <x v="8"/>
    <n v="384"/>
    <x v="71"/>
    <n v="29824.7"/>
    <n v="46.1"/>
    <x v="385"/>
    <n v="5346"/>
    <n v="13480.3"/>
    <x v="387"/>
    <n v="0"/>
    <n v="0.7"/>
    <n v="1.5313000000000001"/>
    <n v="0"/>
    <n v="0"/>
    <n v="0"/>
    <n v="0"/>
    <n v="0"/>
    <n v="0"/>
    <n v="0"/>
    <n v="0"/>
    <n v="177948"/>
    <s v="Computers, Office Equipment"/>
    <x v="12"/>
    <s v="www.pegatroncorp.com"/>
    <x v="0"/>
    <x v="8"/>
    <n v="2.2124655979466299"/>
    <x v="0"/>
    <x v="0"/>
  </r>
  <r>
    <x v="8"/>
    <n v="257"/>
    <x v="48"/>
    <n v="40683"/>
    <n v="0.3"/>
    <x v="386"/>
    <n v="-12.3"/>
    <n v="69413.7"/>
    <x v="388"/>
    <n v="0"/>
    <n v="8.6"/>
    <n v="5.0206999999999997"/>
    <n v="0"/>
    <n v="0"/>
    <n v="0"/>
    <n v="0"/>
    <n v="0"/>
    <n v="0"/>
    <n v="0"/>
    <n v="0"/>
    <n v="24598"/>
    <s v="Telecommunications"/>
    <x v="12"/>
    <s v="www.softbank.co.jp"/>
    <x v="0"/>
    <x v="8"/>
    <n v="0.58609467583488595"/>
    <x v="0"/>
    <x v="0"/>
  </r>
  <r>
    <x v="0"/>
    <n v="368"/>
    <x v="74"/>
    <n v="40326.300000000003"/>
    <n v="-6.5"/>
    <x v="387"/>
    <n v="0"/>
    <n v="61129.3"/>
    <x v="389"/>
    <n v="0"/>
    <n v="-1.2"/>
    <n v="-0.8"/>
    <n v="-4.8"/>
    <n v="0"/>
    <n v="0"/>
    <n v="0"/>
    <n v="0"/>
    <n v="0"/>
    <n v="0"/>
    <n v="0"/>
    <n v="184940"/>
    <s v="Electronics, Electrical Equip."/>
    <x v="12"/>
    <s v="www.cec.com.cn"/>
    <x v="346"/>
    <x v="0"/>
    <n v="0.65968856178624702"/>
    <x v="259"/>
    <x v="345"/>
  </r>
  <r>
    <x v="1"/>
    <n v="324"/>
    <x v="74"/>
    <n v="43118.400000000001"/>
    <n v="20"/>
    <x v="388"/>
    <n v="0"/>
    <n v="62094.3"/>
    <x v="390"/>
    <n v="0"/>
    <n v="-0.4"/>
    <n v="-0.3"/>
    <n v="-1.5"/>
    <n v="0"/>
    <n v="0"/>
    <n v="0"/>
    <n v="0"/>
    <n v="0"/>
    <n v="0"/>
    <n v="0"/>
    <n v="191126"/>
    <s v="Electronics, Electrical Equip."/>
    <x v="12"/>
    <s v="www.cec.com.cn"/>
    <x v="347"/>
    <x v="1"/>
    <n v="0.69440190162382098"/>
    <x v="260"/>
    <x v="346"/>
  </r>
  <r>
    <x v="0"/>
    <n v="479"/>
    <x v="75"/>
    <n v="31817.4"/>
    <n v="33.299999999999997"/>
    <x v="389"/>
    <n v="24.3"/>
    <n v="21513.7"/>
    <x v="391"/>
    <n v="0"/>
    <n v="4.3"/>
    <n v="6.3"/>
    <n v="20.7"/>
    <n v="0"/>
    <n v="0"/>
    <n v="0"/>
    <n v="0"/>
    <n v="0"/>
    <n v="0"/>
    <n v="0"/>
    <n v="236932"/>
    <s v="Electronics, Electrical Equip."/>
    <x v="12"/>
    <s v="www.luxshare-ict.com"/>
    <x v="348"/>
    <x v="0"/>
    <n v="1.4789366775589501"/>
    <x v="254"/>
    <x v="347"/>
  </r>
  <r>
    <x v="0"/>
    <n v="278"/>
    <x v="67"/>
    <n v="51393"/>
    <n v="-3.5"/>
    <x v="390"/>
    <n v="-0.8"/>
    <n v="61264.800000000003"/>
    <x v="392"/>
    <n v="0"/>
    <n v="8.5"/>
    <n v="7.2"/>
    <n v="21.2"/>
    <n v="0"/>
    <n v="0"/>
    <n v="0"/>
    <n v="0"/>
    <n v="0"/>
    <n v="0"/>
    <n v="0"/>
    <n v="166243"/>
    <s v="Electronics, Electrical Equip."/>
    <x v="12"/>
    <s v="www.midea-group.com"/>
    <x v="349"/>
    <x v="0"/>
    <n v="0.83886669017119098"/>
    <x v="261"/>
    <x v="348"/>
  </r>
  <r>
    <x v="1"/>
    <n v="487"/>
    <x v="76"/>
    <n v="29402.2"/>
    <n v="19"/>
    <x v="391"/>
    <n v="11.3"/>
    <n v="50313.8"/>
    <x v="393"/>
    <n v="0"/>
    <n v="12.2"/>
    <n v="7.1"/>
    <n v="21.9"/>
    <n v="0"/>
    <n v="0"/>
    <n v="0"/>
    <n v="0"/>
    <n v="0"/>
    <n v="0"/>
    <n v="0"/>
    <n v="81884"/>
    <s v="Electronics, Electrical Equip."/>
    <x v="12"/>
    <s v="www.gree.com"/>
    <x v="350"/>
    <x v="1"/>
    <n v="0.58437645337859601"/>
    <x v="139"/>
    <x v="349"/>
  </r>
  <r>
    <x v="1"/>
    <n v="245"/>
    <x v="67"/>
    <n v="53231.5"/>
    <n v="28.6"/>
    <x v="392"/>
    <n v="12.3"/>
    <n v="61073.7"/>
    <x v="394"/>
    <n v="0"/>
    <n v="8.3000000000000007"/>
    <n v="7.3"/>
    <n v="22.5"/>
    <n v="0"/>
    <n v="0"/>
    <n v="0"/>
    <n v="0"/>
    <n v="0"/>
    <n v="0"/>
    <n v="0"/>
    <n v="165799"/>
    <s v="Electronics, Electrical Equip."/>
    <x v="12"/>
    <s v="www.midea-group.com"/>
    <x v="351"/>
    <x v="1"/>
    <n v="0.87159448338646595"/>
    <x v="89"/>
    <x v="350"/>
  </r>
  <r>
    <x v="2"/>
    <n v="488"/>
    <x v="76"/>
    <n v="24709.7"/>
    <n v="-14.9"/>
    <x v="393"/>
    <n v="-10.1"/>
    <n v="42792"/>
    <x v="395"/>
    <n v="0"/>
    <n v="13"/>
    <n v="7.5"/>
    <n v="18.2"/>
    <n v="0"/>
    <n v="0"/>
    <n v="0"/>
    <n v="0"/>
    <n v="0"/>
    <n v="0"/>
    <n v="0"/>
    <n v="83952"/>
    <s v="Electronics, Electrical Equip."/>
    <x v="12"/>
    <s v="www.gree.com"/>
    <x v="352"/>
    <x v="2"/>
    <n v="0.57743737147130303"/>
    <x v="262"/>
    <x v="351"/>
  </r>
  <r>
    <x v="2"/>
    <n v="288"/>
    <x v="67"/>
    <n v="41407.1"/>
    <n v="2.4"/>
    <x v="394"/>
    <n v="12.6"/>
    <n v="55231.1"/>
    <x v="396"/>
    <n v="0"/>
    <n v="9.5"/>
    <n v="7.1"/>
    <n v="21.9"/>
    <n v="0"/>
    <n v="0"/>
    <n v="0"/>
    <n v="0"/>
    <n v="0"/>
    <n v="0"/>
    <n v="0"/>
    <n v="149239"/>
    <s v="Electronics, Electrical Equip."/>
    <x v="12"/>
    <s v="www.midea-group.com"/>
    <x v="353"/>
    <x v="2"/>
    <n v="0.74970623434984995"/>
    <x v="139"/>
    <x v="352"/>
  </r>
  <r>
    <x v="3"/>
    <n v="448"/>
    <x v="64"/>
    <n v="27713.599999999999"/>
    <n v="17.600000000000001"/>
    <x v="395"/>
    <n v="9.8000000000000007"/>
    <n v="24280.1"/>
    <x v="397"/>
    <n v="0"/>
    <n v="4.0999999999999996"/>
    <n v="4.5999999999999996"/>
    <n v="19.600000000000001"/>
    <n v="0"/>
    <n v="0"/>
    <n v="0"/>
    <n v="0"/>
    <n v="0"/>
    <n v="0"/>
    <n v="0"/>
    <n v="87447"/>
    <s v="Electronics, Electrical Equip."/>
    <x v="12"/>
    <s v="www.haier.net/en"/>
    <x v="354"/>
    <x v="3"/>
    <n v="1.1414121029155599"/>
    <x v="263"/>
    <x v="353"/>
  </r>
  <r>
    <x v="3"/>
    <n v="414"/>
    <x v="77"/>
    <n v="30239.4"/>
    <n v="36.200000000000003"/>
    <x v="396"/>
    <n v="19.5"/>
    <n v="36592.699999999997"/>
    <x v="398"/>
    <n v="0"/>
    <n v="13.1"/>
    <n v="10.8"/>
    <n v="29.8"/>
    <n v="0"/>
    <n v="0"/>
    <n v="0"/>
    <n v="0"/>
    <n v="0"/>
    <n v="0"/>
    <n v="0"/>
    <n v="88800"/>
    <s v="Electronics, Electrical Equip."/>
    <x v="12"/>
    <s v="www.gree.com"/>
    <x v="355"/>
    <x v="3"/>
    <n v="0.82637793876920795"/>
    <x v="59"/>
    <x v="354"/>
  </r>
  <r>
    <x v="3"/>
    <n v="312"/>
    <x v="67"/>
    <n v="39581.599999999999"/>
    <n v="10.6"/>
    <x v="397"/>
    <n v="19.600000000000001"/>
    <n v="38408.5"/>
    <x v="399"/>
    <n v="0"/>
    <n v="7.7"/>
    <n v="8"/>
    <n v="25.3"/>
    <n v="0"/>
    <n v="0"/>
    <n v="0"/>
    <n v="0"/>
    <n v="0"/>
    <n v="0"/>
    <n v="0"/>
    <n v="114765"/>
    <s v="Electronics, Electrical Equip."/>
    <x v="12"/>
    <s v="www.midea.com"/>
    <x v="356"/>
    <x v="3"/>
    <n v="1.0305427184086899"/>
    <x v="189"/>
    <x v="355"/>
  </r>
  <r>
    <x v="4"/>
    <n v="448"/>
    <x v="64"/>
    <n v="27713.599999999999"/>
    <n v="17.600000000000001"/>
    <x v="395"/>
    <n v="9.8000000000000007"/>
    <n v="24280.1"/>
    <x v="397"/>
    <n v="0"/>
    <n v="4.0999999999999996"/>
    <n v="4.5999999999999996"/>
    <n v="19.600000000000001"/>
    <n v="0"/>
    <n v="0"/>
    <n v="0"/>
    <n v="0"/>
    <n v="0"/>
    <n v="0"/>
    <n v="0"/>
    <n v="87447"/>
    <s v="Electronics, Electrical Equip."/>
    <x v="12"/>
    <s v="www.haier.net/en"/>
    <x v="354"/>
    <x v="4"/>
    <n v="1.1414121029155599"/>
    <x v="263"/>
    <x v="353"/>
  </r>
  <r>
    <x v="4"/>
    <n v="414"/>
    <x v="77"/>
    <n v="30239.4"/>
    <n v="36.200000000000003"/>
    <x v="396"/>
    <n v="19.5"/>
    <n v="36592.699999999997"/>
    <x v="398"/>
    <n v="0"/>
    <n v="13.1"/>
    <n v="10.8"/>
    <n v="29.8"/>
    <n v="0"/>
    <n v="0"/>
    <n v="0"/>
    <n v="0"/>
    <n v="0"/>
    <n v="0"/>
    <n v="0"/>
    <n v="88800"/>
    <s v="Electronics, Electrical Equip."/>
    <x v="12"/>
    <s v="www.gree.com"/>
    <x v="355"/>
    <x v="4"/>
    <n v="0.82637793876920795"/>
    <x v="59"/>
    <x v="354"/>
  </r>
  <r>
    <x v="4"/>
    <n v="312"/>
    <x v="67"/>
    <n v="39581.599999999999"/>
    <n v="10.6"/>
    <x v="397"/>
    <n v="19.600000000000001"/>
    <n v="38408.5"/>
    <x v="399"/>
    <n v="0"/>
    <n v="7.7"/>
    <n v="8"/>
    <n v="25.3"/>
    <n v="0"/>
    <n v="0"/>
    <n v="0"/>
    <n v="0"/>
    <n v="0"/>
    <n v="0"/>
    <n v="0"/>
    <n v="114765"/>
    <s v="Electronics, Electrical Equip."/>
    <x v="12"/>
    <s v="www.midea.com"/>
    <x v="356"/>
    <x v="4"/>
    <n v="1.0305427184086899"/>
    <x v="189"/>
    <x v="355"/>
  </r>
  <r>
    <x v="5"/>
    <n v="448"/>
    <x v="64"/>
    <n v="27713.599999999999"/>
    <n v="17.600000000000001"/>
    <x v="395"/>
    <n v="9.8000000000000007"/>
    <n v="24280.1"/>
    <x v="397"/>
    <n v="0"/>
    <n v="4.0999999999999996"/>
    <n v="4.5999999999999996"/>
    <n v="19.600000000000001"/>
    <n v="0"/>
    <n v="0"/>
    <n v="0"/>
    <n v="0"/>
    <n v="0"/>
    <n v="0"/>
    <n v="0"/>
    <n v="87447"/>
    <s v="Electronics, Electrical Equip."/>
    <x v="12"/>
    <s v="www.haier.net/en"/>
    <x v="354"/>
    <x v="5"/>
    <n v="1.1414121029155599"/>
    <x v="263"/>
    <x v="353"/>
  </r>
  <r>
    <x v="5"/>
    <n v="414"/>
    <x v="77"/>
    <n v="30239.4"/>
    <n v="36.200000000000003"/>
    <x v="396"/>
    <n v="19.5"/>
    <n v="36592.699999999997"/>
    <x v="398"/>
    <n v="0"/>
    <n v="13.1"/>
    <n v="10.8"/>
    <n v="29.8"/>
    <n v="0"/>
    <n v="0"/>
    <n v="0"/>
    <n v="0"/>
    <n v="0"/>
    <n v="0"/>
    <n v="0"/>
    <n v="88800"/>
    <s v="Electronics, Electrical Equip."/>
    <x v="12"/>
    <s v="www.gree.com"/>
    <x v="355"/>
    <x v="5"/>
    <n v="0.82637793876920795"/>
    <x v="59"/>
    <x v="354"/>
  </r>
  <r>
    <x v="5"/>
    <n v="312"/>
    <x v="67"/>
    <n v="39581.599999999999"/>
    <n v="10.6"/>
    <x v="397"/>
    <n v="19.600000000000001"/>
    <n v="38408.5"/>
    <x v="399"/>
    <n v="0"/>
    <n v="7.7"/>
    <n v="8"/>
    <n v="25.3"/>
    <n v="0"/>
    <n v="0"/>
    <n v="0"/>
    <n v="0"/>
    <n v="0"/>
    <n v="0"/>
    <n v="0"/>
    <n v="114765"/>
    <s v="Electronics, Electrical Equip."/>
    <x v="12"/>
    <s v="www.midea.com"/>
    <x v="356"/>
    <x v="5"/>
    <n v="1.0305427184086899"/>
    <x v="189"/>
    <x v="355"/>
  </r>
  <r>
    <x v="6"/>
    <n v="183"/>
    <x v="78"/>
    <n v="49676.7"/>
    <n v="3.9"/>
    <x v="398"/>
    <n v="5.2"/>
    <n v="18404.900000000001"/>
    <x v="400"/>
    <n v="0"/>
    <n v="2.4"/>
    <n v="6.5"/>
    <n v="12"/>
    <n v="0"/>
    <n v="0"/>
    <n v="0"/>
    <n v="0"/>
    <n v="0"/>
    <n v="0"/>
    <n v="0"/>
    <n v="17852"/>
    <s v="Electronics, Electrical Equip."/>
    <x v="12"/>
    <s v="www.amer.com.cn"/>
    <x v="357"/>
    <x v="6"/>
    <n v="2.6991018696108098"/>
    <x v="264"/>
    <x v="356"/>
  </r>
  <r>
    <x v="11"/>
    <n v="481"/>
    <x v="67"/>
    <n v="22173.5"/>
    <n v="-4"/>
    <x v="399"/>
    <n v="24.5"/>
    <n v="19841.400000000001"/>
    <x v="401"/>
    <n v="0"/>
    <n v="9.1"/>
    <n v="10.199999999999999"/>
    <n v="26.7"/>
    <n v="0"/>
    <n v="0"/>
    <n v="0"/>
    <n v="0"/>
    <n v="0"/>
    <n v="0"/>
    <n v="0"/>
    <n v="93299"/>
    <s v="Electronics, Electrical Equip."/>
    <x v="12"/>
    <s v="www.midea.com"/>
    <x v="358"/>
    <x v="11"/>
    <n v="1.11753706895683"/>
    <x v="265"/>
    <x v="357"/>
  </r>
  <r>
    <x v="11"/>
    <n v="207"/>
    <x v="79"/>
    <n v="44085.1"/>
    <n v="-5.9"/>
    <x v="400"/>
    <n v="-14.5"/>
    <n v="94757.8"/>
    <x v="402"/>
    <n v="0"/>
    <n v="1.3"/>
    <n v="0.6"/>
    <n v="4.5999999999999996"/>
    <n v="0"/>
    <n v="0"/>
    <n v="0"/>
    <n v="0"/>
    <n v="0"/>
    <n v="0"/>
    <n v="0"/>
    <n v="231299"/>
    <s v="Telecommunications"/>
    <x v="12"/>
    <s v="www.chinaunicom-a.com"/>
    <x v="359"/>
    <x v="11"/>
    <n v="0.46523980083961403"/>
    <x v="206"/>
    <x v="358"/>
  </r>
  <r>
    <x v="11"/>
    <n v="190"/>
    <x v="78"/>
    <n v="47795.1"/>
    <n v="9.6"/>
    <x v="401"/>
    <n v="19.100000000000001"/>
    <n v="18559.400000000001"/>
    <x v="403"/>
    <n v="0"/>
    <n v="2.4"/>
    <n v="6.1"/>
    <n v="12"/>
    <n v="0"/>
    <n v="0"/>
    <n v="0"/>
    <n v="0"/>
    <n v="0"/>
    <n v="0"/>
    <n v="0"/>
    <n v="17683"/>
    <s v="Electronics, Electrical Equip."/>
    <x v="12"/>
    <s v="www.amer.com.cn"/>
    <x v="360"/>
    <x v="11"/>
    <n v="2.5752502774874202"/>
    <x v="264"/>
    <x v="359"/>
  </r>
  <r>
    <x v="10"/>
    <n v="247"/>
    <x v="78"/>
    <n v="43611.7"/>
    <n v="14.7"/>
    <x v="402"/>
    <n v="14.9"/>
    <n v="18655"/>
    <x v="404"/>
    <n v="0"/>
    <n v="2.19597034740677"/>
    <n v="5.1337443044760098"/>
    <n v="10.951901745077"/>
    <n v="0"/>
    <n v="0"/>
    <n v="0"/>
    <n v="0"/>
    <n v="0"/>
    <n v="0"/>
    <n v="0"/>
    <n v="17556"/>
    <s v="Electronics, Electrical Equip."/>
    <x v="12"/>
    <s v="www.amer.com.cn"/>
    <x v="361"/>
    <x v="10"/>
    <n v="2.3378021978021999"/>
    <x v="266"/>
    <x v="360"/>
  </r>
  <r>
    <x v="10"/>
    <n v="231"/>
    <x v="31"/>
    <n v="46295.6"/>
    <n v="19.600000000000001"/>
    <x v="403"/>
    <n v="1.4"/>
    <n v="27081.3"/>
    <x v="405"/>
    <n v="0"/>
    <n v="1.7900189218845901"/>
    <n v="3.0600451233877299"/>
    <n v="20.293368596336599"/>
    <n v="0"/>
    <n v="0"/>
    <n v="0"/>
    <n v="0"/>
    <n v="0"/>
    <n v="0"/>
    <n v="0"/>
    <n v="60000"/>
    <s v="Computers, Office Equipment"/>
    <x v="12"/>
    <s v="www.lenovo.com"/>
    <x v="362"/>
    <x v="10"/>
    <n v="1.7095043443261599"/>
    <x v="267"/>
    <x v="361"/>
  </r>
  <r>
    <x v="10"/>
    <n v="227"/>
    <x v="79"/>
    <n v="46834.8"/>
    <n v="-5.2"/>
    <x v="404"/>
    <n v="15.4"/>
    <n v="88189"/>
    <x v="406"/>
    <n v="0"/>
    <n v="1.37974326782649"/>
    <n v="0.732744446586309"/>
    <n v="5.1838659992298801"/>
    <n v="0"/>
    <n v="0"/>
    <n v="0"/>
    <n v="0"/>
    <n v="0"/>
    <n v="0"/>
    <n v="0"/>
    <n v="228613"/>
    <s v="Telecommunications"/>
    <x v="12"/>
    <s v="www.chinaunicom-a.com"/>
    <x v="363"/>
    <x v="10"/>
    <n v="0.53107303631972202"/>
    <x v="268"/>
    <x v="362"/>
  </r>
  <r>
    <x v="10"/>
    <n v="160"/>
    <x v="80"/>
    <n v="62147.6"/>
    <n v="0.2"/>
    <x v="405"/>
    <n v="31"/>
    <n v="112881.7"/>
    <x v="407"/>
    <n v="0"/>
    <n v="3.27880722666684"/>
    <n v="1.80516416744255"/>
    <n v="3.3670139376564601"/>
    <n v="0"/>
    <n v="0"/>
    <n v="0"/>
    <n v="0"/>
    <n v="0"/>
    <n v="0"/>
    <n v="0"/>
    <n v="454292"/>
    <s v="Telecommunications"/>
    <x v="12"/>
    <s v="www.chinatelecom.com.cn"/>
    <x v="364"/>
    <x v="10"/>
    <n v="0.55055513869830097"/>
    <x v="269"/>
    <x v="363"/>
  </r>
  <r>
    <x v="10"/>
    <n v="55"/>
    <x v="81"/>
    <n v="107529.4"/>
    <n v="-0.1"/>
    <x v="406"/>
    <n v="13.6"/>
    <n v="246748.79999999999"/>
    <x v="408"/>
    <n v="0"/>
    <n v="9.7193883719243299"/>
    <n v="4.23556264508683"/>
    <n v="7.7183716031986602"/>
    <n v="0"/>
    <n v="0"/>
    <n v="0"/>
    <n v="0"/>
    <n v="0"/>
    <n v="0"/>
    <n v="0"/>
    <n v="274347"/>
    <s v="Telecommunications"/>
    <x v="12"/>
    <s v="www.10086.cn0"/>
    <x v="365"/>
    <x v="10"/>
    <n v="0.43578489540779902"/>
    <x v="270"/>
    <x v="364"/>
  </r>
  <r>
    <x v="7"/>
    <n v="295"/>
    <x v="78"/>
    <n v="38030.199999999997"/>
    <n v="28.5"/>
    <x v="407"/>
    <n v="46.4"/>
    <n v="17142.8"/>
    <x v="409"/>
    <n v="0"/>
    <n v="2.2019000000000002"/>
    <n v="4.9019000000000004"/>
    <n v="10.401899999999999"/>
    <n v="0"/>
    <n v="0"/>
    <n v="0"/>
    <n v="0"/>
    <n v="0"/>
    <n v="0"/>
    <n v="0"/>
    <n v="16720"/>
    <s v="Electronics, Electrical Equip."/>
    <x v="12"/>
    <s v="www.amer.com.cn"/>
    <x v="366"/>
    <x v="7"/>
    <n v="2.2184357281190898"/>
    <x v="271"/>
    <x v="365"/>
  </r>
  <r>
    <x v="7"/>
    <n v="210"/>
    <x v="79"/>
    <n v="49399.199999999997"/>
    <n v="21.6"/>
    <x v="408"/>
    <n v="49.2"/>
    <n v="87772.3"/>
    <x v="410"/>
    <n v="0"/>
    <n v="1.1019000000000001"/>
    <n v="0.60189999999999999"/>
    <n v="4.5019"/>
    <n v="0"/>
    <n v="0"/>
    <n v="0"/>
    <n v="0"/>
    <n v="0"/>
    <n v="0"/>
    <n v="0"/>
    <n v="222529"/>
    <s v="Telecommunications"/>
    <x v="12"/>
    <s v="www.chinaunicom-a.com"/>
    <x v="367"/>
    <x v="7"/>
    <n v="0.56281081844727798"/>
    <x v="99"/>
    <x v="366"/>
  </r>
  <r>
    <x v="8"/>
    <n v="387"/>
    <x v="78"/>
    <n v="29588.3"/>
    <n v="49"/>
    <x v="409"/>
    <n v="241.6"/>
    <n v="13914"/>
    <x v="411"/>
    <n v="0"/>
    <n v="1.9"/>
    <n v="4.0907999999999998"/>
    <n v="0"/>
    <n v="0"/>
    <n v="0"/>
    <n v="0"/>
    <n v="0"/>
    <n v="0"/>
    <n v="0"/>
    <n v="0"/>
    <n v="15109"/>
    <s v="Electronics, Electrical Equip."/>
    <x v="12"/>
    <s v="www.amer.com.cn"/>
    <x v="0"/>
    <x v="8"/>
    <n v="2.1265128647405498"/>
    <x v="0"/>
    <x v="0"/>
  </r>
  <r>
    <x v="8"/>
    <n v="258"/>
    <x v="79"/>
    <n v="40617.1"/>
    <n v="21.8"/>
    <x v="410"/>
    <n v="71.8"/>
    <n v="83199.399999999994"/>
    <x v="412"/>
    <n v="0"/>
    <n v="0.9"/>
    <n v="0.4511"/>
    <n v="0"/>
    <n v="0"/>
    <n v="0"/>
    <n v="0"/>
    <n v="0"/>
    <n v="0"/>
    <n v="0"/>
    <n v="0"/>
    <n v="218598"/>
    <s v="Telecommunications"/>
    <x v="12"/>
    <s v="www.chinaunicom-a.com"/>
    <x v="0"/>
    <x v="8"/>
    <n v="0.48818981867657701"/>
    <x v="0"/>
    <x v="0"/>
  </r>
  <r>
    <x v="9"/>
    <n v="183"/>
    <x v="78"/>
    <n v="49676.7"/>
    <n v="3.9"/>
    <x v="398"/>
    <n v="5.2"/>
    <n v="18404.900000000001"/>
    <x v="400"/>
    <n v="0"/>
    <n v="2.4"/>
    <n v="6.5"/>
    <n v="12"/>
    <n v="0"/>
    <n v="0"/>
    <n v="0"/>
    <n v="0"/>
    <n v="0"/>
    <n v="0"/>
    <n v="0"/>
    <n v="17852"/>
    <s v="Electronics, Electrical Equip."/>
    <x v="12"/>
    <s v="www.amer.com.cn"/>
    <x v="357"/>
    <x v="9"/>
    <n v="2.6991018696108098"/>
    <x v="264"/>
    <x v="356"/>
  </r>
  <r>
    <x v="0"/>
    <n v="267"/>
    <x v="79"/>
    <n v="52765.9"/>
    <n v="3.8"/>
    <x v="411"/>
    <n v="11"/>
    <n v="93470.8"/>
    <x v="413"/>
    <n v="0"/>
    <n v="2.1"/>
    <n v="1.2"/>
    <n v="4.8"/>
    <n v="0"/>
    <n v="0"/>
    <n v="0"/>
    <n v="0"/>
    <n v="0"/>
    <n v="0"/>
    <n v="0"/>
    <n v="244508"/>
    <s v="Telecommunications"/>
    <x v="12"/>
    <s v="www.chinaunicom-a.com"/>
    <x v="368"/>
    <x v="0"/>
    <n v="0.56451747497614202"/>
    <x v="272"/>
    <x v="367"/>
  </r>
  <r>
    <x v="0"/>
    <n v="132"/>
    <x v="80"/>
    <n v="87166.399999999994"/>
    <n v="4.3"/>
    <x v="412"/>
    <n v="6.5"/>
    <n v="151748.79999999999"/>
    <x v="414"/>
    <n v="0"/>
    <n v="2.4"/>
    <n v="1.4"/>
    <n v="3.6"/>
    <n v="0"/>
    <n v="0"/>
    <n v="0"/>
    <n v="0"/>
    <n v="0"/>
    <n v="0"/>
    <n v="0"/>
    <n v="392726"/>
    <s v="Telecommunications"/>
    <x v="12"/>
    <s v="www.chinatelecom.com.cn"/>
    <x v="369"/>
    <x v="0"/>
    <n v="0.57441245004902797"/>
    <x v="273"/>
    <x v="368"/>
  </r>
  <r>
    <x v="0"/>
    <n v="62"/>
    <x v="81"/>
    <n v="139597.1"/>
    <n v="5.8"/>
    <x v="413"/>
    <n v="0.6"/>
    <n v="331724.40000000002"/>
    <x v="415"/>
    <n v="0"/>
    <n v="10.5"/>
    <n v="4.4000000000000004"/>
    <n v="8.1"/>
    <n v="0"/>
    <n v="0"/>
    <n v="0"/>
    <n v="0"/>
    <n v="0"/>
    <n v="0"/>
    <n v="0"/>
    <n v="452202"/>
    <s v="Telecommunications"/>
    <x v="12"/>
    <s v="www.10086.cn"/>
    <x v="370"/>
    <x v="0"/>
    <n v="0.42082252616931398"/>
    <x v="274"/>
    <x v="369"/>
  </r>
  <r>
    <x v="1"/>
    <n v="267"/>
    <x v="79"/>
    <n v="50827.6"/>
    <n v="15.4"/>
    <x v="414"/>
    <n v="22.2"/>
    <n v="93399.7"/>
    <x v="416"/>
    <n v="0"/>
    <n v="1.9"/>
    <n v="1"/>
    <n v="4.2"/>
    <n v="0"/>
    <n v="0"/>
    <n v="0"/>
    <n v="0"/>
    <n v="0"/>
    <n v="0"/>
    <n v="0"/>
    <n v="242661"/>
    <s v="Telecommunications"/>
    <x v="12"/>
    <s v="www.chinaunicom-a.com"/>
    <x v="371"/>
    <x v="1"/>
    <n v="0.54419446743404998"/>
    <x v="275"/>
    <x v="370"/>
  </r>
  <r>
    <x v="1"/>
    <n v="131"/>
    <x v="80"/>
    <n v="83596.3"/>
    <n v="17.100000000000001"/>
    <x v="415"/>
    <n v="2.6"/>
    <n v="155817.70000000001"/>
    <x v="417"/>
    <n v="0"/>
    <n v="2.2999999999999998"/>
    <n v="1.2"/>
    <n v="3.2"/>
    <n v="0"/>
    <n v="0"/>
    <n v="0"/>
    <n v="0"/>
    <n v="0"/>
    <n v="0"/>
    <n v="0"/>
    <n v="394600"/>
    <s v="Telecommunications"/>
    <x v="12"/>
    <s v="www.chinatelecom.com.cn"/>
    <x v="372"/>
    <x v="1"/>
    <n v="0.53650066712574995"/>
    <x v="276"/>
    <x v="371"/>
  </r>
  <r>
    <x v="1"/>
    <n v="57"/>
    <x v="81"/>
    <n v="131913.4"/>
    <n v="18"/>
    <x v="416"/>
    <n v="13.2"/>
    <n v="337922.8"/>
    <x v="418"/>
    <n v="0"/>
    <n v="11.1"/>
    <n v="4.3"/>
    <n v="7.9"/>
    <n v="0"/>
    <n v="0"/>
    <n v="0"/>
    <n v="0"/>
    <n v="0"/>
    <n v="0"/>
    <n v="0"/>
    <n v="451331"/>
    <s v="Telecommunications"/>
    <x v="12"/>
    <s v="www.10086.cn"/>
    <x v="373"/>
    <x v="1"/>
    <n v="0.39036549176320701"/>
    <x v="197"/>
    <x v="372"/>
  </r>
  <r>
    <x v="2"/>
    <n v="334"/>
    <x v="74"/>
    <n v="35930.9"/>
    <n v="10.7"/>
    <x v="417"/>
    <n v="-170.6"/>
    <n v="53587.7"/>
    <x v="419"/>
    <n v="0"/>
    <n v="-0.3"/>
    <n v="-0.2"/>
    <n v="-1"/>
    <n v="0"/>
    <n v="0"/>
    <n v="0"/>
    <n v="0"/>
    <n v="0"/>
    <n v="0"/>
    <n v="0"/>
    <n v="180822"/>
    <s v="Electronics, Electrical Equip."/>
    <x v="12"/>
    <s v="www.cec.com.cn"/>
    <x v="374"/>
    <x v="2"/>
    <n v="0.67050647816569897"/>
    <x v="20"/>
    <x v="373"/>
  </r>
  <r>
    <x v="2"/>
    <n v="260"/>
    <x v="79"/>
    <n v="44034.400000000001"/>
    <n v="4.7"/>
    <x v="418"/>
    <n v="11"/>
    <n v="89268.3"/>
    <x v="420"/>
    <n v="0"/>
    <n v="1.8"/>
    <n v="0.9"/>
    <n v="3.5"/>
    <n v="0"/>
    <n v="0"/>
    <n v="0"/>
    <n v="0"/>
    <n v="0"/>
    <n v="0"/>
    <n v="0"/>
    <n v="242121"/>
    <s v="Telecommunications"/>
    <x v="12"/>
    <s v="www.chinaunicom-a.com"/>
    <x v="375"/>
    <x v="2"/>
    <n v="0.49328148962173601"/>
    <x v="120"/>
    <x v="374"/>
  </r>
  <r>
    <x v="2"/>
    <n v="126"/>
    <x v="80"/>
    <n v="71400.899999999994"/>
    <n v="6"/>
    <x v="419"/>
    <n v="4.5999999999999996"/>
    <n v="139128.5"/>
    <x v="421"/>
    <n v="0"/>
    <n v="2.6"/>
    <n v="1.4"/>
    <n v="3.3"/>
    <n v="0"/>
    <n v="0"/>
    <n v="0"/>
    <n v="0"/>
    <n v="0"/>
    <n v="0"/>
    <n v="0"/>
    <n v="400945"/>
    <s v="Telecommunications"/>
    <x v="12"/>
    <s v="www.chinatelecom.com.cn"/>
    <x v="376"/>
    <x v="2"/>
    <n v="0.51320110545287301"/>
    <x v="277"/>
    <x v="375"/>
  </r>
  <r>
    <x v="2"/>
    <n v="56"/>
    <x v="81"/>
    <n v="111825.5"/>
    <n v="3"/>
    <x v="420"/>
    <n v="6.4"/>
    <n v="304527.8"/>
    <x v="422"/>
    <n v="0"/>
    <n v="11.6"/>
    <n v="4.2"/>
    <n v="7.6"/>
    <n v="0"/>
    <n v="0"/>
    <n v="0"/>
    <n v="0"/>
    <n v="0"/>
    <n v="0"/>
    <n v="0"/>
    <n v="455721"/>
    <s v="Telecommunications"/>
    <x v="12"/>
    <s v="www.10086.cn"/>
    <x v="377"/>
    <x v="2"/>
    <n v="0.36720949614452297"/>
    <x v="257"/>
    <x v="376"/>
  </r>
  <r>
    <x v="3"/>
    <n v="375"/>
    <x v="74"/>
    <n v="33055.699999999997"/>
    <n v="3.3"/>
    <x v="421"/>
    <n v="110"/>
    <n v="40323.199999999997"/>
    <x v="423"/>
    <n v="0"/>
    <n v="1.1000000000000001"/>
    <n v="0.9"/>
    <n v="5.5"/>
    <n v="0"/>
    <n v="0"/>
    <n v="0"/>
    <n v="0"/>
    <n v="0"/>
    <n v="0"/>
    <n v="0"/>
    <n v="135297"/>
    <s v="Electronics, Electrical Equip."/>
    <x v="12"/>
    <s v="www.cec.com.cn"/>
    <x v="378"/>
    <x v="3"/>
    <n v="0.81976876835171797"/>
    <x v="278"/>
    <x v="377"/>
  </r>
  <r>
    <x v="3"/>
    <n v="262"/>
    <x v="79"/>
    <n v="43974.400000000001"/>
    <n v="8.1"/>
    <x v="422"/>
    <n v="879.1"/>
    <n v="78908.5"/>
    <x v="424"/>
    <n v="0"/>
    <n v="1.4"/>
    <n v="0.8"/>
    <n v="3"/>
    <n v="0"/>
    <n v="0"/>
    <n v="0"/>
    <n v="0"/>
    <n v="0"/>
    <n v="0"/>
    <n v="0"/>
    <n v="246299"/>
    <s v="Telecommunications"/>
    <x v="12"/>
    <s v="www.chinaunicom-a.com"/>
    <x v="379"/>
    <x v="3"/>
    <n v="0.55728343587826401"/>
    <x v="29"/>
    <x v="378"/>
  </r>
  <r>
    <x v="3"/>
    <n v="141"/>
    <x v="80"/>
    <n v="68709.5"/>
    <n v="7.4"/>
    <x v="423"/>
    <n v="-8.5"/>
    <n v="122945.9"/>
    <x v="425"/>
    <n v="0"/>
    <n v="2.4"/>
    <n v="1.4"/>
    <n v="3.1"/>
    <n v="0"/>
    <n v="0"/>
    <n v="0"/>
    <n v="0"/>
    <n v="0"/>
    <n v="0"/>
    <n v="0"/>
    <n v="403014"/>
    <s v="Telecommunications"/>
    <x v="12"/>
    <s v="www.chinatelecom.com.cn"/>
    <x v="380"/>
    <x v="3"/>
    <n v="0.55885962850326898"/>
    <x v="136"/>
    <x v="379"/>
  </r>
  <r>
    <x v="3"/>
    <n v="56"/>
    <x v="81"/>
    <n v="112096"/>
    <n v="1.8"/>
    <x v="424"/>
    <n v="7.4"/>
    <n v="255216.6"/>
    <x v="426"/>
    <n v="0"/>
    <n v="10.5"/>
    <n v="4.5999999999999996"/>
    <n v="8.1999999999999993"/>
    <n v="0"/>
    <n v="0"/>
    <n v="0"/>
    <n v="0"/>
    <n v="0"/>
    <n v="0"/>
    <n v="0"/>
    <n v="462046"/>
    <s v="Telecommunications"/>
    <x v="12"/>
    <s v="www.10086.cn"/>
    <x v="381"/>
    <x v="3"/>
    <n v="0.43921907900975099"/>
    <x v="210"/>
    <x v="380"/>
  </r>
  <r>
    <x v="4"/>
    <n v="375"/>
    <x v="74"/>
    <n v="33055.699999999997"/>
    <n v="3.3"/>
    <x v="421"/>
    <n v="110"/>
    <n v="40323.199999999997"/>
    <x v="423"/>
    <n v="0"/>
    <n v="1.1000000000000001"/>
    <n v="0.9"/>
    <n v="5.5"/>
    <n v="0"/>
    <n v="0"/>
    <n v="0"/>
    <n v="0"/>
    <n v="0"/>
    <n v="0"/>
    <n v="0"/>
    <n v="135297"/>
    <s v="Electronics, Electrical Equip."/>
    <x v="12"/>
    <s v="www.cec.com.cn"/>
    <x v="378"/>
    <x v="4"/>
    <n v="0.81976876835171797"/>
    <x v="278"/>
    <x v="377"/>
  </r>
  <r>
    <x v="4"/>
    <n v="262"/>
    <x v="79"/>
    <n v="43974.400000000001"/>
    <n v="8.1"/>
    <x v="422"/>
    <n v="879.1"/>
    <n v="78908.5"/>
    <x v="424"/>
    <n v="0"/>
    <n v="1.4"/>
    <n v="0.8"/>
    <n v="3"/>
    <n v="0"/>
    <n v="0"/>
    <n v="0"/>
    <n v="0"/>
    <n v="0"/>
    <n v="0"/>
    <n v="0"/>
    <n v="246299"/>
    <s v="Telecommunications"/>
    <x v="12"/>
    <s v="www.chinaunicom-a.com"/>
    <x v="379"/>
    <x v="4"/>
    <n v="0.55728343587826401"/>
    <x v="29"/>
    <x v="378"/>
  </r>
  <r>
    <x v="4"/>
    <n v="141"/>
    <x v="80"/>
    <n v="68709.5"/>
    <n v="7.4"/>
    <x v="423"/>
    <n v="-8.5"/>
    <n v="122945.9"/>
    <x v="425"/>
    <n v="0"/>
    <n v="2.4"/>
    <n v="1.4"/>
    <n v="3.1"/>
    <n v="0"/>
    <n v="0"/>
    <n v="0"/>
    <n v="0"/>
    <n v="0"/>
    <n v="0"/>
    <n v="0"/>
    <n v="403014"/>
    <s v="Telecommunications"/>
    <x v="12"/>
    <s v="www.chinatelecom.com.cn"/>
    <x v="380"/>
    <x v="4"/>
    <n v="0.55885962850326898"/>
    <x v="136"/>
    <x v="379"/>
  </r>
  <r>
    <x v="4"/>
    <n v="56"/>
    <x v="81"/>
    <n v="112096"/>
    <n v="1.8"/>
    <x v="424"/>
    <n v="7.4"/>
    <n v="255216.6"/>
    <x v="426"/>
    <n v="0"/>
    <n v="10.5"/>
    <n v="4.5999999999999996"/>
    <n v="8.1999999999999993"/>
    <n v="0"/>
    <n v="0"/>
    <n v="0"/>
    <n v="0"/>
    <n v="0"/>
    <n v="0"/>
    <n v="0"/>
    <n v="462046"/>
    <s v="Telecommunications"/>
    <x v="12"/>
    <s v="www.10086.cn"/>
    <x v="381"/>
    <x v="4"/>
    <n v="0.43921907900975099"/>
    <x v="210"/>
    <x v="380"/>
  </r>
  <r>
    <x v="5"/>
    <n v="375"/>
    <x v="74"/>
    <n v="33055.699999999997"/>
    <n v="3.3"/>
    <x v="421"/>
    <n v="110"/>
    <n v="40323.199999999997"/>
    <x v="423"/>
    <n v="0"/>
    <n v="1.1000000000000001"/>
    <n v="0.9"/>
    <n v="5.5"/>
    <n v="0"/>
    <n v="0"/>
    <n v="0"/>
    <n v="0"/>
    <n v="0"/>
    <n v="0"/>
    <n v="0"/>
    <n v="135297"/>
    <s v="Electronics, Electrical Equip."/>
    <x v="12"/>
    <s v="www.cec.com.cn"/>
    <x v="378"/>
    <x v="5"/>
    <n v="0.81976876835171797"/>
    <x v="278"/>
    <x v="377"/>
  </r>
  <r>
    <x v="5"/>
    <n v="262"/>
    <x v="79"/>
    <n v="43974.400000000001"/>
    <n v="8.1"/>
    <x v="422"/>
    <n v="879.1"/>
    <n v="78908.5"/>
    <x v="424"/>
    <n v="0"/>
    <n v="1.4"/>
    <n v="0.8"/>
    <n v="3"/>
    <n v="0"/>
    <n v="0"/>
    <n v="0"/>
    <n v="0"/>
    <n v="0"/>
    <n v="0"/>
    <n v="0"/>
    <n v="246299"/>
    <s v="Telecommunications"/>
    <x v="12"/>
    <s v="www.chinaunicom-a.com"/>
    <x v="379"/>
    <x v="5"/>
    <n v="0.55728343587826401"/>
    <x v="29"/>
    <x v="378"/>
  </r>
  <r>
    <x v="5"/>
    <n v="141"/>
    <x v="80"/>
    <n v="68709.5"/>
    <n v="7.4"/>
    <x v="423"/>
    <n v="-8.5"/>
    <n v="122945.9"/>
    <x v="425"/>
    <n v="0"/>
    <n v="2.4"/>
    <n v="1.4"/>
    <n v="3.1"/>
    <n v="0"/>
    <n v="0"/>
    <n v="0"/>
    <n v="0"/>
    <n v="0"/>
    <n v="0"/>
    <n v="0"/>
    <n v="403014"/>
    <s v="Telecommunications"/>
    <x v="12"/>
    <s v="www.chinatelecom.com.cn"/>
    <x v="380"/>
    <x v="5"/>
    <n v="0.55885962850326898"/>
    <x v="136"/>
    <x v="379"/>
  </r>
  <r>
    <x v="5"/>
    <n v="56"/>
    <x v="81"/>
    <n v="112096"/>
    <n v="1.8"/>
    <x v="424"/>
    <n v="7.4"/>
    <n v="255216.6"/>
    <x v="426"/>
    <n v="0"/>
    <n v="10.5"/>
    <n v="4.5999999999999996"/>
    <n v="8.1999999999999993"/>
    <n v="0"/>
    <n v="0"/>
    <n v="0"/>
    <n v="0"/>
    <n v="0"/>
    <n v="0"/>
    <n v="0"/>
    <n v="462046"/>
    <s v="Telecommunications"/>
    <x v="12"/>
    <s v="www.10086.cn"/>
    <x v="381"/>
    <x v="5"/>
    <n v="0.43921907900975099"/>
    <x v="210"/>
    <x v="380"/>
  </r>
  <r>
    <x v="6"/>
    <n v="362"/>
    <x v="74"/>
    <n v="30009.7"/>
    <n v="-4.8"/>
    <x v="383"/>
    <n v="82.6"/>
    <n v="36574.9"/>
    <x v="427"/>
    <n v="0"/>
    <n v="1.1000000000000001"/>
    <n v="0.9"/>
    <n v="6.7"/>
    <n v="0"/>
    <n v="0"/>
    <n v="0"/>
    <n v="0"/>
    <n v="0"/>
    <n v="0"/>
    <n v="0"/>
    <n v="144659"/>
    <s v="Electronics, Electrical Equip."/>
    <x v="12"/>
    <s v="www.cec.com.cn"/>
    <x v="382"/>
    <x v="6"/>
    <n v="0.82049985099070699"/>
    <x v="160"/>
    <x v="381"/>
  </r>
  <r>
    <x v="6"/>
    <n v="241"/>
    <x v="79"/>
    <n v="41273.9"/>
    <n v="-6.4"/>
    <x v="425"/>
    <n v="-95.8"/>
    <n v="88626.1"/>
    <x v="428"/>
    <n v="0"/>
    <n v="0.1"/>
    <n v="0"/>
    <n v="0.2"/>
    <n v="0"/>
    <n v="0"/>
    <n v="0"/>
    <n v="0"/>
    <n v="0"/>
    <n v="0"/>
    <n v="0"/>
    <n v="253724"/>
    <s v="Telecommunications"/>
    <x v="12"/>
    <s v="www.chinaunicom-a.com"/>
    <x v="383"/>
    <x v="6"/>
    <n v="0.46570818302960398"/>
    <x v="108"/>
    <x v="382"/>
  </r>
  <r>
    <x v="6"/>
    <n v="133"/>
    <x v="80"/>
    <n v="62387"/>
    <n v="1"/>
    <x v="426"/>
    <n v="2.9"/>
    <n v="115818.8"/>
    <x v="429"/>
    <n v="0"/>
    <n v="2.8"/>
    <n v="1.5"/>
    <n v="3.5"/>
    <n v="0"/>
    <n v="0"/>
    <n v="0"/>
    <n v="0"/>
    <n v="0"/>
    <n v="0"/>
    <n v="0"/>
    <n v="413536"/>
    <s v="Telecommunications"/>
    <x v="12"/>
    <s v="www.chinatelecom.com.cn"/>
    <x v="384"/>
    <x v="6"/>
    <n v="0.53866039019571998"/>
    <x v="120"/>
    <x v="383"/>
  </r>
  <r>
    <x v="6"/>
    <n v="47"/>
    <x v="81"/>
    <n v="107116.5"/>
    <n v="0.3"/>
    <x v="427"/>
    <n v="-5.2"/>
    <n v="246445.6"/>
    <x v="430"/>
    <n v="0"/>
    <n v="9"/>
    <n v="3.9"/>
    <n v="7.4"/>
    <n v="0"/>
    <n v="0"/>
    <n v="0"/>
    <n v="0"/>
    <n v="0"/>
    <n v="0"/>
    <n v="0"/>
    <n v="463712"/>
    <s v="Telecommunications"/>
    <x v="12"/>
    <s v="www.10086.cn"/>
    <x v="385"/>
    <x v="6"/>
    <n v="0.43464561753182002"/>
    <x v="130"/>
    <x v="384"/>
  </r>
  <r>
    <x v="11"/>
    <n v="329"/>
    <x v="74"/>
    <n v="31537"/>
    <n v="-4.7"/>
    <x v="428"/>
    <n v="-22.9"/>
    <n v="38158.300000000003"/>
    <x v="431"/>
    <n v="0"/>
    <n v="0.6"/>
    <n v="0.5"/>
    <n v="3.6"/>
    <n v="0"/>
    <n v="0"/>
    <n v="0"/>
    <n v="0"/>
    <n v="0"/>
    <n v="0"/>
    <n v="0"/>
    <n v="127875"/>
    <s v="Electronics, Electrical Equip."/>
    <x v="12"/>
    <s v="www.cec.com.cn"/>
    <x v="386"/>
    <x v="11"/>
    <n v="0.82647811878411803"/>
    <x v="273"/>
    <x v="385"/>
  </r>
  <r>
    <x v="11"/>
    <n v="132"/>
    <x v="80"/>
    <n v="61795.8"/>
    <n v="-0.6"/>
    <x v="429"/>
    <n v="-15.8"/>
    <n v="118993.8"/>
    <x v="432"/>
    <n v="0"/>
    <n v="2.8"/>
    <n v="1.4"/>
    <n v="3"/>
    <n v="0"/>
    <n v="0"/>
    <n v="0"/>
    <n v="0"/>
    <n v="0"/>
    <n v="0"/>
    <n v="0"/>
    <n v="417101"/>
    <s v="Telecommunications"/>
    <x v="12"/>
    <s v="www.chinatelecom.com.cn"/>
    <x v="387"/>
    <x v="11"/>
    <n v="0.51931949395682797"/>
    <x v="29"/>
    <x v="386"/>
  </r>
  <r>
    <x v="11"/>
    <n v="45"/>
    <x v="81"/>
    <n v="106760.6"/>
    <n v="-0.7"/>
    <x v="430"/>
    <n v="-2.9"/>
    <n v="251113.4"/>
    <x v="433"/>
    <n v="0"/>
    <n v="9.5"/>
    <n v="4"/>
    <n v="7.5"/>
    <n v="0"/>
    <n v="0"/>
    <n v="0"/>
    <n v="0"/>
    <n v="0"/>
    <n v="0"/>
    <n v="0"/>
    <n v="436651"/>
    <s v="Telecommunications"/>
    <x v="12"/>
    <s v="www.10086.cn"/>
    <x v="388"/>
    <x v="11"/>
    <n v="0.42514895660685598"/>
    <x v="202"/>
    <x v="387"/>
  </r>
  <r>
    <x v="7"/>
    <n v="154"/>
    <x v="80"/>
    <n v="62046.8"/>
    <n v="16.2"/>
    <x v="431"/>
    <n v="45.9"/>
    <n v="111323.3"/>
    <x v="434"/>
    <n v="0"/>
    <n v="2.5019"/>
    <n v="1.4018999999999999"/>
    <n v="2.6019000000000001"/>
    <n v="0"/>
    <n v="0"/>
    <n v="0"/>
    <n v="0"/>
    <n v="0"/>
    <n v="0"/>
    <n v="0"/>
    <n v="414673"/>
    <s v="Telecommunications"/>
    <x v="12"/>
    <s v="www.chinatelecom.com.cn"/>
    <x v="389"/>
    <x v="7"/>
    <n v="0.55735681568907902"/>
    <x v="279"/>
    <x v="388"/>
  </r>
  <r>
    <x v="7"/>
    <n v="55"/>
    <x v="81"/>
    <n v="107647.3"/>
    <n v="11.1"/>
    <x v="432"/>
    <n v="-22.4"/>
    <n v="232012.7"/>
    <x v="435"/>
    <n v="0"/>
    <n v="8.5018999999999991"/>
    <n v="4.0019"/>
    <n v="7.1018999999999997"/>
    <n v="0"/>
    <n v="0"/>
    <n v="0"/>
    <n v="0"/>
    <n v="0"/>
    <n v="0"/>
    <n v="0"/>
    <n v="235688"/>
    <s v="Telecommunications"/>
    <x v="12"/>
    <s v="www.10086.cn0"/>
    <x v="390"/>
    <x v="7"/>
    <n v="0.46397158431413499"/>
    <x v="159"/>
    <x v="389"/>
  </r>
  <r>
    <x v="8"/>
    <n v="182"/>
    <x v="80"/>
    <n v="53378.6"/>
    <n v="18.2"/>
    <x v="433"/>
    <n v="91.5"/>
    <n v="106848.9"/>
    <x v="436"/>
    <n v="0"/>
    <n v="2"/>
    <n v="0.99819999999999998"/>
    <n v="0"/>
    <n v="0"/>
    <n v="0"/>
    <n v="0"/>
    <n v="0"/>
    <n v="0"/>
    <n v="0"/>
    <n v="0"/>
    <n v="488113"/>
    <s v="Telecommunications"/>
    <x v="12"/>
    <s v="www.chinatelecom.com.cn"/>
    <x v="0"/>
    <x v="8"/>
    <n v="0.49957088935871102"/>
    <x v="0"/>
    <x v="0"/>
  </r>
  <r>
    <x v="8"/>
    <n v="71"/>
    <x v="81"/>
    <n v="96874.5"/>
    <n v="10.7"/>
    <x v="434"/>
    <n v="1.3"/>
    <n v="204799.3"/>
    <x v="437"/>
    <n v="0"/>
    <n v="12.2"/>
    <n v="5.7864000000000004"/>
    <n v="0"/>
    <n v="0"/>
    <n v="0"/>
    <n v="0"/>
    <n v="0"/>
    <n v="0"/>
    <n v="0"/>
    <n v="0"/>
    <n v="222431"/>
    <s v="Telecommunications"/>
    <x v="12"/>
    <s v="www.10086.cn0"/>
    <x v="0"/>
    <x v="8"/>
    <n v="0.47302163630442101"/>
    <x v="0"/>
    <x v="0"/>
  </r>
  <r>
    <x v="9"/>
    <n v="362"/>
    <x v="74"/>
    <n v="30009.7"/>
    <n v="-4.8"/>
    <x v="383"/>
    <n v="82.6"/>
    <n v="36574.9"/>
    <x v="427"/>
    <n v="0"/>
    <n v="1.1000000000000001"/>
    <n v="0.9"/>
    <n v="6.7"/>
    <n v="0"/>
    <n v="0"/>
    <n v="0"/>
    <n v="0"/>
    <n v="0"/>
    <n v="0"/>
    <n v="0"/>
    <n v="144659"/>
    <s v="Electronics, Electrical Equip."/>
    <x v="12"/>
    <s v="www.cec.com.cn"/>
    <x v="382"/>
    <x v="9"/>
    <n v="0.82049985099070699"/>
    <x v="160"/>
    <x v="381"/>
  </r>
  <r>
    <x v="9"/>
    <n v="241"/>
    <x v="79"/>
    <n v="41273.9"/>
    <n v="-6.4"/>
    <x v="425"/>
    <n v="-95.8"/>
    <n v="88626.1"/>
    <x v="428"/>
    <n v="0"/>
    <n v="0.1"/>
    <n v="0"/>
    <n v="0.2"/>
    <n v="0"/>
    <n v="0"/>
    <n v="0"/>
    <n v="0"/>
    <n v="0"/>
    <n v="0"/>
    <n v="0"/>
    <n v="253724"/>
    <s v="Telecommunications"/>
    <x v="12"/>
    <s v="www.chinaunicom-a.com"/>
    <x v="383"/>
    <x v="9"/>
    <n v="0.46570818302960398"/>
    <x v="108"/>
    <x v="382"/>
  </r>
  <r>
    <x v="9"/>
    <n v="133"/>
    <x v="80"/>
    <n v="62387"/>
    <n v="1"/>
    <x v="426"/>
    <n v="2.9"/>
    <n v="115818.8"/>
    <x v="429"/>
    <n v="0"/>
    <n v="2.8"/>
    <n v="1.5"/>
    <n v="3.5"/>
    <n v="0"/>
    <n v="0"/>
    <n v="0"/>
    <n v="0"/>
    <n v="0"/>
    <n v="0"/>
    <n v="0"/>
    <n v="413536"/>
    <s v="Telecommunications"/>
    <x v="12"/>
    <s v="www.chinatelecom.com.cn"/>
    <x v="384"/>
    <x v="9"/>
    <n v="0.53866039019571998"/>
    <x v="120"/>
    <x v="383"/>
  </r>
  <r>
    <x v="9"/>
    <n v="47"/>
    <x v="81"/>
    <n v="107116.5"/>
    <n v="0.3"/>
    <x v="427"/>
    <n v="-5.2"/>
    <n v="246445.6"/>
    <x v="430"/>
    <n v="0"/>
    <n v="9"/>
    <n v="3.9"/>
    <n v="7.4"/>
    <n v="0"/>
    <n v="0"/>
    <n v="0"/>
    <n v="0"/>
    <n v="0"/>
    <n v="0"/>
    <n v="0"/>
    <n v="463712"/>
    <s v="Telecommunications"/>
    <x v="12"/>
    <s v="www.10086.cn0"/>
    <x v="385"/>
    <x v="9"/>
    <n v="0.43464561753182002"/>
    <x v="130"/>
    <x v="38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F41C71-39DD-4B2E-A691-645D470C428E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N124" firstHeaderRow="1" firstDataRow="2" firstDataCol="1"/>
  <pivotFields count="29">
    <pivotField showAll="0">
      <items count="13">
        <item x="9"/>
        <item x="8"/>
        <item x="7"/>
        <item x="10"/>
        <item x="11"/>
        <item x="6"/>
        <item x="5"/>
        <item x="4"/>
        <item x="3"/>
        <item x="2"/>
        <item x="1"/>
        <item x="0"/>
        <item t="default"/>
      </items>
    </pivotField>
    <pivotField showAll="0"/>
    <pivotField showAll="0">
      <items count="83">
        <item x="66"/>
        <item x="14"/>
        <item x="33"/>
        <item x="10"/>
        <item x="78"/>
        <item x="57"/>
        <item x="15"/>
        <item x="9"/>
        <item x="52"/>
        <item x="46"/>
        <item x="19"/>
        <item x="4"/>
        <item x="74"/>
        <item x="81"/>
        <item x="80"/>
        <item x="79"/>
        <item x="11"/>
        <item x="70"/>
        <item x="22"/>
        <item x="0"/>
        <item x="38"/>
        <item x="6"/>
        <item x="21"/>
        <item x="20"/>
        <item x="3"/>
        <item x="69"/>
        <item x="56"/>
        <item x="36"/>
        <item x="5"/>
        <item x="76"/>
        <item x="77"/>
        <item x="64"/>
        <item x="2"/>
        <item x="12"/>
        <item x="44"/>
        <item x="60"/>
        <item x="17"/>
        <item x="8"/>
        <item x="27"/>
        <item x="43"/>
        <item x="31"/>
        <item x="40"/>
        <item x="72"/>
        <item x="75"/>
        <item x="25"/>
        <item x="1"/>
        <item x="18"/>
        <item x="67"/>
        <item x="42"/>
        <item x="49"/>
        <item x="47"/>
        <item x="45"/>
        <item x="16"/>
        <item x="62"/>
        <item x="37"/>
        <item x="68"/>
        <item x="71"/>
        <item x="54"/>
        <item x="39"/>
        <item x="41"/>
        <item x="7"/>
        <item x="61"/>
        <item x="63"/>
        <item x="53"/>
        <item x="35"/>
        <item x="59"/>
        <item x="48"/>
        <item x="26"/>
        <item x="34"/>
        <item x="24"/>
        <item x="50"/>
        <item x="32"/>
        <item x="58"/>
        <item x="51"/>
        <item x="65"/>
        <item x="28"/>
        <item x="23"/>
        <item x="13"/>
        <item x="55"/>
        <item x="29"/>
        <item x="73"/>
        <item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20">
        <item x="114"/>
        <item x="103"/>
        <item x="106"/>
        <item x="118"/>
        <item x="19"/>
        <item x="22"/>
        <item x="47"/>
        <item x="59"/>
        <item x="110"/>
        <item x="84"/>
        <item x="11"/>
        <item x="13"/>
        <item x="100"/>
        <item x="105"/>
        <item x="97"/>
        <item x="79"/>
        <item x="96"/>
        <item x="68"/>
        <item x="70"/>
        <item x="4"/>
        <item x="38"/>
        <item x="14"/>
        <item x="25"/>
        <item x="32"/>
        <item x="8"/>
        <item x="0"/>
        <item x="35"/>
        <item x="93"/>
        <item x="53"/>
        <item x="6"/>
        <item x="29"/>
        <item x="28"/>
        <item x="30"/>
        <item x="3"/>
        <item x="7"/>
        <item x="51"/>
        <item x="112"/>
        <item x="83"/>
        <item x="5"/>
        <item x="18"/>
        <item x="23"/>
        <item x="111"/>
        <item x="87"/>
        <item x="24"/>
        <item x="31"/>
        <item x="2"/>
        <item x="9"/>
        <item x="15"/>
        <item x="101"/>
        <item x="98"/>
        <item x="65"/>
        <item x="74"/>
        <item x="41"/>
        <item x="60"/>
        <item x="64"/>
        <item x="72"/>
        <item x="27"/>
        <item x="45"/>
        <item x="61"/>
        <item x="113"/>
        <item x="55"/>
        <item x="1"/>
        <item x="63"/>
        <item x="71"/>
        <item x="39"/>
        <item x="26"/>
        <item x="33"/>
        <item x="69"/>
        <item x="75"/>
        <item x="67"/>
        <item x="76"/>
        <item x="90"/>
        <item x="91"/>
        <item x="20"/>
        <item x="21"/>
        <item x="52"/>
        <item x="107"/>
        <item x="108"/>
        <item x="117"/>
        <item x="56"/>
        <item x="81"/>
        <item x="54"/>
        <item x="37"/>
        <item x="92"/>
        <item x="95"/>
        <item x="89"/>
        <item x="80"/>
        <item x="40"/>
        <item x="73"/>
        <item x="49"/>
        <item x="86"/>
        <item x="94"/>
        <item x="77"/>
        <item x="48"/>
        <item x="58"/>
        <item x="66"/>
        <item x="115"/>
        <item x="88"/>
        <item x="10"/>
        <item x="34"/>
        <item x="99"/>
        <item x="104"/>
        <item x="109"/>
        <item x="85"/>
        <item x="46"/>
        <item x="50"/>
        <item x="116"/>
        <item x="78"/>
        <item x="57"/>
        <item x="42"/>
        <item x="36"/>
        <item x="82"/>
        <item x="43"/>
        <item x="62"/>
        <item x="16"/>
        <item x="17"/>
        <item x="102"/>
        <item x="44"/>
        <item x="12"/>
        <item t="default"/>
      </items>
    </pivotField>
    <pivotField showAll="0"/>
    <pivotField showAll="0">
      <items count="392">
        <item x="18"/>
        <item x="295"/>
        <item x="298"/>
        <item x="336"/>
        <item x="4"/>
        <item x="330"/>
        <item x="324"/>
        <item x="125"/>
        <item x="240"/>
        <item x="241"/>
        <item x="341"/>
        <item x="289"/>
        <item x="297"/>
        <item x="122"/>
        <item x="264"/>
        <item x="127"/>
        <item x="118"/>
        <item x="337"/>
        <item x="255"/>
        <item x="231"/>
        <item x="344"/>
        <item x="319"/>
        <item x="331"/>
        <item x="20"/>
        <item x="325"/>
        <item x="342"/>
        <item x="362"/>
        <item x="265"/>
        <item x="283"/>
        <item x="299"/>
        <item x="302"/>
        <item x="338"/>
        <item x="343"/>
        <item x="266"/>
        <item x="124"/>
        <item x="382"/>
        <item x="339"/>
        <item x="386"/>
        <item x="121"/>
        <item x="225"/>
        <item x="332"/>
        <item x="59"/>
        <item x="61"/>
        <item x="320"/>
        <item x="220"/>
        <item x="354"/>
        <item x="333"/>
        <item x="328"/>
        <item x="321"/>
        <item x="326"/>
        <item x="378"/>
        <item x="277"/>
        <item x="348"/>
        <item x="107"/>
        <item x="101"/>
        <item x="358"/>
        <item x="366"/>
        <item x="80"/>
        <item x="129"/>
        <item x="361"/>
        <item x="119"/>
        <item x="239"/>
        <item x="12"/>
        <item x="267"/>
        <item x="360"/>
        <item x="374"/>
        <item x="105"/>
        <item x="296"/>
        <item x="259"/>
        <item x="138"/>
        <item x="281"/>
        <item x="357"/>
        <item x="276"/>
        <item x="268"/>
        <item x="87"/>
        <item x="229"/>
        <item x="97"/>
        <item x="117"/>
        <item x="294"/>
        <item x="273"/>
        <item x="214"/>
        <item x="346"/>
        <item x="347"/>
        <item x="114"/>
        <item x="248"/>
        <item x="92"/>
        <item x="307"/>
        <item x="263"/>
        <item x="19"/>
        <item x="345"/>
        <item x="98"/>
        <item x="272"/>
        <item x="282"/>
        <item x="383"/>
        <item x="175"/>
        <item x="359"/>
        <item x="66"/>
        <item x="356"/>
        <item x="31"/>
        <item x="367"/>
        <item x="363"/>
        <item x="308"/>
        <item x="224"/>
        <item x="256"/>
        <item x="275"/>
        <item x="340"/>
        <item x="293"/>
        <item x="300"/>
        <item x="151"/>
        <item x="212"/>
        <item x="104"/>
        <item x="110"/>
        <item x="355"/>
        <item x="218"/>
        <item x="257"/>
        <item x="15"/>
        <item x="246"/>
        <item x="334"/>
        <item x="327"/>
        <item x="173"/>
        <item x="215"/>
        <item x="130"/>
        <item x="247"/>
        <item x="322"/>
        <item x="311"/>
        <item x="304"/>
        <item x="285"/>
        <item x="284"/>
        <item x="2"/>
        <item x="211"/>
        <item x="350"/>
        <item x="167"/>
        <item x="27"/>
        <item x="56"/>
        <item x="245"/>
        <item x="93"/>
        <item x="65"/>
        <item x="88"/>
        <item x="352"/>
        <item x="353"/>
        <item x="70"/>
        <item x="82"/>
        <item x="160"/>
        <item x="60"/>
        <item x="111"/>
        <item x="230"/>
        <item x="176"/>
        <item x="253"/>
        <item x="269"/>
        <item x="250"/>
        <item x="78"/>
        <item x="292"/>
        <item x="75"/>
        <item x="278"/>
        <item x="351"/>
        <item x="274"/>
        <item x="219"/>
        <item x="260"/>
        <item x="379"/>
        <item x="349"/>
        <item x="81"/>
        <item x="5"/>
        <item x="188"/>
        <item x="226"/>
        <item x="153"/>
        <item x="86"/>
        <item x="290"/>
        <item x="126"/>
        <item x="177"/>
        <item x="120"/>
        <item x="26"/>
        <item x="162"/>
        <item x="22"/>
        <item x="368"/>
        <item x="190"/>
        <item x="375"/>
        <item x="169"/>
        <item x="371"/>
        <item x="128"/>
        <item x="244"/>
        <item x="192"/>
        <item x="312"/>
        <item x="186"/>
        <item x="16"/>
        <item x="301"/>
        <item x="159"/>
        <item x="193"/>
        <item x="170"/>
        <item x="132"/>
        <item x="314"/>
        <item x="139"/>
        <item x="166"/>
        <item x="305"/>
        <item x="303"/>
        <item x="146"/>
        <item x="140"/>
        <item x="237"/>
        <item x="145"/>
        <item x="184"/>
        <item x="254"/>
        <item x="205"/>
        <item x="309"/>
        <item x="287"/>
        <item x="178"/>
        <item x="174"/>
        <item x="152"/>
        <item x="243"/>
        <item x="164"/>
        <item x="108"/>
        <item x="249"/>
        <item x="180"/>
        <item x="106"/>
        <item x="242"/>
        <item x="47"/>
        <item x="172"/>
        <item x="203"/>
        <item x="183"/>
        <item x="234"/>
        <item x="29"/>
        <item x="286"/>
        <item x="168"/>
        <item x="317"/>
        <item x="156"/>
        <item x="279"/>
        <item x="313"/>
        <item x="204"/>
        <item x="113"/>
        <item x="161"/>
        <item x="206"/>
        <item x="148"/>
        <item x="163"/>
        <item x="189"/>
        <item x="223"/>
        <item x="131"/>
        <item x="201"/>
        <item x="270"/>
        <item x="191"/>
        <item x="194"/>
        <item x="181"/>
        <item x="155"/>
        <item x="187"/>
        <item x="202"/>
        <item x="306"/>
        <item x="141"/>
        <item x="6"/>
        <item x="199"/>
        <item x="134"/>
        <item x="154"/>
        <item x="208"/>
        <item x="207"/>
        <item x="133"/>
        <item x="28"/>
        <item x="316"/>
        <item x="261"/>
        <item x="182"/>
        <item x="103"/>
        <item x="238"/>
        <item x="142"/>
        <item x="185"/>
        <item x="195"/>
        <item x="147"/>
        <item x="54"/>
        <item x="74"/>
        <item x="200"/>
        <item x="198"/>
        <item x="52"/>
        <item x="39"/>
        <item x="258"/>
        <item x="49"/>
        <item x="235"/>
        <item x="251"/>
        <item x="42"/>
        <item x="21"/>
        <item x="197"/>
        <item x="45"/>
        <item x="252"/>
        <item x="384"/>
        <item x="149"/>
        <item x="34"/>
        <item x="94"/>
        <item x="196"/>
        <item x="11"/>
        <item x="83"/>
        <item x="89"/>
        <item x="25"/>
        <item x="380"/>
        <item x="76"/>
        <item x="135"/>
        <item x="376"/>
        <item x="387"/>
        <item x="369"/>
        <item x="143"/>
        <item x="8"/>
        <item x="389"/>
        <item x="372"/>
        <item x="364"/>
        <item x="210"/>
        <item x="36"/>
        <item x="136"/>
        <item x="115"/>
        <item x="99"/>
        <item x="38"/>
        <item x="30"/>
        <item x="112"/>
        <item x="144"/>
        <item x="150"/>
        <item x="157"/>
        <item x="209"/>
        <item x="213"/>
        <item x="71"/>
        <item x="10"/>
        <item x="77"/>
        <item x="315"/>
        <item x="236"/>
        <item x="123"/>
        <item x="171"/>
        <item x="95"/>
        <item x="84"/>
        <item x="165"/>
        <item x="57"/>
        <item x="24"/>
        <item x="137"/>
        <item x="179"/>
        <item x="72"/>
        <item x="158"/>
        <item x="7"/>
        <item x="91"/>
        <item x="9"/>
        <item x="90"/>
        <item x="67"/>
        <item x="96"/>
        <item x="100"/>
        <item x="23"/>
        <item x="116"/>
        <item x="69"/>
        <item x="216"/>
        <item x="62"/>
        <item x="13"/>
        <item x="310"/>
        <item x="221"/>
        <item x="50"/>
        <item x="41"/>
        <item x="232"/>
        <item x="51"/>
        <item x="217"/>
        <item x="68"/>
        <item x="55"/>
        <item x="48"/>
        <item x="46"/>
        <item x="85"/>
        <item x="53"/>
        <item x="79"/>
        <item x="1"/>
        <item x="32"/>
        <item x="228"/>
        <item x="44"/>
        <item x="3"/>
        <item x="390"/>
        <item x="385"/>
        <item x="388"/>
        <item x="365"/>
        <item x="288"/>
        <item x="63"/>
        <item x="43"/>
        <item x="64"/>
        <item x="381"/>
        <item x="14"/>
        <item x="233"/>
        <item x="222"/>
        <item x="318"/>
        <item x="280"/>
        <item x="227"/>
        <item x="271"/>
        <item x="17"/>
        <item x="102"/>
        <item x="58"/>
        <item x="377"/>
        <item x="40"/>
        <item x="370"/>
        <item x="73"/>
        <item x="373"/>
        <item x="262"/>
        <item x="37"/>
        <item x="335"/>
        <item x="329"/>
        <item x="35"/>
        <item x="33"/>
        <item x="323"/>
        <item x="0"/>
        <item x="291"/>
        <item x="109"/>
        <item t="default"/>
      </items>
    </pivotField>
    <pivotField axis="axisCol" showAll="0">
      <items count="13">
        <item x="9"/>
        <item x="8"/>
        <item x="7"/>
        <item x="10"/>
        <item x="11"/>
        <item x="6"/>
        <item x="5"/>
        <item x="4"/>
        <item x="3"/>
        <item x="2"/>
        <item x="1"/>
        <item x="0"/>
        <item t="default"/>
      </items>
    </pivotField>
    <pivotField showAll="0"/>
    <pivotField showAll="0">
      <items count="281">
        <item x="227"/>
        <item x="118"/>
        <item x="96"/>
        <item x="101"/>
        <item x="22"/>
        <item x="18"/>
        <item x="117"/>
        <item x="128"/>
        <item x="176"/>
        <item x="103"/>
        <item x="114"/>
        <item x="105"/>
        <item x="116"/>
        <item x="13"/>
        <item x="178"/>
        <item x="224"/>
        <item x="158"/>
        <item x="104"/>
        <item x="259"/>
        <item x="112"/>
        <item x="121"/>
        <item x="17"/>
        <item x="19"/>
        <item x="2"/>
        <item x="14"/>
        <item x="183"/>
        <item x="260"/>
        <item x="20"/>
        <item x="211"/>
        <item x="0"/>
        <item x="108"/>
        <item x="11"/>
        <item x="161"/>
        <item x="212"/>
        <item x="258"/>
        <item x="180"/>
        <item x="279"/>
        <item x="100"/>
        <item x="29"/>
        <item x="136"/>
        <item x="276"/>
        <item x="277"/>
        <item x="269"/>
        <item x="6"/>
        <item x="238"/>
        <item x="120"/>
        <item x="239"/>
        <item x="273"/>
        <item x="123"/>
        <item x="217"/>
        <item x="173"/>
        <item x="232"/>
        <item x="275"/>
        <item x="156"/>
        <item x="99"/>
        <item x="206"/>
        <item x="272"/>
        <item x="106"/>
        <item x="268"/>
        <item x="278"/>
        <item x="119"/>
        <item x="122"/>
        <item x="145"/>
        <item x="152"/>
        <item x="251"/>
        <item x="253"/>
        <item x="196"/>
        <item x="124"/>
        <item x="246"/>
        <item x="56"/>
        <item x="160"/>
        <item x="143"/>
        <item x="165"/>
        <item x="159"/>
        <item x="169"/>
        <item x="87"/>
        <item x="229"/>
        <item x="137"/>
        <item x="130"/>
        <item x="202"/>
        <item x="257"/>
        <item x="204"/>
        <item x="270"/>
        <item x="131"/>
        <item x="197"/>
        <item x="95"/>
        <item x="274"/>
        <item x="222"/>
        <item x="210"/>
        <item x="226"/>
        <item x="39"/>
        <item x="153"/>
        <item x="256"/>
        <item x="194"/>
        <item x="98"/>
        <item x="113"/>
        <item x="245"/>
        <item x="5"/>
        <item x="149"/>
        <item x="144"/>
        <item x="77"/>
        <item x="242"/>
        <item x="162"/>
        <item x="235"/>
        <item x="195"/>
        <item x="164"/>
        <item x="198"/>
        <item x="107"/>
        <item x="154"/>
        <item x="271"/>
        <item x="71"/>
        <item x="146"/>
        <item x="243"/>
        <item x="233"/>
        <item x="168"/>
        <item x="81"/>
        <item x="266"/>
        <item x="228"/>
        <item x="216"/>
        <item x="170"/>
        <item x="205"/>
        <item x="234"/>
        <item x="150"/>
        <item x="66"/>
        <item x="174"/>
        <item x="264"/>
        <item x="97"/>
        <item x="252"/>
        <item x="75"/>
        <item x="82"/>
        <item x="155"/>
        <item x="140"/>
        <item x="126"/>
        <item x="125"/>
        <item x="21"/>
        <item x="163"/>
        <item x="134"/>
        <item x="90"/>
        <item x="16"/>
        <item x="45"/>
        <item x="207"/>
        <item x="208"/>
        <item x="49"/>
        <item x="236"/>
        <item x="127"/>
        <item x="42"/>
        <item x="167"/>
        <item x="138"/>
        <item x="132"/>
        <item x="133"/>
        <item x="248"/>
        <item x="61"/>
        <item x="9"/>
        <item x="249"/>
        <item x="231"/>
        <item x="10"/>
        <item x="215"/>
        <item x="80"/>
        <item x="135"/>
        <item x="187"/>
        <item x="241"/>
        <item x="79"/>
        <item x="214"/>
        <item x="147"/>
        <item x="237"/>
        <item x="85"/>
        <item x="191"/>
        <item x="74"/>
        <item x="166"/>
        <item x="46"/>
        <item x="115"/>
        <item x="255"/>
        <item x="151"/>
        <item x="8"/>
        <item x="129"/>
        <item x="111"/>
        <item x="250"/>
        <item x="201"/>
        <item x="172"/>
        <item x="37"/>
        <item x="262"/>
        <item x="32"/>
        <item x="247"/>
        <item x="102"/>
        <item x="41"/>
        <item x="88"/>
        <item x="93"/>
        <item x="203"/>
        <item x="263"/>
        <item x="110"/>
        <item x="221"/>
        <item x="70"/>
        <item x="92"/>
        <item x="267"/>
        <item x="44"/>
        <item x="254"/>
        <item x="220"/>
        <item x="261"/>
        <item x="83"/>
        <item x="175"/>
        <item x="186"/>
        <item x="171"/>
        <item x="139"/>
        <item x="58"/>
        <item x="89"/>
        <item x="3"/>
        <item x="68"/>
        <item x="53"/>
        <item x="72"/>
        <item x="23"/>
        <item x="48"/>
        <item x="33"/>
        <item x="177"/>
        <item x="84"/>
        <item x="62"/>
        <item x="142"/>
        <item x="51"/>
        <item x="86"/>
        <item x="190"/>
        <item x="73"/>
        <item x="188"/>
        <item x="192"/>
        <item x="189"/>
        <item x="244"/>
        <item x="94"/>
        <item x="78"/>
        <item x="30"/>
        <item x="7"/>
        <item x="265"/>
        <item x="182"/>
        <item x="24"/>
        <item x="193"/>
        <item x="64"/>
        <item x="185"/>
        <item x="91"/>
        <item x="240"/>
        <item x="181"/>
        <item x="25"/>
        <item x="28"/>
        <item x="55"/>
        <item x="59"/>
        <item x="52"/>
        <item x="225"/>
        <item x="35"/>
        <item x="157"/>
        <item x="1"/>
        <item x="209"/>
        <item x="15"/>
        <item x="76"/>
        <item x="218"/>
        <item x="213"/>
        <item x="54"/>
        <item x="50"/>
        <item x="43"/>
        <item x="69"/>
        <item x="67"/>
        <item x="219"/>
        <item x="200"/>
        <item x="184"/>
        <item x="148"/>
        <item x="63"/>
        <item x="57"/>
        <item x="47"/>
        <item x="199"/>
        <item x="109"/>
        <item x="12"/>
        <item x="40"/>
        <item x="26"/>
        <item x="141"/>
        <item x="31"/>
        <item x="179"/>
        <item x="65"/>
        <item x="38"/>
        <item x="27"/>
        <item x="4"/>
        <item x="36"/>
        <item x="34"/>
        <item x="60"/>
        <item x="230"/>
        <item x="223"/>
        <item t="default"/>
      </items>
    </pivotField>
    <pivotField showAll="0">
      <items count="391">
        <item x="18"/>
        <item x="0"/>
        <item x="8"/>
        <item x="7"/>
        <item x="43"/>
        <item x="46"/>
        <item x="3"/>
        <item x="50"/>
        <item x="9"/>
        <item x="322"/>
        <item x="40"/>
        <item x="10"/>
        <item x="1"/>
        <item x="279"/>
        <item x="270"/>
        <item x="261"/>
        <item x="334"/>
        <item x="317"/>
        <item x="33"/>
        <item x="35"/>
        <item x="37"/>
        <item x="328"/>
        <item x="171"/>
        <item x="55"/>
        <item x="32"/>
        <item x="287"/>
        <item x="165"/>
        <item x="302"/>
        <item x="139"/>
        <item x="53"/>
        <item x="202"/>
        <item x="138"/>
        <item x="216"/>
        <item x="131"/>
        <item x="151"/>
        <item x="145"/>
        <item x="153"/>
        <item x="167"/>
        <item x="160"/>
        <item x="204"/>
        <item x="221"/>
        <item x="304"/>
        <item x="144"/>
        <item x="380"/>
        <item x="200"/>
        <item x="376"/>
        <item x="389"/>
        <item x="226"/>
        <item x="194"/>
        <item x="232"/>
        <item x="95"/>
        <item x="54"/>
        <item x="152"/>
        <item x="237"/>
        <item x="364"/>
        <item x="372"/>
        <item x="369"/>
        <item x="52"/>
        <item x="197"/>
        <item x="356"/>
        <item x="158"/>
        <item x="272"/>
        <item x="309"/>
        <item x="387"/>
        <item x="99"/>
        <item x="388"/>
        <item x="363"/>
        <item x="173"/>
        <item x="110"/>
        <item x="231"/>
        <item x="384"/>
        <item x="11"/>
        <item x="90"/>
        <item x="262"/>
        <item x="49"/>
        <item x="218"/>
        <item x="359"/>
        <item x="235"/>
        <item x="198"/>
        <item x="227"/>
        <item x="293"/>
        <item x="215"/>
        <item x="116"/>
        <item x="185"/>
        <item x="189"/>
        <item x="159"/>
        <item x="187"/>
        <item x="229"/>
        <item x="280"/>
        <item x="51"/>
        <item x="386"/>
        <item x="300"/>
        <item x="86"/>
        <item x="122"/>
        <item x="360"/>
        <item x="225"/>
        <item x="365"/>
        <item x="191"/>
        <item x="220"/>
        <item x="58"/>
        <item x="84"/>
        <item x="81"/>
        <item x="166"/>
        <item x="303"/>
        <item x="146"/>
        <item x="182"/>
        <item x="141"/>
        <item x="241"/>
        <item x="234"/>
        <item x="233"/>
        <item x="236"/>
        <item x="45"/>
        <item x="379"/>
        <item x="278"/>
        <item x="383"/>
        <item x="212"/>
        <item x="179"/>
        <item x="97"/>
        <item x="92"/>
        <item x="132"/>
        <item x="247"/>
        <item x="164"/>
        <item x="64"/>
        <item x="283"/>
        <item x="172"/>
        <item x="42"/>
        <item x="170"/>
        <item x="314"/>
        <item x="87"/>
        <item x="178"/>
        <item x="183"/>
        <item x="157"/>
        <item x="222"/>
        <item x="269"/>
        <item x="351"/>
        <item x="48"/>
        <item x="375"/>
        <item x="295"/>
        <item x="208"/>
        <item x="44"/>
        <item x="217"/>
        <item x="242"/>
        <item x="133"/>
        <item x="68"/>
        <item x="88"/>
        <item x="371"/>
        <item x="93"/>
        <item x="299"/>
        <item x="5"/>
        <item x="357"/>
        <item x="243"/>
        <item x="274"/>
        <item x="316"/>
        <item x="368"/>
        <item x="77"/>
        <item x="82"/>
        <item x="223"/>
        <item x="80"/>
        <item x="354"/>
        <item x="123"/>
        <item x="238"/>
        <item x="114"/>
        <item x="75"/>
        <item x="112"/>
        <item x="260"/>
        <item x="209"/>
        <item x="251"/>
        <item x="192"/>
        <item x="257"/>
        <item x="292"/>
        <item x="250"/>
        <item x="62"/>
        <item x="271"/>
        <item x="143"/>
        <item x="73"/>
        <item x="321"/>
        <item x="155"/>
        <item x="150"/>
        <item x="348"/>
        <item x="135"/>
        <item x="190"/>
        <item x="265"/>
        <item x="305"/>
        <item x="100"/>
        <item x="113"/>
        <item x="39"/>
        <item x="286"/>
        <item x="89"/>
        <item x="149"/>
        <item x="63"/>
        <item x="67"/>
        <item x="228"/>
        <item x="281"/>
        <item x="96"/>
        <item x="352"/>
        <item x="188"/>
        <item x="349"/>
        <item x="137"/>
        <item x="326"/>
        <item x="275"/>
        <item x="339"/>
        <item x="350"/>
        <item x="333"/>
        <item x="181"/>
        <item x="94"/>
        <item x="72"/>
        <item x="344"/>
        <item x="244"/>
        <item x="184"/>
        <item x="186"/>
        <item x="57"/>
        <item x="306"/>
        <item x="342"/>
        <item x="340"/>
        <item x="70"/>
        <item x="355"/>
        <item x="83"/>
        <item x="140"/>
        <item x="14"/>
        <item x="17"/>
        <item x="163"/>
        <item x="310"/>
        <item x="79"/>
        <item x="347"/>
        <item x="246"/>
        <item x="85"/>
        <item x="263"/>
        <item x="119"/>
        <item x="266"/>
        <item x="102"/>
        <item x="76"/>
        <item x="147"/>
        <item x="2"/>
        <item x="129"/>
        <item x="315"/>
        <item x="91"/>
        <item x="41"/>
        <item x="301"/>
        <item x="69"/>
        <item x="21"/>
        <item x="60"/>
        <item x="180"/>
        <item x="320"/>
        <item x="118"/>
        <item x="206"/>
        <item x="128"/>
        <item x="71"/>
        <item x="193"/>
        <item x="207"/>
        <item x="65"/>
        <item x="56"/>
        <item x="103"/>
        <item x="74"/>
        <item x="296"/>
        <item x="336"/>
        <item x="245"/>
        <item x="378"/>
        <item x="47"/>
        <item x="343"/>
        <item x="108"/>
        <item x="273"/>
        <item x="106"/>
        <item x="374"/>
        <item x="338"/>
        <item x="318"/>
        <item x="289"/>
        <item x="341"/>
        <item x="370"/>
        <item x="6"/>
        <item x="325"/>
        <item x="214"/>
        <item x="105"/>
        <item x="127"/>
        <item x="13"/>
        <item x="367"/>
        <item x="23"/>
        <item x="177"/>
        <item x="332"/>
        <item x="313"/>
        <item x="353"/>
        <item x="142"/>
        <item x="249"/>
        <item x="78"/>
        <item x="252"/>
        <item x="210"/>
        <item x="248"/>
        <item x="101"/>
        <item x="330"/>
        <item x="98"/>
        <item x="134"/>
        <item x="264"/>
        <item x="327"/>
        <item x="288"/>
        <item x="115"/>
        <item x="24"/>
        <item x="282"/>
        <item x="211"/>
        <item x="331"/>
        <item x="298"/>
        <item x="169"/>
        <item x="254"/>
        <item x="30"/>
        <item x="201"/>
        <item x="120"/>
        <item x="148"/>
        <item x="156"/>
        <item x="136"/>
        <item x="22"/>
        <item x="319"/>
        <item x="324"/>
        <item x="111"/>
        <item x="337"/>
        <item x="205"/>
        <item x="253"/>
        <item x="104"/>
        <item x="335"/>
        <item x="38"/>
        <item x="25"/>
        <item x="130"/>
        <item x="59"/>
        <item x="284"/>
        <item x="213"/>
        <item x="19"/>
        <item x="203"/>
        <item x="312"/>
        <item x="174"/>
        <item x="373"/>
        <item x="36"/>
        <item x="154"/>
        <item x="285"/>
        <item x="308"/>
        <item x="345"/>
        <item x="346"/>
        <item x="329"/>
        <item x="16"/>
        <item x="240"/>
        <item x="195"/>
        <item x="377"/>
        <item x="259"/>
        <item x="323"/>
        <item x="126"/>
        <item x="255"/>
        <item x="196"/>
        <item x="361"/>
        <item x="176"/>
        <item x="125"/>
        <item x="268"/>
        <item x="291"/>
        <item x="162"/>
        <item x="277"/>
        <item x="307"/>
        <item x="34"/>
        <item x="219"/>
        <item x="161"/>
        <item x="366"/>
        <item x="28"/>
        <item x="362"/>
        <item x="107"/>
        <item x="258"/>
        <item x="267"/>
        <item x="311"/>
        <item x="199"/>
        <item x="381"/>
        <item x="382"/>
        <item x="29"/>
        <item x="385"/>
        <item x="358"/>
        <item x="168"/>
        <item x="20"/>
        <item x="239"/>
        <item x="121"/>
        <item x="175"/>
        <item x="117"/>
        <item x="109"/>
        <item x="224"/>
        <item x="256"/>
        <item x="66"/>
        <item x="15"/>
        <item x="230"/>
        <item x="26"/>
        <item x="276"/>
        <item x="27"/>
        <item x="12"/>
        <item x="124"/>
        <item x="294"/>
        <item x="31"/>
        <item x="61"/>
        <item x="297"/>
        <item x="4"/>
        <item x="290"/>
        <item t="default"/>
      </items>
    </pivotField>
  </pivotFields>
  <rowFields count="1">
    <field x="22"/>
  </rowFields>
  <rowItems count="1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 t="grand">
      <x/>
    </i>
  </rowItems>
  <colFields count="1">
    <field x="25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99B0CA-C1F8-405C-8A0A-A9FFE74283B2}" name="Tabla1" displayName="Tabla1" ref="A2:AD588" totalsRowShown="0">
  <autoFilter ref="A2:AD588" xr:uid="{E299B0CA-C1F8-405C-8A0A-A9FFE74283B2}"/>
  <tableColumns count="30">
    <tableColumn id="1" xr3:uid="{FFFE9D75-48DB-4EB4-92B3-98C4F6B2209C}" name="AÑO"/>
    <tableColumn id="2" xr3:uid="{F2A0F2B0-BEFD-4F0B-8AAB-4662C17C3FA0}" name="RANK_16"/>
    <tableColumn id="3" xr3:uid="{DFA672F4-B0A0-46D5-BC14-067C2AD93BFA}" name="EMPRESA"/>
    <tableColumn id="4" xr3:uid="{108C192C-2401-46E4-84EC-5727E74C3542}" name="Ventas en millones"/>
    <tableColumn id="5" xr3:uid="{1D139B22-F000-4B39-8D81-16D85B99D86E}" name="VENTAS_CAMBIO%"/>
    <tableColumn id="6" xr3:uid="{1BE90769-ABF2-44EC-93F4-37A6BF5C6784}" name="GANANCIA_MILL"/>
    <tableColumn id="7" xr3:uid="{F61185FA-62A9-4964-9B5C-FF26A20CC17C}" name="GANANCIA_CAMBIO%"/>
    <tableColumn id="8" xr3:uid="{2E517B2A-4892-4DA6-8F53-9A7CCA3792DD}" name="ACTIVOS_MILL"/>
    <tableColumn id="9" xr3:uid="{3F199B6A-00FA-4009-A405-686DEA2EAB5C}" name="ACCIONES_MILL"/>
    <tableColumn id="10" xr3:uid="{C1C0DD08-800A-44E4-8F3A-15EC3AE89CE5}" name="VALOR_MERCADO_MILL"/>
    <tableColumn id="11" xr3:uid="{B497E914-7F09-4638-900A-558265942151}" name="GANANCIAS_%VTAS"/>
    <tableColumn id="12" xr3:uid="{AADFE3ED-B9B1-4D23-ADF7-087CE43C9DC0}" name="GANANCIAS_%ACTIVOS"/>
    <tableColumn id="13" xr3:uid="{44CBD8BA-F991-486F-B76E-9B007A91B425}" name="GANANCIAS_%CAPITAL0CONTABLE"/>
    <tableColumn id="14" xr3:uid="{8A6DA513-E47B-49C5-BDC3-693470267AB6}" name="GANANCIAS_POR_ACCIÓN"/>
    <tableColumn id="15" xr3:uid="{FCE5FBAC-454B-4E50-B7F1-F5CC47F1361B}" name="EPS_CAMBIO%"/>
    <tableColumn id="16" xr3:uid="{BEBC3A18-AA0A-401F-9620-E7C4C017CB3D}" name="5_AÑO_EPS_TASA_ANUAL0"/>
    <tableColumn id="17" xr3:uid="{81DE4487-121C-4903-AFB6-E923E8769C1A}" name="10_AÑO_EPS_TASA_ANUAL0"/>
    <tableColumn id="18" xr3:uid="{B60378A7-0C06-4C3A-8B37-72E8A442BD64}" name="RETORNO_INVERSIONISTAS"/>
    <tableColumn id="19" xr3:uid="{5F76507F-45C7-4AC7-BFF6-51D393E30BC1}" name="5_AÑOS_RETORNO_INVERSIONISTAS"/>
    <tableColumn id="20" xr3:uid="{F536476F-091E-499C-9EA7-1BF793220A7D}" name="10_AÑOS_RETORNO_INVERSIONISTAS"/>
    <tableColumn id="21" xr3:uid="{8435F0C2-27C8-4290-9369-A906E32399A6}" name="EMPLEO"/>
    <tableColumn id="22" xr3:uid="{4E1DBF1A-CFB6-4E11-87B5-D7096986D043}" name="EMISORA"/>
    <tableColumn id="31" xr3:uid="{686F668F-50B1-4ADA-9429-D63AAA9AF7E6}" name="INDUSTRIA"/>
    <tableColumn id="23" xr3:uid="{72A1C6B5-649B-428D-AD25-036BE519E208}" name="Columna1"/>
    <tableColumn id="24" xr3:uid="{D818D2A2-5B9C-4D18-BD73-2122B81EFF3E}" name="WEB"/>
    <tableColumn id="25" xr3:uid="{0DCB83C0-264E-426C-A892-5C855A98AFF9}" name="Capital Contable en millones"/>
    <tableColumn id="26" xr3:uid="{78D77D10-72F8-4E4B-9725-25A56AB1D9DA}" name="Año real"/>
    <tableColumn id="27" xr3:uid="{479C5898-CCB8-4417-9B20-DA33417AB4F7}" name="Rotación de activos"/>
    <tableColumn id="28" xr3:uid="{216DA6EC-C515-4F58-AB42-ABBBE4770379}" name="ROE (Análisis Dupont)"/>
    <tableColumn id="29" xr3:uid="{61C7E1F9-1098-4031-B9BA-CE0175416B54}" name="Multiplicador de capital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://www.chinatelecom.com.cn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J992"/>
  <sheetViews>
    <sheetView topLeftCell="S577" workbookViewId="0">
      <selection activeCell="Y590" sqref="Y590"/>
    </sheetView>
  </sheetViews>
  <sheetFormatPr baseColWidth="10" defaultColWidth="8.88671875" defaultRowHeight="14.4" x14ac:dyDescent="0.3"/>
  <cols>
    <col min="2" max="2" width="10.44140625" customWidth="1"/>
    <col min="3" max="3" width="10.6640625" customWidth="1"/>
    <col min="4" max="4" width="18.109375" customWidth="1"/>
    <col min="5" max="5" width="18.6640625" customWidth="1"/>
    <col min="6" max="6" width="16.77734375" customWidth="1"/>
    <col min="7" max="7" width="21.109375" customWidth="1"/>
    <col min="8" max="8" width="15" customWidth="1"/>
    <col min="9" max="9" width="16.33203125" customWidth="1"/>
    <col min="10" max="10" width="23" customWidth="1"/>
    <col min="11" max="11" width="19.21875" customWidth="1"/>
    <col min="12" max="12" width="22.21875" customWidth="1"/>
    <col min="13" max="13" width="31.77734375" customWidth="1"/>
    <col min="14" max="14" width="24.6640625" customWidth="1"/>
    <col min="15" max="15" width="15.109375" customWidth="1"/>
    <col min="16" max="16" width="25.44140625" customWidth="1"/>
    <col min="17" max="17" width="26.44140625" customWidth="1"/>
    <col min="18" max="18" width="25.77734375" customWidth="1"/>
    <col min="19" max="19" width="33.44140625" customWidth="1"/>
    <col min="20" max="20" width="34.44140625" customWidth="1"/>
    <col min="21" max="21" width="9.77734375" customWidth="1"/>
    <col min="22" max="22" width="10.5546875" customWidth="1"/>
    <col min="23" max="23" width="12" customWidth="1"/>
    <col min="26" max="26" width="26" customWidth="1"/>
    <col min="27" max="27" width="9.6640625" customWidth="1"/>
    <col min="28" max="28" width="18.88671875" customWidth="1"/>
    <col min="29" max="29" width="20.33203125" customWidth="1"/>
    <col min="30" max="30" width="22" customWidth="1"/>
  </cols>
  <sheetData>
    <row r="1" spans="1:30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23</v>
      </c>
      <c r="W1">
        <v>22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</row>
    <row r="2" spans="1:30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22</v>
      </c>
      <c r="W2" t="s">
        <v>21</v>
      </c>
      <c r="X2" t="s">
        <v>335</v>
      </c>
      <c r="Y2" t="s">
        <v>23</v>
      </c>
      <c r="Z2" t="s">
        <v>24</v>
      </c>
      <c r="AA2" t="s">
        <v>25</v>
      </c>
      <c r="AB2" t="s">
        <v>26</v>
      </c>
      <c r="AC2" t="s">
        <v>27</v>
      </c>
      <c r="AD2" t="s">
        <v>28</v>
      </c>
    </row>
    <row r="3" spans="1:30" x14ac:dyDescent="0.3">
      <c r="A3">
        <v>2023</v>
      </c>
      <c r="B3">
        <v>97</v>
      </c>
      <c r="C3" t="s">
        <v>29</v>
      </c>
      <c r="D3">
        <v>102301</v>
      </c>
      <c r="E3">
        <v>-4.4000000000000004</v>
      </c>
      <c r="F3">
        <v>2442</v>
      </c>
      <c r="G3">
        <v>-56.1</v>
      </c>
      <c r="H3">
        <v>89611</v>
      </c>
      <c r="I3">
        <v>-3122</v>
      </c>
      <c r="J3">
        <v>29401.7</v>
      </c>
      <c r="K3">
        <v>2.4</v>
      </c>
      <c r="L3">
        <v>2.7</v>
      </c>
      <c r="M3">
        <v>0</v>
      </c>
      <c r="N3">
        <v>3.24</v>
      </c>
      <c r="O3">
        <v>-53.8</v>
      </c>
      <c r="P3">
        <v>0</v>
      </c>
      <c r="Q3">
        <v>0</v>
      </c>
      <c r="R3">
        <v>-26.8</v>
      </c>
      <c r="S3">
        <v>0</v>
      </c>
      <c r="T3">
        <v>0</v>
      </c>
      <c r="U3">
        <v>133000</v>
      </c>
      <c r="V3" t="s">
        <v>31</v>
      </c>
      <c r="W3" t="s">
        <v>30</v>
      </c>
      <c r="Y3" t="s">
        <v>32</v>
      </c>
      <c r="Z3" t="s">
        <v>329</v>
      </c>
      <c r="AA3">
        <v>2022</v>
      </c>
      <c r="AB3">
        <v>1.1416120788742501</v>
      </c>
      <c r="AC3">
        <v>0</v>
      </c>
      <c r="AD3">
        <v>0</v>
      </c>
    </row>
    <row r="4" spans="1:30" x14ac:dyDescent="0.3">
      <c r="A4">
        <v>2022</v>
      </c>
      <c r="B4">
        <v>86</v>
      </c>
      <c r="C4" t="s">
        <v>29</v>
      </c>
      <c r="D4">
        <v>106995</v>
      </c>
      <c r="E4">
        <v>13.6</v>
      </c>
      <c r="F4">
        <v>5563</v>
      </c>
      <c r="G4">
        <v>71.2</v>
      </c>
      <c r="H4">
        <v>92735</v>
      </c>
      <c r="I4">
        <v>-1685</v>
      </c>
      <c r="J4">
        <v>38164.400000000001</v>
      </c>
      <c r="K4">
        <v>5.2</v>
      </c>
      <c r="L4">
        <v>6</v>
      </c>
      <c r="M4">
        <v>0</v>
      </c>
      <c r="N4">
        <v>7.02</v>
      </c>
      <c r="O4">
        <v>66.400000000000006</v>
      </c>
      <c r="P4">
        <v>0</v>
      </c>
      <c r="Q4">
        <v>0</v>
      </c>
      <c r="R4">
        <v>51.5</v>
      </c>
      <c r="S4">
        <v>0</v>
      </c>
      <c r="T4">
        <v>0</v>
      </c>
      <c r="U4">
        <v>133000</v>
      </c>
      <c r="V4" t="s">
        <v>31</v>
      </c>
      <c r="W4" t="s">
        <v>30</v>
      </c>
      <c r="Y4" t="s">
        <v>32</v>
      </c>
      <c r="Z4" t="s">
        <v>329</v>
      </c>
      <c r="AA4">
        <v>2021</v>
      </c>
      <c r="AB4">
        <v>1.1537714994338699</v>
      </c>
      <c r="AC4">
        <v>0</v>
      </c>
      <c r="AD4">
        <v>0</v>
      </c>
    </row>
    <row r="5" spans="1:30" x14ac:dyDescent="0.3">
      <c r="A5">
        <v>2022</v>
      </c>
      <c r="B5">
        <v>71</v>
      </c>
      <c r="C5" t="s">
        <v>33</v>
      </c>
      <c r="D5">
        <v>117929</v>
      </c>
      <c r="E5">
        <v>37.200000000000003</v>
      </c>
      <c r="F5">
        <v>39370</v>
      </c>
      <c r="G5">
        <v>35.1</v>
      </c>
      <c r="H5">
        <v>165987</v>
      </c>
      <c r="I5">
        <v>124879</v>
      </c>
      <c r="J5">
        <v>605251</v>
      </c>
      <c r="K5">
        <v>33.4</v>
      </c>
      <c r="L5">
        <v>23.7</v>
      </c>
      <c r="M5">
        <v>31.5</v>
      </c>
      <c r="N5">
        <v>13.77</v>
      </c>
      <c r="O5">
        <v>36.5</v>
      </c>
      <c r="P5">
        <v>31.6</v>
      </c>
      <c r="Q5">
        <v>0</v>
      </c>
      <c r="R5">
        <v>23.1</v>
      </c>
      <c r="S5">
        <v>23.9</v>
      </c>
      <c r="T5">
        <v>0</v>
      </c>
      <c r="U5">
        <v>71970</v>
      </c>
      <c r="V5" t="s">
        <v>35</v>
      </c>
      <c r="W5" t="s">
        <v>34</v>
      </c>
      <c r="Y5" t="s">
        <v>36</v>
      </c>
      <c r="Z5">
        <v>124984.126984127</v>
      </c>
      <c r="AA5">
        <v>2021</v>
      </c>
      <c r="AB5">
        <v>0.71047130196943098</v>
      </c>
      <c r="AC5">
        <v>0.315</v>
      </c>
      <c r="AD5">
        <v>1.32806464312929</v>
      </c>
    </row>
    <row r="6" spans="1:30" x14ac:dyDescent="0.3">
      <c r="A6">
        <v>2021</v>
      </c>
      <c r="B6">
        <v>453</v>
      </c>
      <c r="C6" t="s">
        <v>37</v>
      </c>
      <c r="D6">
        <v>26982</v>
      </c>
      <c r="E6">
        <v>-7.4</v>
      </c>
      <c r="F6">
        <v>-322</v>
      </c>
      <c r="G6">
        <v>-130.69999999999999</v>
      </c>
      <c r="H6">
        <v>54015</v>
      </c>
      <c r="I6">
        <v>16049</v>
      </c>
      <c r="J6">
        <v>20480</v>
      </c>
      <c r="K6">
        <v>-1.2</v>
      </c>
      <c r="L6">
        <v>-0.6</v>
      </c>
      <c r="M6">
        <v>-2</v>
      </c>
      <c r="N6">
        <v>-0.25</v>
      </c>
      <c r="O6">
        <v>-132.5</v>
      </c>
      <c r="P6">
        <v>0</v>
      </c>
      <c r="Q6">
        <v>0</v>
      </c>
      <c r="R6">
        <v>-21.9</v>
      </c>
      <c r="S6">
        <v>8.6999999999999993</v>
      </c>
      <c r="T6">
        <v>0</v>
      </c>
      <c r="U6">
        <v>59400</v>
      </c>
      <c r="V6" t="s">
        <v>38</v>
      </c>
      <c r="W6" t="s">
        <v>30</v>
      </c>
      <c r="Y6" t="s">
        <v>39</v>
      </c>
      <c r="Z6">
        <v>16100</v>
      </c>
      <c r="AA6">
        <v>2020</v>
      </c>
      <c r="AB6">
        <v>0.49952790891419102</v>
      </c>
      <c r="AC6">
        <v>-0.02</v>
      </c>
      <c r="AD6">
        <v>3.35496894409938</v>
      </c>
    </row>
    <row r="7" spans="1:30" x14ac:dyDescent="0.3">
      <c r="A7">
        <v>2021</v>
      </c>
      <c r="B7">
        <v>86</v>
      </c>
      <c r="C7" t="s">
        <v>40</v>
      </c>
      <c r="D7">
        <v>85965</v>
      </c>
      <c r="E7">
        <v>21.6</v>
      </c>
      <c r="F7">
        <v>29146</v>
      </c>
      <c r="G7">
        <v>57.7</v>
      </c>
      <c r="H7">
        <v>159316</v>
      </c>
      <c r="I7">
        <v>128290</v>
      </c>
      <c r="J7">
        <v>838724.2</v>
      </c>
      <c r="K7">
        <v>33.9</v>
      </c>
      <c r="L7">
        <v>18.3</v>
      </c>
      <c r="M7">
        <v>22.7</v>
      </c>
      <c r="N7">
        <v>10.09</v>
      </c>
      <c r="O7">
        <v>56.9</v>
      </c>
      <c r="P7">
        <v>50.9</v>
      </c>
      <c r="Q7">
        <v>0</v>
      </c>
      <c r="R7">
        <v>33.1</v>
      </c>
      <c r="S7">
        <v>21.2</v>
      </c>
      <c r="T7">
        <v>0</v>
      </c>
      <c r="U7">
        <v>58604</v>
      </c>
      <c r="V7" t="s">
        <v>41</v>
      </c>
      <c r="W7" t="s">
        <v>34</v>
      </c>
      <c r="Y7" t="s">
        <v>42</v>
      </c>
      <c r="Z7">
        <v>128396.475770925</v>
      </c>
      <c r="AA7">
        <v>2020</v>
      </c>
      <c r="AB7">
        <v>0.53958798865148505</v>
      </c>
      <c r="AC7">
        <v>0.22700000000000001</v>
      </c>
      <c r="AD7">
        <v>1.24081287312153</v>
      </c>
    </row>
    <row r="8" spans="1:30" x14ac:dyDescent="0.3">
      <c r="A8">
        <v>2021</v>
      </c>
      <c r="B8">
        <v>76</v>
      </c>
      <c r="C8" t="s">
        <v>29</v>
      </c>
      <c r="D8">
        <v>94224</v>
      </c>
      <c r="E8">
        <v>2.2000000000000002</v>
      </c>
      <c r="F8">
        <v>3250</v>
      </c>
      <c r="G8">
        <v>-29.6</v>
      </c>
      <c r="H8">
        <v>123415</v>
      </c>
      <c r="I8">
        <v>2479</v>
      </c>
      <c r="J8">
        <v>67229.100000000006</v>
      </c>
      <c r="K8">
        <v>3.4</v>
      </c>
      <c r="L8">
        <v>2.6</v>
      </c>
      <c r="M8">
        <v>131.1</v>
      </c>
      <c r="N8">
        <v>4.22</v>
      </c>
      <c r="O8">
        <v>-30</v>
      </c>
      <c r="P8">
        <v>0</v>
      </c>
      <c r="Q8">
        <v>0</v>
      </c>
      <c r="R8">
        <v>42.6</v>
      </c>
      <c r="S8">
        <v>0</v>
      </c>
      <c r="T8">
        <v>0</v>
      </c>
      <c r="U8">
        <v>158000</v>
      </c>
      <c r="V8" t="s">
        <v>31</v>
      </c>
      <c r="W8" t="s">
        <v>30</v>
      </c>
      <c r="Y8" t="s">
        <v>32</v>
      </c>
      <c r="Z8">
        <v>2479.0236460717001</v>
      </c>
      <c r="AA8">
        <v>2020</v>
      </c>
      <c r="AB8">
        <v>0.76347283555483503</v>
      </c>
      <c r="AC8">
        <v>1.3109999999999999</v>
      </c>
      <c r="AD8">
        <v>49.783712307692298</v>
      </c>
    </row>
    <row r="9" spans="1:30" x14ac:dyDescent="0.3">
      <c r="A9">
        <v>2020</v>
      </c>
      <c r="B9">
        <v>404</v>
      </c>
      <c r="C9" t="s">
        <v>37</v>
      </c>
      <c r="D9">
        <v>30852</v>
      </c>
      <c r="E9">
        <v>6.9</v>
      </c>
      <c r="F9">
        <v>1908</v>
      </c>
      <c r="G9">
        <v>454.7</v>
      </c>
      <c r="H9">
        <v>55493</v>
      </c>
      <c r="I9">
        <v>21239</v>
      </c>
      <c r="J9">
        <v>21144.9</v>
      </c>
      <c r="K9">
        <v>6.2</v>
      </c>
      <c r="L9">
        <v>3.4</v>
      </c>
      <c r="M9">
        <v>9</v>
      </c>
      <c r="N9">
        <v>1.23</v>
      </c>
      <c r="O9">
        <v>485.7</v>
      </c>
      <c r="P9">
        <v>0</v>
      </c>
      <c r="Q9">
        <v>0</v>
      </c>
      <c r="R9">
        <v>-5.8</v>
      </c>
      <c r="S9">
        <v>0</v>
      </c>
      <c r="T9">
        <v>0</v>
      </c>
      <c r="U9">
        <v>60000</v>
      </c>
      <c r="V9" t="s">
        <v>38</v>
      </c>
      <c r="W9" t="s">
        <v>30</v>
      </c>
      <c r="Y9" t="s">
        <v>39</v>
      </c>
      <c r="Z9">
        <v>21200</v>
      </c>
      <c r="AA9">
        <v>2019</v>
      </c>
      <c r="AB9">
        <v>0.55596201322689398</v>
      </c>
      <c r="AC9">
        <v>0.09</v>
      </c>
      <c r="AD9">
        <v>2.6175943396226402</v>
      </c>
    </row>
    <row r="10" spans="1:30" x14ac:dyDescent="0.3">
      <c r="A10">
        <v>2020</v>
      </c>
      <c r="B10">
        <v>264</v>
      </c>
      <c r="C10" t="s">
        <v>43</v>
      </c>
      <c r="D10">
        <v>43634</v>
      </c>
      <c r="E10">
        <v>4.9000000000000004</v>
      </c>
      <c r="F10">
        <v>1230</v>
      </c>
      <c r="G10">
        <v>-87.6</v>
      </c>
      <c r="H10">
        <v>146130</v>
      </c>
      <c r="I10">
        <v>36285</v>
      </c>
      <c r="J10">
        <v>85923.4</v>
      </c>
      <c r="K10">
        <v>2.8</v>
      </c>
      <c r="L10">
        <v>0.8</v>
      </c>
      <c r="M10">
        <v>3.4</v>
      </c>
      <c r="N10">
        <v>5.22</v>
      </c>
      <c r="O10">
        <v>-84.7</v>
      </c>
      <c r="P10">
        <v>0</v>
      </c>
      <c r="Q10">
        <v>0</v>
      </c>
      <c r="R10">
        <v>-15.2</v>
      </c>
      <c r="S10">
        <v>13.5</v>
      </c>
      <c r="T10">
        <v>0</v>
      </c>
      <c r="U10">
        <v>98000</v>
      </c>
      <c r="V10" t="s">
        <v>45</v>
      </c>
      <c r="W10" t="s">
        <v>44</v>
      </c>
      <c r="Y10" t="s">
        <v>46</v>
      </c>
      <c r="Z10">
        <v>36176.470588235301</v>
      </c>
      <c r="AA10">
        <v>2019</v>
      </c>
      <c r="AB10">
        <v>0.29859713953329198</v>
      </c>
      <c r="AC10">
        <v>3.4000000000000002E-2</v>
      </c>
      <c r="AD10">
        <v>4.0393658536585404</v>
      </c>
    </row>
    <row r="11" spans="1:30" x14ac:dyDescent="0.3">
      <c r="A11">
        <v>2020</v>
      </c>
      <c r="B11">
        <v>184</v>
      </c>
      <c r="C11" t="s">
        <v>40</v>
      </c>
      <c r="D11">
        <v>55838</v>
      </c>
      <c r="E11">
        <v>37.4</v>
      </c>
      <c r="F11">
        <v>22112</v>
      </c>
      <c r="G11">
        <v>38.799999999999997</v>
      </c>
      <c r="H11">
        <v>97334</v>
      </c>
      <c r="I11">
        <v>84127</v>
      </c>
      <c r="J11">
        <v>475731.6</v>
      </c>
      <c r="K11">
        <v>39.6</v>
      </c>
      <c r="L11">
        <v>22.7</v>
      </c>
      <c r="M11">
        <v>26.3</v>
      </c>
      <c r="N11">
        <v>7.57</v>
      </c>
      <c r="O11">
        <v>40.4</v>
      </c>
      <c r="P11">
        <v>66</v>
      </c>
      <c r="Q11">
        <v>0</v>
      </c>
      <c r="R11">
        <v>-25.7</v>
      </c>
      <c r="S11">
        <v>19.100000000000001</v>
      </c>
      <c r="T11">
        <v>0</v>
      </c>
      <c r="U11">
        <v>35587</v>
      </c>
      <c r="V11" t="s">
        <v>41</v>
      </c>
      <c r="W11" t="s">
        <v>34</v>
      </c>
      <c r="Y11" t="s">
        <v>42</v>
      </c>
      <c r="Z11">
        <v>84076.045627376399</v>
      </c>
      <c r="AA11">
        <v>2019</v>
      </c>
      <c r="AB11">
        <v>0.57367415291676105</v>
      </c>
      <c r="AC11">
        <v>0.26300000000000001</v>
      </c>
      <c r="AD11">
        <v>1.1576900325615</v>
      </c>
    </row>
    <row r="12" spans="1:30" x14ac:dyDescent="0.3">
      <c r="A12">
        <v>2019</v>
      </c>
      <c r="B12">
        <v>404</v>
      </c>
      <c r="C12" t="s">
        <v>37</v>
      </c>
      <c r="D12">
        <v>30852</v>
      </c>
      <c r="E12">
        <v>6.9</v>
      </c>
      <c r="F12">
        <v>1908</v>
      </c>
      <c r="G12">
        <v>454.7</v>
      </c>
      <c r="H12">
        <v>55493</v>
      </c>
      <c r="I12">
        <v>21239</v>
      </c>
      <c r="J12">
        <v>21144.9</v>
      </c>
      <c r="K12">
        <v>6.2</v>
      </c>
      <c r="L12">
        <v>3.4</v>
      </c>
      <c r="M12">
        <v>9</v>
      </c>
      <c r="N12">
        <v>1.23</v>
      </c>
      <c r="O12">
        <v>485.7</v>
      </c>
      <c r="P12">
        <v>0</v>
      </c>
      <c r="Q12">
        <v>0</v>
      </c>
      <c r="R12">
        <v>-5.8</v>
      </c>
      <c r="S12">
        <v>0</v>
      </c>
      <c r="T12">
        <v>0</v>
      </c>
      <c r="U12">
        <v>60000</v>
      </c>
      <c r="V12" t="s">
        <v>38</v>
      </c>
      <c r="W12" t="s">
        <v>30</v>
      </c>
      <c r="Y12" t="s">
        <v>39</v>
      </c>
      <c r="Z12">
        <v>21200</v>
      </c>
      <c r="AA12">
        <v>2018</v>
      </c>
      <c r="AB12">
        <v>0.55596201322689398</v>
      </c>
      <c r="AC12">
        <v>0.09</v>
      </c>
      <c r="AD12">
        <v>2.6175943396226402</v>
      </c>
    </row>
    <row r="13" spans="1:30" x14ac:dyDescent="0.3">
      <c r="A13">
        <v>2019</v>
      </c>
      <c r="B13">
        <v>264</v>
      </c>
      <c r="C13" t="s">
        <v>43</v>
      </c>
      <c r="D13">
        <v>43634</v>
      </c>
      <c r="E13">
        <v>4.9000000000000004</v>
      </c>
      <c r="F13">
        <v>1230</v>
      </c>
      <c r="G13">
        <v>-87.6</v>
      </c>
      <c r="H13">
        <v>146130</v>
      </c>
      <c r="I13">
        <v>36285</v>
      </c>
      <c r="J13">
        <v>85923.4</v>
      </c>
      <c r="K13">
        <v>2.8</v>
      </c>
      <c r="L13">
        <v>0.8</v>
      </c>
      <c r="M13">
        <v>3.4</v>
      </c>
      <c r="N13">
        <v>5.22</v>
      </c>
      <c r="O13">
        <v>-84.7</v>
      </c>
      <c r="P13">
        <v>0</v>
      </c>
      <c r="Q13">
        <v>0</v>
      </c>
      <c r="R13">
        <v>-15.2</v>
      </c>
      <c r="S13">
        <v>13.5</v>
      </c>
      <c r="T13">
        <v>0</v>
      </c>
      <c r="U13">
        <v>98000</v>
      </c>
      <c r="V13" t="s">
        <v>45</v>
      </c>
      <c r="W13" t="s">
        <v>44</v>
      </c>
      <c r="Y13" t="s">
        <v>46</v>
      </c>
      <c r="Z13">
        <v>36176.470588235301</v>
      </c>
      <c r="AA13">
        <v>2018</v>
      </c>
      <c r="AB13">
        <v>0.29859713953329198</v>
      </c>
      <c r="AC13">
        <v>3.4000000000000002E-2</v>
      </c>
      <c r="AD13">
        <v>4.0393658536585404</v>
      </c>
    </row>
    <row r="14" spans="1:30" x14ac:dyDescent="0.3">
      <c r="A14">
        <v>2019</v>
      </c>
      <c r="B14">
        <v>184</v>
      </c>
      <c r="C14" t="s">
        <v>40</v>
      </c>
      <c r="D14">
        <v>55838</v>
      </c>
      <c r="E14">
        <v>37.4</v>
      </c>
      <c r="F14">
        <v>22112</v>
      </c>
      <c r="G14">
        <v>38.799999999999997</v>
      </c>
      <c r="H14">
        <v>97334</v>
      </c>
      <c r="I14">
        <v>84127</v>
      </c>
      <c r="J14">
        <v>475731.6</v>
      </c>
      <c r="K14">
        <v>39.6</v>
      </c>
      <c r="L14">
        <v>22.7</v>
      </c>
      <c r="M14">
        <v>26.3</v>
      </c>
      <c r="N14">
        <v>7.57</v>
      </c>
      <c r="O14">
        <v>40.4</v>
      </c>
      <c r="P14">
        <v>66</v>
      </c>
      <c r="Q14">
        <v>0</v>
      </c>
      <c r="R14">
        <v>-25.7</v>
      </c>
      <c r="S14">
        <v>19.100000000000001</v>
      </c>
      <c r="T14">
        <v>0</v>
      </c>
      <c r="U14">
        <v>35587</v>
      </c>
      <c r="V14" t="s">
        <v>41</v>
      </c>
      <c r="W14" t="s">
        <v>34</v>
      </c>
      <c r="Y14" t="s">
        <v>42</v>
      </c>
      <c r="Z14">
        <v>84076.045627376399</v>
      </c>
      <c r="AA14">
        <v>2018</v>
      </c>
      <c r="AB14">
        <v>0.57367415291676105</v>
      </c>
      <c r="AC14">
        <v>0.26300000000000001</v>
      </c>
      <c r="AD14">
        <v>1.1576900325615</v>
      </c>
    </row>
    <row r="15" spans="1:30" x14ac:dyDescent="0.3">
      <c r="A15">
        <v>2018</v>
      </c>
      <c r="B15">
        <v>404</v>
      </c>
      <c r="C15" t="s">
        <v>37</v>
      </c>
      <c r="D15">
        <v>30852</v>
      </c>
      <c r="E15">
        <v>6.9</v>
      </c>
      <c r="F15">
        <v>1908</v>
      </c>
      <c r="G15">
        <v>454.7</v>
      </c>
      <c r="H15">
        <v>55493</v>
      </c>
      <c r="I15">
        <v>21239</v>
      </c>
      <c r="J15">
        <v>21144.9</v>
      </c>
      <c r="K15">
        <v>6.2</v>
      </c>
      <c r="L15">
        <v>3.4</v>
      </c>
      <c r="M15">
        <v>9</v>
      </c>
      <c r="N15">
        <v>1.23</v>
      </c>
      <c r="O15">
        <v>485.7</v>
      </c>
      <c r="P15">
        <v>0</v>
      </c>
      <c r="Q15">
        <v>0</v>
      </c>
      <c r="R15">
        <v>-5.8</v>
      </c>
      <c r="S15">
        <v>0</v>
      </c>
      <c r="T15">
        <v>0</v>
      </c>
      <c r="U15">
        <v>60000</v>
      </c>
      <c r="V15" t="s">
        <v>38</v>
      </c>
      <c r="W15" t="s">
        <v>30</v>
      </c>
      <c r="Y15" t="s">
        <v>39</v>
      </c>
      <c r="Z15">
        <v>21200</v>
      </c>
      <c r="AA15">
        <v>2017</v>
      </c>
      <c r="AB15">
        <v>0.55596201322689398</v>
      </c>
      <c r="AC15">
        <v>0.09</v>
      </c>
      <c r="AD15">
        <v>2.6175943396226402</v>
      </c>
    </row>
    <row r="16" spans="1:30" x14ac:dyDescent="0.3">
      <c r="A16">
        <v>2018</v>
      </c>
      <c r="B16">
        <v>264</v>
      </c>
      <c r="C16" t="s">
        <v>43</v>
      </c>
      <c r="D16">
        <v>43634</v>
      </c>
      <c r="E16">
        <v>4.9000000000000004</v>
      </c>
      <c r="F16">
        <v>1230</v>
      </c>
      <c r="G16">
        <v>-87.6</v>
      </c>
      <c r="H16">
        <v>146130</v>
      </c>
      <c r="I16">
        <v>36285</v>
      </c>
      <c r="J16">
        <v>85923.4</v>
      </c>
      <c r="K16">
        <v>2.8</v>
      </c>
      <c r="L16">
        <v>0.8</v>
      </c>
      <c r="M16">
        <v>3.4</v>
      </c>
      <c r="N16">
        <v>5.22</v>
      </c>
      <c r="O16">
        <v>-84.7</v>
      </c>
      <c r="P16">
        <v>0</v>
      </c>
      <c r="Q16">
        <v>0</v>
      </c>
      <c r="R16">
        <v>-15.2</v>
      </c>
      <c r="S16">
        <v>13.5</v>
      </c>
      <c r="T16">
        <v>0</v>
      </c>
      <c r="U16">
        <v>98000</v>
      </c>
      <c r="V16" t="s">
        <v>45</v>
      </c>
      <c r="W16" t="s">
        <v>44</v>
      </c>
      <c r="Y16" t="s">
        <v>46</v>
      </c>
      <c r="Z16">
        <v>36176.470588235301</v>
      </c>
      <c r="AA16">
        <v>2017</v>
      </c>
      <c r="AB16">
        <v>0.29859713953329198</v>
      </c>
      <c r="AC16">
        <v>3.4000000000000002E-2</v>
      </c>
      <c r="AD16">
        <v>4.0393658536585404</v>
      </c>
    </row>
    <row r="17" spans="1:30" x14ac:dyDescent="0.3">
      <c r="A17">
        <v>2018</v>
      </c>
      <c r="B17">
        <v>184</v>
      </c>
      <c r="C17" t="s">
        <v>40</v>
      </c>
      <c r="D17">
        <v>55838</v>
      </c>
      <c r="E17">
        <v>37.4</v>
      </c>
      <c r="F17">
        <v>22112</v>
      </c>
      <c r="G17">
        <v>38.799999999999997</v>
      </c>
      <c r="H17">
        <v>97334</v>
      </c>
      <c r="I17">
        <v>84127</v>
      </c>
      <c r="J17">
        <v>475731.6</v>
      </c>
      <c r="K17">
        <v>39.6</v>
      </c>
      <c r="L17">
        <v>22.7</v>
      </c>
      <c r="M17">
        <v>26.3</v>
      </c>
      <c r="N17">
        <v>7.57</v>
      </c>
      <c r="O17">
        <v>40.4</v>
      </c>
      <c r="P17">
        <v>66</v>
      </c>
      <c r="Q17">
        <v>0</v>
      </c>
      <c r="R17">
        <v>-25.7</v>
      </c>
      <c r="S17">
        <v>19.100000000000001</v>
      </c>
      <c r="T17">
        <v>0</v>
      </c>
      <c r="U17">
        <v>35587</v>
      </c>
      <c r="V17" t="s">
        <v>41</v>
      </c>
      <c r="W17" t="s">
        <v>34</v>
      </c>
      <c r="Y17" t="s">
        <v>42</v>
      </c>
      <c r="Z17">
        <v>84076.045627376399</v>
      </c>
      <c r="AA17">
        <v>2017</v>
      </c>
      <c r="AB17">
        <v>0.57367415291676105</v>
      </c>
      <c r="AC17">
        <v>0.26300000000000001</v>
      </c>
      <c r="AD17">
        <v>1.1576900325615</v>
      </c>
    </row>
    <row r="18" spans="1:30" x14ac:dyDescent="0.3">
      <c r="A18">
        <v>2017</v>
      </c>
      <c r="B18">
        <v>393</v>
      </c>
      <c r="C18" t="s">
        <v>40</v>
      </c>
      <c r="D18">
        <v>27638</v>
      </c>
      <c r="E18">
        <v>54.2</v>
      </c>
      <c r="F18">
        <v>10217</v>
      </c>
      <c r="G18">
        <v>177</v>
      </c>
      <c r="H18">
        <v>64961</v>
      </c>
      <c r="I18">
        <v>59194</v>
      </c>
      <c r="J18">
        <v>410521.8</v>
      </c>
      <c r="K18">
        <v>37</v>
      </c>
      <c r="L18">
        <v>15.7</v>
      </c>
      <c r="M18">
        <v>17.3</v>
      </c>
      <c r="N18">
        <v>3.49</v>
      </c>
      <c r="O18">
        <v>170.5</v>
      </c>
      <c r="P18">
        <v>0</v>
      </c>
      <c r="Q18">
        <v>0</v>
      </c>
      <c r="R18">
        <v>9.9</v>
      </c>
      <c r="S18">
        <v>0</v>
      </c>
      <c r="T18">
        <v>0</v>
      </c>
      <c r="U18">
        <v>17048</v>
      </c>
      <c r="V18" t="s">
        <v>41</v>
      </c>
      <c r="W18" t="s">
        <v>34</v>
      </c>
      <c r="Y18" t="s">
        <v>42</v>
      </c>
      <c r="Z18">
        <v>59057.803468208098</v>
      </c>
      <c r="AA18">
        <v>2016</v>
      </c>
      <c r="AB18">
        <v>0.42545527316389797</v>
      </c>
      <c r="AC18">
        <v>0.17299999999999999</v>
      </c>
      <c r="AD18">
        <v>1.09995624938827</v>
      </c>
    </row>
    <row r="19" spans="1:30" x14ac:dyDescent="0.3">
      <c r="A19">
        <v>2014</v>
      </c>
      <c r="B19">
        <v>162</v>
      </c>
      <c r="C19" t="s">
        <v>47</v>
      </c>
      <c r="D19">
        <v>60629</v>
      </c>
      <c r="E19">
        <v>16.100000000000001</v>
      </c>
      <c r="F19">
        <v>12920</v>
      </c>
      <c r="G19">
        <v>20.3</v>
      </c>
      <c r="H19">
        <v>110920</v>
      </c>
      <c r="I19">
        <v>87309.001900000003</v>
      </c>
      <c r="J19">
        <v>375416.60190000001</v>
      </c>
      <c r="K19">
        <v>21.3019</v>
      </c>
      <c r="L19">
        <v>11.601900000000001</v>
      </c>
      <c r="M19">
        <v>14.8019</v>
      </c>
      <c r="N19">
        <v>38.130000000000003</v>
      </c>
      <c r="O19">
        <v>18.001899999999999</v>
      </c>
      <c r="P19">
        <v>23.401900000000001</v>
      </c>
      <c r="Q19">
        <v>0</v>
      </c>
      <c r="R19">
        <v>58.401899999999998</v>
      </c>
      <c r="S19">
        <v>29.501899999999999</v>
      </c>
      <c r="T19">
        <v>0</v>
      </c>
      <c r="U19">
        <v>47756</v>
      </c>
      <c r="V19" t="s">
        <v>48</v>
      </c>
      <c r="W19" t="s">
        <v>34</v>
      </c>
      <c r="Y19" t="s">
        <v>49</v>
      </c>
      <c r="Z19">
        <v>87286.091650396207</v>
      </c>
      <c r="AA19">
        <v>2013</v>
      </c>
      <c r="AB19">
        <v>0.54660115398485398</v>
      </c>
      <c r="AC19">
        <v>0.14799999999999999</v>
      </c>
      <c r="AD19">
        <v>1.2707637368421101</v>
      </c>
    </row>
    <row r="20" spans="1:30" x14ac:dyDescent="0.3">
      <c r="A20">
        <v>2013</v>
      </c>
      <c r="B20">
        <v>386</v>
      </c>
      <c r="C20" t="s">
        <v>50</v>
      </c>
      <c r="D20">
        <v>29740</v>
      </c>
      <c r="E20">
        <v>9.1999999999999993</v>
      </c>
      <c r="F20">
        <v>2949</v>
      </c>
      <c r="G20">
        <v>13</v>
      </c>
      <c r="H20">
        <v>20555</v>
      </c>
      <c r="I20">
        <v>-5431</v>
      </c>
      <c r="J20">
        <v>32432.799999999999</v>
      </c>
      <c r="K20">
        <v>9.9</v>
      </c>
      <c r="L20">
        <v>14.3469</v>
      </c>
      <c r="M20">
        <v>0</v>
      </c>
      <c r="N20">
        <v>4.58</v>
      </c>
      <c r="O20">
        <v>32</v>
      </c>
      <c r="P20">
        <v>30.5</v>
      </c>
      <c r="Q20">
        <v>0</v>
      </c>
      <c r="R20">
        <v>17.3</v>
      </c>
      <c r="S20">
        <v>16.8</v>
      </c>
      <c r="T20">
        <v>0</v>
      </c>
      <c r="U20">
        <v>28450</v>
      </c>
      <c r="V20" t="s">
        <v>51</v>
      </c>
      <c r="W20" t="s">
        <v>44</v>
      </c>
      <c r="Y20" t="s">
        <v>52</v>
      </c>
      <c r="Z20" t="s">
        <v>329</v>
      </c>
      <c r="AA20">
        <v>2012</v>
      </c>
      <c r="AB20">
        <v>1.44684991486256</v>
      </c>
      <c r="AC20">
        <v>0</v>
      </c>
      <c r="AD20">
        <v>0</v>
      </c>
    </row>
    <row r="21" spans="1:30" x14ac:dyDescent="0.3">
      <c r="A21">
        <v>2013</v>
      </c>
      <c r="B21">
        <v>189</v>
      </c>
      <c r="C21" t="s">
        <v>47</v>
      </c>
      <c r="D21">
        <v>52203</v>
      </c>
      <c r="E21">
        <v>37.700000000000003</v>
      </c>
      <c r="F21">
        <v>10737</v>
      </c>
      <c r="G21">
        <v>10.3</v>
      </c>
      <c r="H21">
        <v>93798</v>
      </c>
      <c r="I21">
        <v>71715</v>
      </c>
      <c r="J21">
        <v>261814.6</v>
      </c>
      <c r="K21">
        <v>20.6</v>
      </c>
      <c r="L21">
        <v>11.446899999999999</v>
      </c>
      <c r="M21">
        <v>15</v>
      </c>
      <c r="N21">
        <v>32.31</v>
      </c>
      <c r="O21">
        <v>8.6</v>
      </c>
      <c r="P21">
        <v>19.399999999999999</v>
      </c>
      <c r="Q21">
        <v>0</v>
      </c>
      <c r="R21">
        <v>9.5</v>
      </c>
      <c r="S21">
        <v>0.5</v>
      </c>
      <c r="T21">
        <v>0</v>
      </c>
      <c r="U21">
        <v>53861</v>
      </c>
      <c r="V21" t="s">
        <v>48</v>
      </c>
      <c r="W21" t="s">
        <v>34</v>
      </c>
      <c r="Y21" t="s">
        <v>49</v>
      </c>
      <c r="Z21">
        <v>71580</v>
      </c>
      <c r="AA21">
        <v>2012</v>
      </c>
      <c r="AB21">
        <v>0.55654704791146903</v>
      </c>
      <c r="AC21">
        <v>0.15</v>
      </c>
      <c r="AD21">
        <v>1.3103939647946401</v>
      </c>
    </row>
    <row r="22" spans="1:30" x14ac:dyDescent="0.3">
      <c r="A22">
        <v>2012</v>
      </c>
      <c r="B22">
        <v>393</v>
      </c>
      <c r="C22" t="s">
        <v>40</v>
      </c>
      <c r="D22">
        <v>27638</v>
      </c>
      <c r="E22">
        <v>54.2</v>
      </c>
      <c r="F22">
        <v>10217</v>
      </c>
      <c r="G22">
        <v>177</v>
      </c>
      <c r="H22">
        <v>64961</v>
      </c>
      <c r="I22">
        <v>59194</v>
      </c>
      <c r="J22">
        <v>410521.8</v>
      </c>
      <c r="K22">
        <v>37</v>
      </c>
      <c r="L22">
        <v>15.7</v>
      </c>
      <c r="M22">
        <v>17.3</v>
      </c>
      <c r="N22">
        <v>3.49</v>
      </c>
      <c r="O22">
        <v>170.5</v>
      </c>
      <c r="P22">
        <v>0</v>
      </c>
      <c r="Q22">
        <v>0</v>
      </c>
      <c r="R22">
        <v>9.9</v>
      </c>
      <c r="S22">
        <v>0</v>
      </c>
      <c r="T22">
        <v>0</v>
      </c>
      <c r="U22">
        <v>17048</v>
      </c>
      <c r="V22" t="s">
        <v>53</v>
      </c>
      <c r="W22" t="s">
        <v>34</v>
      </c>
      <c r="Y22" t="s">
        <v>42</v>
      </c>
      <c r="Z22">
        <v>59057.803468208098</v>
      </c>
      <c r="AA22">
        <v>2011</v>
      </c>
      <c r="AB22">
        <v>0.42545527316389797</v>
      </c>
      <c r="AC22">
        <v>0.17299999999999999</v>
      </c>
      <c r="AD22">
        <v>1.09995624938827</v>
      </c>
    </row>
    <row r="23" spans="1:30" x14ac:dyDescent="0.3">
      <c r="A23">
        <v>2023</v>
      </c>
      <c r="B23">
        <v>491</v>
      </c>
      <c r="C23" t="s">
        <v>54</v>
      </c>
      <c r="D23">
        <v>31352</v>
      </c>
      <c r="E23">
        <v>18.3</v>
      </c>
      <c r="F23">
        <v>208</v>
      </c>
      <c r="G23">
        <v>-85.6</v>
      </c>
      <c r="H23">
        <v>98849</v>
      </c>
      <c r="I23">
        <v>58359</v>
      </c>
      <c r="J23">
        <v>199780</v>
      </c>
      <c r="K23">
        <v>0.7</v>
      </c>
      <c r="L23">
        <v>0.2</v>
      </c>
      <c r="M23">
        <v>0.4</v>
      </c>
      <c r="N23">
        <v>0.21</v>
      </c>
      <c r="O23">
        <v>-85.8</v>
      </c>
      <c r="P23">
        <v>4.3</v>
      </c>
      <c r="Q23">
        <v>0</v>
      </c>
      <c r="R23">
        <v>-47.8</v>
      </c>
      <c r="S23">
        <v>5.3</v>
      </c>
      <c r="T23">
        <v>12.2</v>
      </c>
      <c r="U23">
        <v>79390</v>
      </c>
      <c r="V23" t="s">
        <v>56</v>
      </c>
      <c r="W23" t="s">
        <v>55</v>
      </c>
      <c r="Y23" t="s">
        <v>57</v>
      </c>
      <c r="Z23">
        <v>52000</v>
      </c>
      <c r="AA23">
        <v>2022</v>
      </c>
      <c r="AB23">
        <v>0.31717063399730899</v>
      </c>
      <c r="AC23">
        <v>4.0000000000000001E-3</v>
      </c>
      <c r="AD23">
        <v>1.90094230769231</v>
      </c>
    </row>
    <row r="24" spans="1:30" x14ac:dyDescent="0.3">
      <c r="A24">
        <v>2023</v>
      </c>
      <c r="B24">
        <v>261</v>
      </c>
      <c r="C24" t="s">
        <v>43</v>
      </c>
      <c r="D24">
        <v>54022</v>
      </c>
      <c r="E24">
        <v>4.5</v>
      </c>
      <c r="F24">
        <v>5055</v>
      </c>
      <c r="G24">
        <v>8.6</v>
      </c>
      <c r="H24">
        <v>144523</v>
      </c>
      <c r="I24">
        <v>9119</v>
      </c>
      <c r="J24">
        <v>60477.4</v>
      </c>
      <c r="K24">
        <v>9.4</v>
      </c>
      <c r="L24">
        <v>3.5</v>
      </c>
      <c r="M24">
        <v>55.4</v>
      </c>
      <c r="N24">
        <v>30.74</v>
      </c>
      <c r="O24">
        <v>25.6</v>
      </c>
      <c r="P24">
        <v>-2</v>
      </c>
      <c r="Q24">
        <v>0</v>
      </c>
      <c r="R24">
        <v>-48</v>
      </c>
      <c r="S24">
        <v>0.2</v>
      </c>
      <c r="T24">
        <v>14.9</v>
      </c>
      <c r="U24">
        <v>101700</v>
      </c>
      <c r="V24" t="s">
        <v>45</v>
      </c>
      <c r="W24" t="s">
        <v>44</v>
      </c>
      <c r="Y24" t="s">
        <v>46</v>
      </c>
      <c r="Z24">
        <v>9124.5487364620894</v>
      </c>
      <c r="AA24">
        <v>2022</v>
      </c>
      <c r="AB24">
        <v>0.37379517447049898</v>
      </c>
      <c r="AC24">
        <v>0.55400000000000005</v>
      </c>
      <c r="AD24">
        <v>15.8389202769535</v>
      </c>
    </row>
    <row r="25" spans="1:30" x14ac:dyDescent="0.3">
      <c r="A25">
        <v>2023</v>
      </c>
      <c r="B25">
        <v>213</v>
      </c>
      <c r="C25" t="s">
        <v>58</v>
      </c>
      <c r="D25">
        <v>62983</v>
      </c>
      <c r="E25">
        <v>-0.8</v>
      </c>
      <c r="F25">
        <v>3203</v>
      </c>
      <c r="G25">
        <v>-50.7</v>
      </c>
      <c r="H25">
        <v>38587</v>
      </c>
      <c r="I25">
        <v>-2918</v>
      </c>
      <c r="J25">
        <v>28919.4</v>
      </c>
      <c r="K25">
        <v>5.0999999999999996</v>
      </c>
      <c r="L25">
        <v>8.3000000000000007</v>
      </c>
      <c r="M25">
        <v>0</v>
      </c>
      <c r="N25">
        <v>3.05</v>
      </c>
      <c r="O25">
        <v>-42.8</v>
      </c>
      <c r="P25">
        <v>15.6</v>
      </c>
      <c r="Q25">
        <v>0</v>
      </c>
      <c r="R25">
        <v>-26.4</v>
      </c>
      <c r="S25">
        <v>8.3000000000000007</v>
      </c>
      <c r="T25">
        <v>17.899999999999999</v>
      </c>
      <c r="U25">
        <v>58000</v>
      </c>
      <c r="V25" t="s">
        <v>59</v>
      </c>
      <c r="W25" t="s">
        <v>30</v>
      </c>
      <c r="Y25" t="s">
        <v>60</v>
      </c>
      <c r="Z25" t="s">
        <v>329</v>
      </c>
      <c r="AA25">
        <v>2022</v>
      </c>
      <c r="AB25">
        <v>1.6322336538212401</v>
      </c>
      <c r="AC25">
        <v>0</v>
      </c>
      <c r="AD25">
        <v>0</v>
      </c>
    </row>
    <row r="26" spans="1:30" x14ac:dyDescent="0.3">
      <c r="A26">
        <v>2023</v>
      </c>
      <c r="B26">
        <v>78</v>
      </c>
      <c r="C26" t="s">
        <v>61</v>
      </c>
      <c r="D26">
        <v>120741</v>
      </c>
      <c r="E26">
        <v>-28.5</v>
      </c>
      <c r="F26">
        <v>-8524</v>
      </c>
      <c r="G26">
        <v>-142.4</v>
      </c>
      <c r="H26">
        <v>402853</v>
      </c>
      <c r="I26">
        <v>97500</v>
      </c>
      <c r="J26">
        <v>137250</v>
      </c>
      <c r="K26">
        <v>-7.1</v>
      </c>
      <c r="L26">
        <v>-2.1</v>
      </c>
      <c r="M26">
        <v>-8.6999999999999993</v>
      </c>
      <c r="N26">
        <v>-1.1299999999999999</v>
      </c>
      <c r="O26">
        <v>-140.9</v>
      </c>
      <c r="P26">
        <v>0</v>
      </c>
      <c r="Q26">
        <v>0</v>
      </c>
      <c r="R26">
        <v>5.8</v>
      </c>
      <c r="S26">
        <v>-2.8</v>
      </c>
      <c r="T26">
        <v>2.6</v>
      </c>
      <c r="U26">
        <v>160700</v>
      </c>
      <c r="V26" t="s">
        <v>62</v>
      </c>
      <c r="W26" t="s">
        <v>44</v>
      </c>
      <c r="Y26" t="s">
        <v>63</v>
      </c>
      <c r="Z26">
        <v>97977.011494252904</v>
      </c>
      <c r="AA26">
        <v>2022</v>
      </c>
      <c r="AB26">
        <v>0.29971478430097298</v>
      </c>
      <c r="AC26">
        <v>-8.6999999999999994E-2</v>
      </c>
      <c r="AD26">
        <v>4.1117094087283004</v>
      </c>
    </row>
    <row r="27" spans="1:30" x14ac:dyDescent="0.3">
      <c r="A27">
        <v>2023</v>
      </c>
      <c r="B27">
        <v>4</v>
      </c>
      <c r="C27" t="s">
        <v>64</v>
      </c>
      <c r="D27">
        <v>513983</v>
      </c>
      <c r="E27">
        <v>9.4</v>
      </c>
      <c r="F27">
        <v>-2722</v>
      </c>
      <c r="G27">
        <v>-108.2</v>
      </c>
      <c r="H27">
        <v>462675</v>
      </c>
      <c r="I27">
        <v>146043</v>
      </c>
      <c r="J27">
        <v>1058439.5</v>
      </c>
      <c r="K27">
        <v>-0.5</v>
      </c>
      <c r="L27">
        <v>-0.6</v>
      </c>
      <c r="M27">
        <v>-1.9</v>
      </c>
      <c r="N27">
        <v>-0.27</v>
      </c>
      <c r="O27">
        <v>-108.3</v>
      </c>
      <c r="P27">
        <v>0</v>
      </c>
      <c r="Q27">
        <v>0</v>
      </c>
      <c r="R27">
        <v>-49.6</v>
      </c>
      <c r="S27">
        <v>7.5</v>
      </c>
      <c r="T27">
        <v>20.9</v>
      </c>
      <c r="U27">
        <v>1541000</v>
      </c>
      <c r="V27" t="s">
        <v>65</v>
      </c>
      <c r="W27" t="s">
        <v>34</v>
      </c>
      <c r="Y27" t="s">
        <v>66</v>
      </c>
      <c r="Z27">
        <v>143263.157894737</v>
      </c>
      <c r="AA27">
        <v>2022</v>
      </c>
      <c r="AB27">
        <v>1.11089425622737</v>
      </c>
      <c r="AC27">
        <v>-1.9E-2</v>
      </c>
      <c r="AD27">
        <v>3.2295462894930198</v>
      </c>
    </row>
    <row r="28" spans="1:30" x14ac:dyDescent="0.3">
      <c r="A28">
        <v>2022</v>
      </c>
      <c r="B28">
        <v>259</v>
      </c>
      <c r="C28" t="s">
        <v>43</v>
      </c>
      <c r="D28">
        <v>51682</v>
      </c>
      <c r="E28">
        <v>7.5</v>
      </c>
      <c r="F28">
        <v>4654</v>
      </c>
      <c r="G28">
        <v>44.4</v>
      </c>
      <c r="H28">
        <v>142491</v>
      </c>
      <c r="I28">
        <v>14050</v>
      </c>
      <c r="J28">
        <v>112803.4</v>
      </c>
      <c r="K28">
        <v>9</v>
      </c>
      <c r="L28">
        <v>3.3</v>
      </c>
      <c r="M28">
        <v>33.1</v>
      </c>
      <c r="N28">
        <v>24.47</v>
      </c>
      <c r="O28">
        <v>58.9</v>
      </c>
      <c r="P28">
        <v>9</v>
      </c>
      <c r="Q28">
        <v>0</v>
      </c>
      <c r="R28">
        <v>-1.4</v>
      </c>
      <c r="S28">
        <v>17.8</v>
      </c>
      <c r="T28">
        <v>26.3</v>
      </c>
      <c r="U28">
        <v>93700</v>
      </c>
      <c r="V28" t="s">
        <v>45</v>
      </c>
      <c r="W28" t="s">
        <v>44</v>
      </c>
      <c r="Y28" t="s">
        <v>46</v>
      </c>
      <c r="Z28">
        <v>14060.4229607251</v>
      </c>
      <c r="AA28">
        <v>2021</v>
      </c>
      <c r="AB28">
        <v>0.36270360935076601</v>
      </c>
      <c r="AC28">
        <v>0.33100000000000002</v>
      </c>
      <c r="AD28">
        <v>10.134190159002999</v>
      </c>
    </row>
    <row r="29" spans="1:30" x14ac:dyDescent="0.3">
      <c r="A29">
        <v>2021</v>
      </c>
      <c r="B29">
        <v>230</v>
      </c>
      <c r="C29" t="s">
        <v>43</v>
      </c>
      <c r="D29">
        <v>48097</v>
      </c>
      <c r="E29">
        <v>5.0999999999999996</v>
      </c>
      <c r="F29">
        <v>3222</v>
      </c>
      <c r="G29">
        <v>93.2</v>
      </c>
      <c r="H29">
        <v>144206</v>
      </c>
      <c r="I29">
        <v>23805</v>
      </c>
      <c r="J29">
        <v>128965.7</v>
      </c>
      <c r="K29">
        <v>6.7</v>
      </c>
      <c r="L29">
        <v>2.2000000000000002</v>
      </c>
      <c r="M29">
        <v>13.5</v>
      </c>
      <c r="N29">
        <v>15.4</v>
      </c>
      <c r="O29">
        <v>106.7</v>
      </c>
      <c r="P29">
        <v>0</v>
      </c>
      <c r="Q29">
        <v>0</v>
      </c>
      <c r="R29">
        <v>36.4</v>
      </c>
      <c r="S29">
        <v>26.7</v>
      </c>
      <c r="T29">
        <v>31.4</v>
      </c>
      <c r="U29">
        <v>96100</v>
      </c>
      <c r="V29" t="s">
        <v>45</v>
      </c>
      <c r="W29" t="s">
        <v>44</v>
      </c>
      <c r="Y29" t="s">
        <v>46</v>
      </c>
      <c r="Z29">
        <v>23866.666666666701</v>
      </c>
      <c r="AA29">
        <v>2020</v>
      </c>
      <c r="AB29">
        <v>0.33352981151963201</v>
      </c>
      <c r="AC29">
        <v>0.13500000000000001</v>
      </c>
      <c r="AD29">
        <v>6.0421508379888298</v>
      </c>
    </row>
    <row r="30" spans="1:30" x14ac:dyDescent="0.3">
      <c r="A30">
        <v>2021</v>
      </c>
      <c r="B30">
        <v>26</v>
      </c>
      <c r="C30" t="s">
        <v>61</v>
      </c>
      <c r="D30">
        <v>171760</v>
      </c>
      <c r="E30">
        <v>-5.2</v>
      </c>
      <c r="F30">
        <v>-5176</v>
      </c>
      <c r="G30">
        <v>-137.19999999999999</v>
      </c>
      <c r="H30">
        <v>525761</v>
      </c>
      <c r="I30">
        <v>161673</v>
      </c>
      <c r="J30">
        <v>215878.5</v>
      </c>
      <c r="K30">
        <v>-3</v>
      </c>
      <c r="L30">
        <v>-1</v>
      </c>
      <c r="M30">
        <v>-3.2</v>
      </c>
      <c r="N30">
        <v>-0.75</v>
      </c>
      <c r="O30">
        <v>-139.69999999999999</v>
      </c>
      <c r="P30">
        <v>0</v>
      </c>
      <c r="Q30">
        <v>0</v>
      </c>
      <c r="R30">
        <v>-21.3</v>
      </c>
      <c r="S30">
        <v>2.2000000000000002</v>
      </c>
      <c r="T30">
        <v>5.5</v>
      </c>
      <c r="U30">
        <v>230760</v>
      </c>
      <c r="V30" t="s">
        <v>62</v>
      </c>
      <c r="W30" t="s">
        <v>44</v>
      </c>
      <c r="Y30" t="s">
        <v>63</v>
      </c>
      <c r="Z30">
        <v>161750</v>
      </c>
      <c r="AA30">
        <v>2020</v>
      </c>
      <c r="AB30">
        <v>0.326688362202598</v>
      </c>
      <c r="AC30">
        <v>-3.2000000000000001E-2</v>
      </c>
      <c r="AD30">
        <v>3.2504544049458999</v>
      </c>
    </row>
    <row r="31" spans="1:30" x14ac:dyDescent="0.3">
      <c r="A31">
        <v>2020</v>
      </c>
      <c r="B31">
        <v>173</v>
      </c>
      <c r="C31" t="s">
        <v>58</v>
      </c>
      <c r="D31">
        <v>58472</v>
      </c>
      <c r="E31">
        <v>12.3</v>
      </c>
      <c r="F31">
        <v>5327</v>
      </c>
      <c r="G31">
        <v>110.9</v>
      </c>
      <c r="H31">
        <v>34622</v>
      </c>
      <c r="I31">
        <v>-639</v>
      </c>
      <c r="J31">
        <v>29795.9</v>
      </c>
      <c r="K31">
        <v>9.1</v>
      </c>
      <c r="L31">
        <v>15.4</v>
      </c>
      <c r="M31">
        <v>0</v>
      </c>
      <c r="N31">
        <v>3.26</v>
      </c>
      <c r="O31">
        <v>120.3</v>
      </c>
      <c r="P31">
        <v>4.5</v>
      </c>
      <c r="Q31">
        <v>0</v>
      </c>
      <c r="R31">
        <v>-0.2</v>
      </c>
      <c r="S31">
        <v>11.5</v>
      </c>
      <c r="T31">
        <v>3.7</v>
      </c>
      <c r="U31">
        <v>55000</v>
      </c>
      <c r="V31" t="s">
        <v>59</v>
      </c>
      <c r="W31" t="s">
        <v>30</v>
      </c>
      <c r="Y31" t="s">
        <v>60</v>
      </c>
      <c r="Z31" t="s">
        <v>329</v>
      </c>
      <c r="AA31">
        <v>2019</v>
      </c>
      <c r="AB31">
        <v>1.6888683496043</v>
      </c>
      <c r="AC31">
        <v>0</v>
      </c>
      <c r="AD31">
        <v>0</v>
      </c>
    </row>
    <row r="32" spans="1:30" x14ac:dyDescent="0.3">
      <c r="A32">
        <v>2019</v>
      </c>
      <c r="B32">
        <v>173</v>
      </c>
      <c r="C32" t="s">
        <v>58</v>
      </c>
      <c r="D32">
        <v>58472</v>
      </c>
      <c r="E32">
        <v>12.3</v>
      </c>
      <c r="F32">
        <v>5327</v>
      </c>
      <c r="G32">
        <v>110.9</v>
      </c>
      <c r="H32">
        <v>34622</v>
      </c>
      <c r="I32">
        <v>-639</v>
      </c>
      <c r="J32">
        <v>29795.9</v>
      </c>
      <c r="K32">
        <v>9.1</v>
      </c>
      <c r="L32">
        <v>15.4</v>
      </c>
      <c r="M32">
        <v>0</v>
      </c>
      <c r="N32">
        <v>3.26</v>
      </c>
      <c r="O32">
        <v>120.3</v>
      </c>
      <c r="P32">
        <v>4.5</v>
      </c>
      <c r="Q32">
        <v>0</v>
      </c>
      <c r="R32">
        <v>-0.2</v>
      </c>
      <c r="S32">
        <v>11.5</v>
      </c>
      <c r="T32">
        <v>3.7</v>
      </c>
      <c r="U32">
        <v>55000</v>
      </c>
      <c r="V32" t="s">
        <v>59</v>
      </c>
      <c r="W32" t="s">
        <v>30</v>
      </c>
      <c r="Y32" t="s">
        <v>60</v>
      </c>
      <c r="Z32" t="s">
        <v>329</v>
      </c>
      <c r="AA32">
        <v>2018</v>
      </c>
      <c r="AB32">
        <v>1.6888683496043</v>
      </c>
      <c r="AC32">
        <v>0</v>
      </c>
      <c r="AD32">
        <v>0</v>
      </c>
    </row>
    <row r="33" spans="1:30" x14ac:dyDescent="0.3">
      <c r="A33">
        <v>2018</v>
      </c>
      <c r="B33">
        <v>173</v>
      </c>
      <c r="C33" t="s">
        <v>58</v>
      </c>
      <c r="D33">
        <v>58472</v>
      </c>
      <c r="E33">
        <v>12.3</v>
      </c>
      <c r="F33">
        <v>5327</v>
      </c>
      <c r="G33">
        <v>110.9</v>
      </c>
      <c r="H33">
        <v>34622</v>
      </c>
      <c r="I33">
        <v>-639</v>
      </c>
      <c r="J33">
        <v>29795.9</v>
      </c>
      <c r="K33">
        <v>9.1</v>
      </c>
      <c r="L33">
        <v>15.4</v>
      </c>
      <c r="M33">
        <v>0</v>
      </c>
      <c r="N33">
        <v>3.26</v>
      </c>
      <c r="O33">
        <v>120.3</v>
      </c>
      <c r="P33">
        <v>4.5</v>
      </c>
      <c r="Q33">
        <v>0</v>
      </c>
      <c r="R33">
        <v>-0.2</v>
      </c>
      <c r="S33">
        <v>11.5</v>
      </c>
      <c r="T33">
        <v>3.7</v>
      </c>
      <c r="U33">
        <v>55000</v>
      </c>
      <c r="V33" t="s">
        <v>59</v>
      </c>
      <c r="W33" t="s">
        <v>30</v>
      </c>
      <c r="Y33" t="s">
        <v>60</v>
      </c>
      <c r="Z33" t="s">
        <v>329</v>
      </c>
      <c r="AA33">
        <v>2017</v>
      </c>
      <c r="AB33">
        <v>1.6888683496043</v>
      </c>
      <c r="AC33">
        <v>0</v>
      </c>
      <c r="AD33">
        <v>0</v>
      </c>
    </row>
    <row r="34" spans="1:30" x14ac:dyDescent="0.3">
      <c r="A34">
        <v>2015</v>
      </c>
      <c r="B34">
        <v>360</v>
      </c>
      <c r="C34" t="s">
        <v>50</v>
      </c>
      <c r="D34">
        <v>33260</v>
      </c>
      <c r="E34">
        <v>4.7</v>
      </c>
      <c r="F34">
        <v>2756</v>
      </c>
      <c r="G34">
        <v>-3.6</v>
      </c>
      <c r="H34">
        <v>25459</v>
      </c>
      <c r="I34">
        <v>-5213</v>
      </c>
      <c r="J34">
        <v>42788.4</v>
      </c>
      <c r="K34">
        <v>8.2862297053517704</v>
      </c>
      <c r="L34">
        <v>10.825248438666099</v>
      </c>
      <c r="M34">
        <v>-52.867830423940198</v>
      </c>
      <c r="N34">
        <v>5.4</v>
      </c>
      <c r="O34">
        <v>4.4000000000000004</v>
      </c>
      <c r="P34">
        <v>41.6</v>
      </c>
      <c r="Q34">
        <v>0</v>
      </c>
      <c r="R34">
        <v>25.5</v>
      </c>
      <c r="S34">
        <v>21.1</v>
      </c>
      <c r="T34">
        <v>17.899999999999999</v>
      </c>
      <c r="U34">
        <v>30925</v>
      </c>
      <c r="W34" t="s">
        <v>44</v>
      </c>
      <c r="Y34" t="s">
        <v>52</v>
      </c>
      <c r="Z34">
        <v>-5213</v>
      </c>
      <c r="AA34">
        <v>2014</v>
      </c>
      <c r="AB34">
        <v>1.30641423465179</v>
      </c>
      <c r="AC34">
        <v>-0.52869999999999995</v>
      </c>
      <c r="AD34">
        <v>-4.8837521580663701</v>
      </c>
    </row>
    <row r="35" spans="1:30" x14ac:dyDescent="0.3">
      <c r="A35">
        <v>2015</v>
      </c>
      <c r="B35">
        <v>88</v>
      </c>
      <c r="C35" t="s">
        <v>64</v>
      </c>
      <c r="D35">
        <v>88988</v>
      </c>
      <c r="E35">
        <v>19.5</v>
      </c>
      <c r="F35">
        <v>-241</v>
      </c>
      <c r="G35">
        <v>-188</v>
      </c>
      <c r="H35">
        <v>54505</v>
      </c>
      <c r="I35">
        <v>10741</v>
      </c>
      <c r="J35">
        <v>172797.3</v>
      </c>
      <c r="K35">
        <v>-0.27082303231896399</v>
      </c>
      <c r="L35">
        <v>-0.44216126960829299</v>
      </c>
      <c r="M35">
        <v>-2.2437389442323799</v>
      </c>
      <c r="N35">
        <v>-0.52</v>
      </c>
      <c r="O35">
        <v>-188.1</v>
      </c>
      <c r="P35">
        <v>0</v>
      </c>
      <c r="Q35">
        <v>0</v>
      </c>
      <c r="R35">
        <v>-22.2</v>
      </c>
      <c r="S35">
        <v>18.2</v>
      </c>
      <c r="T35">
        <v>21.5</v>
      </c>
      <c r="U35">
        <v>154100</v>
      </c>
      <c r="W35" t="s">
        <v>34</v>
      </c>
      <c r="Y35" t="s">
        <v>66</v>
      </c>
      <c r="Z35">
        <v>10741</v>
      </c>
      <c r="AA35">
        <v>2014</v>
      </c>
      <c r="AB35">
        <v>1.6326575543528099</v>
      </c>
      <c r="AC35">
        <v>-2.24E-2</v>
      </c>
      <c r="AD35">
        <v>5.0744809608043902</v>
      </c>
    </row>
    <row r="36" spans="1:30" x14ac:dyDescent="0.3">
      <c r="A36">
        <v>2014</v>
      </c>
      <c r="B36">
        <v>379</v>
      </c>
      <c r="C36" t="s">
        <v>50</v>
      </c>
      <c r="D36">
        <v>31754</v>
      </c>
      <c r="E36">
        <v>6.8</v>
      </c>
      <c r="F36">
        <v>2859</v>
      </c>
      <c r="G36">
        <v>-3.1</v>
      </c>
      <c r="H36">
        <v>21905</v>
      </c>
      <c r="I36">
        <v>-6544.0001000000002</v>
      </c>
      <c r="J36">
        <v>38933.901899999997</v>
      </c>
      <c r="K36">
        <v>9.0018999999999991</v>
      </c>
      <c r="L36">
        <v>13.101900000000001</v>
      </c>
      <c r="M36">
        <v>0</v>
      </c>
      <c r="N36">
        <v>5.17</v>
      </c>
      <c r="O36">
        <v>12.901899999999999</v>
      </c>
      <c r="P36">
        <v>30.401900000000001</v>
      </c>
      <c r="Q36">
        <v>0</v>
      </c>
      <c r="R36">
        <v>37.701900000000002</v>
      </c>
      <c r="S36">
        <v>24.701899999999998</v>
      </c>
      <c r="T36">
        <v>15.401899999999999</v>
      </c>
      <c r="U36">
        <v>29950</v>
      </c>
      <c r="V36" t="s">
        <v>51</v>
      </c>
      <c r="W36" t="s">
        <v>44</v>
      </c>
      <c r="Y36" t="s">
        <v>52</v>
      </c>
      <c r="Z36" t="s">
        <v>329</v>
      </c>
      <c r="AA36">
        <v>2013</v>
      </c>
      <c r="AB36">
        <v>1.4496233736589801</v>
      </c>
      <c r="AC36">
        <v>0</v>
      </c>
      <c r="AD36">
        <v>0</v>
      </c>
    </row>
    <row r="37" spans="1:30" x14ac:dyDescent="0.3">
      <c r="A37">
        <v>2013</v>
      </c>
      <c r="B37">
        <v>149</v>
      </c>
      <c r="C37" t="s">
        <v>64</v>
      </c>
      <c r="D37">
        <v>61093</v>
      </c>
      <c r="E37">
        <v>27.1</v>
      </c>
      <c r="F37">
        <v>-39</v>
      </c>
      <c r="G37">
        <v>-106.2</v>
      </c>
      <c r="H37">
        <v>32555</v>
      </c>
      <c r="I37">
        <v>8192</v>
      </c>
      <c r="J37">
        <v>121133.3</v>
      </c>
      <c r="K37">
        <v>-0.1</v>
      </c>
      <c r="L37">
        <v>-0.1198</v>
      </c>
      <c r="M37">
        <v>-1</v>
      </c>
      <c r="N37">
        <v>-0.09</v>
      </c>
      <c r="O37">
        <v>-106.6</v>
      </c>
      <c r="P37">
        <v>0</v>
      </c>
      <c r="Q37">
        <v>0</v>
      </c>
      <c r="R37">
        <v>44.9</v>
      </c>
      <c r="S37">
        <v>22</v>
      </c>
      <c r="T37">
        <v>29.5</v>
      </c>
      <c r="U37">
        <v>88400</v>
      </c>
      <c r="V37" t="s">
        <v>67</v>
      </c>
      <c r="W37" t="s">
        <v>34</v>
      </c>
      <c r="Y37" t="s">
        <v>66</v>
      </c>
      <c r="Z37">
        <v>3900</v>
      </c>
      <c r="AA37">
        <v>2012</v>
      </c>
      <c r="AB37">
        <v>1.8766088158501</v>
      </c>
      <c r="AC37">
        <v>-0.01</v>
      </c>
      <c r="AD37">
        <v>8.3474358974359006</v>
      </c>
    </row>
    <row r="38" spans="1:30" x14ac:dyDescent="0.3">
      <c r="A38">
        <v>2013</v>
      </c>
      <c r="B38">
        <v>145</v>
      </c>
      <c r="C38" t="s">
        <v>68</v>
      </c>
      <c r="D38">
        <v>62570</v>
      </c>
      <c r="E38">
        <v>12</v>
      </c>
      <c r="F38">
        <v>6203</v>
      </c>
      <c r="G38">
        <v>49.1</v>
      </c>
      <c r="H38">
        <v>164971</v>
      </c>
      <c r="I38">
        <v>49356</v>
      </c>
      <c r="J38">
        <v>110805.9</v>
      </c>
      <c r="K38">
        <v>9.9</v>
      </c>
      <c r="L38">
        <v>3.7601</v>
      </c>
      <c r="M38">
        <v>13</v>
      </c>
      <c r="N38">
        <v>2.2799999999999998</v>
      </c>
      <c r="O38">
        <v>52</v>
      </c>
      <c r="P38">
        <v>22.4</v>
      </c>
      <c r="Q38">
        <v>0</v>
      </c>
      <c r="R38">
        <v>60.7</v>
      </c>
      <c r="S38">
        <v>17.399999999999999</v>
      </c>
      <c r="T38">
        <v>9.9</v>
      </c>
      <c r="U38">
        <v>129000</v>
      </c>
      <c r="V38" t="s">
        <v>69</v>
      </c>
      <c r="W38" t="s">
        <v>44</v>
      </c>
      <c r="Y38" t="s">
        <v>70</v>
      </c>
      <c r="Z38">
        <v>47715.384615384603</v>
      </c>
      <c r="AA38">
        <v>2012</v>
      </c>
      <c r="AB38">
        <v>0.37927878233144002</v>
      </c>
      <c r="AC38">
        <v>0.13</v>
      </c>
      <c r="AD38">
        <v>3.4573964210865702</v>
      </c>
    </row>
    <row r="39" spans="1:30" x14ac:dyDescent="0.3">
      <c r="A39">
        <v>2013</v>
      </c>
      <c r="B39">
        <v>43</v>
      </c>
      <c r="C39" t="s">
        <v>71</v>
      </c>
      <c r="D39">
        <v>120357</v>
      </c>
      <c r="E39">
        <v>-5.4</v>
      </c>
      <c r="F39">
        <v>-12650</v>
      </c>
      <c r="G39">
        <v>-278.8</v>
      </c>
      <c r="H39">
        <v>108768</v>
      </c>
      <c r="I39">
        <v>22436</v>
      </c>
      <c r="J39">
        <v>46345.4</v>
      </c>
      <c r="K39">
        <v>-10.5</v>
      </c>
      <c r="L39">
        <v>-11.6303</v>
      </c>
      <c r="M39">
        <v>-56</v>
      </c>
      <c r="N39">
        <v>-6.41</v>
      </c>
      <c r="O39">
        <v>-293.10000000000002</v>
      </c>
      <c r="P39">
        <v>0</v>
      </c>
      <c r="Q39">
        <v>0</v>
      </c>
      <c r="R39">
        <v>-43.3</v>
      </c>
      <c r="S39">
        <v>-21.4</v>
      </c>
      <c r="T39">
        <v>-0.8</v>
      </c>
      <c r="U39">
        <v>331800</v>
      </c>
      <c r="V39" t="s">
        <v>72</v>
      </c>
      <c r="W39" t="s">
        <v>30</v>
      </c>
      <c r="Y39" t="s">
        <v>60</v>
      </c>
      <c r="Z39">
        <v>22589.285714285699</v>
      </c>
      <c r="AA39">
        <v>2012</v>
      </c>
      <c r="AB39">
        <v>1.1065478817299199</v>
      </c>
      <c r="AC39">
        <v>-0.56000000000000005</v>
      </c>
      <c r="AD39">
        <v>4.8150260869565198</v>
      </c>
    </row>
    <row r="40" spans="1:30" x14ac:dyDescent="0.3">
      <c r="A40">
        <v>2023</v>
      </c>
      <c r="B40">
        <v>64</v>
      </c>
      <c r="C40" t="s">
        <v>73</v>
      </c>
      <c r="D40">
        <v>136835</v>
      </c>
      <c r="E40">
        <v>2.4</v>
      </c>
      <c r="F40">
        <v>21256</v>
      </c>
      <c r="G40">
        <v>-3.7</v>
      </c>
      <c r="H40">
        <v>379680</v>
      </c>
      <c r="I40">
        <v>91144</v>
      </c>
      <c r="J40">
        <v>163333.4</v>
      </c>
      <c r="K40">
        <v>15.5</v>
      </c>
      <c r="L40">
        <v>5.6</v>
      </c>
      <c r="M40">
        <v>23.3</v>
      </c>
      <c r="N40">
        <v>5.0599999999999996</v>
      </c>
      <c r="O40">
        <v>-4.9000000000000004</v>
      </c>
      <c r="P40">
        <v>-7.2</v>
      </c>
      <c r="Q40">
        <v>32.200000000000003</v>
      </c>
      <c r="R40">
        <v>-19.7</v>
      </c>
      <c r="S40">
        <v>-1.2</v>
      </c>
      <c r="T40">
        <v>3.7</v>
      </c>
      <c r="U40">
        <v>117100</v>
      </c>
      <c r="V40" t="s">
        <v>74</v>
      </c>
      <c r="W40" t="s">
        <v>44</v>
      </c>
      <c r="Y40" t="s">
        <v>75</v>
      </c>
      <c r="Z40">
        <v>91227.4678111588</v>
      </c>
      <c r="AA40">
        <v>2022</v>
      </c>
      <c r="AB40">
        <v>0.360395596291614</v>
      </c>
      <c r="AC40">
        <v>0.23300000000000001</v>
      </c>
      <c r="AD40">
        <v>4.1619044034625503</v>
      </c>
    </row>
    <row r="41" spans="1:30" x14ac:dyDescent="0.3">
      <c r="A41">
        <v>2022</v>
      </c>
      <c r="B41">
        <v>54</v>
      </c>
      <c r="C41" t="s">
        <v>73</v>
      </c>
      <c r="D41">
        <v>133613</v>
      </c>
      <c r="E41">
        <v>4.0999999999999996</v>
      </c>
      <c r="F41">
        <v>22065</v>
      </c>
      <c r="G41">
        <v>24</v>
      </c>
      <c r="H41">
        <v>366596</v>
      </c>
      <c r="I41">
        <v>81790</v>
      </c>
      <c r="J41">
        <v>213837.1</v>
      </c>
      <c r="K41">
        <v>16.5</v>
      </c>
      <c r="L41">
        <v>6</v>
      </c>
      <c r="M41">
        <v>27</v>
      </c>
      <c r="N41">
        <v>5.32</v>
      </c>
      <c r="O41">
        <v>23.7</v>
      </c>
      <c r="P41">
        <v>10.6</v>
      </c>
      <c r="Q41">
        <v>20.100000000000001</v>
      </c>
      <c r="R41">
        <v>-7.4</v>
      </c>
      <c r="S41">
        <v>4</v>
      </c>
      <c r="T41">
        <v>7.3</v>
      </c>
      <c r="U41">
        <v>118400</v>
      </c>
      <c r="V41" t="s">
        <v>74</v>
      </c>
      <c r="W41" t="s">
        <v>44</v>
      </c>
      <c r="Y41" t="s">
        <v>75</v>
      </c>
      <c r="Z41">
        <v>81722.222222222204</v>
      </c>
      <c r="AA41">
        <v>2021</v>
      </c>
      <c r="AB41">
        <v>0.364469334089843</v>
      </c>
      <c r="AC41">
        <v>0.27</v>
      </c>
      <c r="AD41">
        <v>4.4858789938817099</v>
      </c>
    </row>
    <row r="42" spans="1:30" x14ac:dyDescent="0.3">
      <c r="A42">
        <v>2020</v>
      </c>
      <c r="B42">
        <v>43</v>
      </c>
      <c r="C42" t="s">
        <v>73</v>
      </c>
      <c r="D42">
        <v>130863</v>
      </c>
      <c r="E42">
        <v>3.8</v>
      </c>
      <c r="F42">
        <v>15528</v>
      </c>
      <c r="G42">
        <v>-48.4</v>
      </c>
      <c r="H42">
        <v>264829</v>
      </c>
      <c r="I42">
        <v>53145</v>
      </c>
      <c r="J42">
        <v>244327.9</v>
      </c>
      <c r="K42">
        <v>11.9</v>
      </c>
      <c r="L42">
        <v>5.9</v>
      </c>
      <c r="M42">
        <v>29.2</v>
      </c>
      <c r="N42">
        <v>3.76</v>
      </c>
      <c r="O42">
        <v>-48.9</v>
      </c>
      <c r="P42">
        <v>-1.2</v>
      </c>
      <c r="Q42">
        <v>5.2</v>
      </c>
      <c r="R42">
        <v>11.1</v>
      </c>
      <c r="S42">
        <v>7.5</v>
      </c>
      <c r="T42">
        <v>11.3</v>
      </c>
      <c r="U42">
        <v>144500</v>
      </c>
      <c r="V42" t="s">
        <v>74</v>
      </c>
      <c r="W42" t="s">
        <v>44</v>
      </c>
      <c r="Y42" t="s">
        <v>75</v>
      </c>
      <c r="Z42">
        <v>53178.082191780799</v>
      </c>
      <c r="AA42">
        <v>2019</v>
      </c>
      <c r="AB42">
        <v>0.49414150262999901</v>
      </c>
      <c r="AC42">
        <v>0.29199999999999998</v>
      </c>
      <c r="AD42">
        <v>4.98004044307058</v>
      </c>
    </row>
    <row r="43" spans="1:30" x14ac:dyDescent="0.3">
      <c r="A43">
        <v>2019</v>
      </c>
      <c r="B43">
        <v>43</v>
      </c>
      <c r="C43" t="s">
        <v>73</v>
      </c>
      <c r="D43">
        <v>130863</v>
      </c>
      <c r="E43">
        <v>3.8</v>
      </c>
      <c r="F43">
        <v>15528</v>
      </c>
      <c r="G43">
        <v>-48.4</v>
      </c>
      <c r="H43">
        <v>264829</v>
      </c>
      <c r="I43">
        <v>53145</v>
      </c>
      <c r="J43">
        <v>244327.9</v>
      </c>
      <c r="K43">
        <v>11.9</v>
      </c>
      <c r="L43">
        <v>5.9</v>
      </c>
      <c r="M43">
        <v>29.2</v>
      </c>
      <c r="N43">
        <v>3.76</v>
      </c>
      <c r="O43">
        <v>-48.9</v>
      </c>
      <c r="P43">
        <v>-1.2</v>
      </c>
      <c r="Q43">
        <v>5.2</v>
      </c>
      <c r="R43">
        <v>11.1</v>
      </c>
      <c r="S43">
        <v>7.5</v>
      </c>
      <c r="T43">
        <v>11.3</v>
      </c>
      <c r="U43">
        <v>144500</v>
      </c>
      <c r="V43" t="s">
        <v>74</v>
      </c>
      <c r="W43" t="s">
        <v>44</v>
      </c>
      <c r="Y43" t="s">
        <v>75</v>
      </c>
      <c r="Z43">
        <v>53178.082191780799</v>
      </c>
      <c r="AA43">
        <v>2018</v>
      </c>
      <c r="AB43">
        <v>0.49414150262999901</v>
      </c>
      <c r="AC43">
        <v>0.29199999999999998</v>
      </c>
      <c r="AD43">
        <v>4.98004044307058</v>
      </c>
    </row>
    <row r="44" spans="1:30" x14ac:dyDescent="0.3">
      <c r="A44">
        <v>2018</v>
      </c>
      <c r="B44">
        <v>43</v>
      </c>
      <c r="C44" t="s">
        <v>73</v>
      </c>
      <c r="D44">
        <v>130863</v>
      </c>
      <c r="E44">
        <v>3.8</v>
      </c>
      <c r="F44">
        <v>15528</v>
      </c>
      <c r="G44">
        <v>-48.4</v>
      </c>
      <c r="H44">
        <v>264829</v>
      </c>
      <c r="I44">
        <v>53145</v>
      </c>
      <c r="J44">
        <v>244327.9</v>
      </c>
      <c r="K44">
        <v>11.9</v>
      </c>
      <c r="L44">
        <v>5.9</v>
      </c>
      <c r="M44">
        <v>29.2</v>
      </c>
      <c r="N44">
        <v>3.76</v>
      </c>
      <c r="O44">
        <v>-48.9</v>
      </c>
      <c r="P44">
        <v>-1.2</v>
      </c>
      <c r="Q44">
        <v>5.2</v>
      </c>
      <c r="R44">
        <v>11.1</v>
      </c>
      <c r="S44">
        <v>7.5</v>
      </c>
      <c r="T44">
        <v>11.3</v>
      </c>
      <c r="U44">
        <v>144500</v>
      </c>
      <c r="V44" t="s">
        <v>74</v>
      </c>
      <c r="W44" t="s">
        <v>44</v>
      </c>
      <c r="Y44" t="s">
        <v>75</v>
      </c>
      <c r="Z44">
        <v>53178.082191780799</v>
      </c>
      <c r="AA44">
        <v>2017</v>
      </c>
      <c r="AB44">
        <v>0.49414150262999901</v>
      </c>
      <c r="AC44">
        <v>0.29199999999999998</v>
      </c>
      <c r="AD44">
        <v>4.98004044307058</v>
      </c>
    </row>
    <row r="45" spans="1:30" x14ac:dyDescent="0.3">
      <c r="A45">
        <v>2017</v>
      </c>
      <c r="B45">
        <v>32</v>
      </c>
      <c r="C45" t="s">
        <v>73</v>
      </c>
      <c r="D45">
        <v>125980</v>
      </c>
      <c r="E45">
        <v>-4.3</v>
      </c>
      <c r="F45">
        <v>13127</v>
      </c>
      <c r="G45">
        <v>-26.6</v>
      </c>
      <c r="H45">
        <v>244180</v>
      </c>
      <c r="I45">
        <v>22524</v>
      </c>
      <c r="J45">
        <v>198900</v>
      </c>
      <c r="K45">
        <v>10.4</v>
      </c>
      <c r="L45">
        <v>5.4</v>
      </c>
      <c r="M45">
        <v>58.3</v>
      </c>
      <c r="N45">
        <v>3.21</v>
      </c>
      <c r="O45">
        <v>-26.5</v>
      </c>
      <c r="P45">
        <v>30.4</v>
      </c>
      <c r="Q45">
        <v>4.2</v>
      </c>
      <c r="R45">
        <v>20.7</v>
      </c>
      <c r="S45">
        <v>10.7</v>
      </c>
      <c r="T45">
        <v>9.6</v>
      </c>
      <c r="U45">
        <v>160900</v>
      </c>
      <c r="V45" t="s">
        <v>74</v>
      </c>
      <c r="W45" t="s">
        <v>44</v>
      </c>
      <c r="Y45" t="s">
        <v>75</v>
      </c>
      <c r="Z45">
        <v>22516.295025728999</v>
      </c>
      <c r="AA45">
        <v>2016</v>
      </c>
      <c r="AB45">
        <v>0.51593087066917798</v>
      </c>
      <c r="AC45">
        <v>0.58299999999999996</v>
      </c>
      <c r="AD45">
        <v>10.844590538584599</v>
      </c>
    </row>
    <row r="46" spans="1:30" x14ac:dyDescent="0.3">
      <c r="A46">
        <v>2016</v>
      </c>
      <c r="B46">
        <v>30</v>
      </c>
      <c r="C46" t="s">
        <v>73</v>
      </c>
      <c r="D46">
        <v>131620</v>
      </c>
      <c r="E46">
        <v>3.6</v>
      </c>
      <c r="F46">
        <v>17879</v>
      </c>
      <c r="G46">
        <v>85.8</v>
      </c>
      <c r="H46">
        <v>244640</v>
      </c>
      <c r="I46">
        <v>16428</v>
      </c>
      <c r="J46">
        <v>220646.39999999999</v>
      </c>
      <c r="K46">
        <v>13.6</v>
      </c>
      <c r="L46">
        <v>7.3</v>
      </c>
      <c r="M46">
        <v>108.8</v>
      </c>
      <c r="N46">
        <v>4.37</v>
      </c>
      <c r="O46">
        <v>80.599999999999994</v>
      </c>
      <c r="P46">
        <v>37.200000000000003</v>
      </c>
      <c r="Q46">
        <v>5.0999999999999996</v>
      </c>
      <c r="R46">
        <v>3.5</v>
      </c>
      <c r="S46">
        <v>10.3</v>
      </c>
      <c r="T46">
        <v>10.8</v>
      </c>
      <c r="U46">
        <v>177700</v>
      </c>
      <c r="V46" t="s">
        <v>74</v>
      </c>
      <c r="W46" t="s">
        <v>44</v>
      </c>
      <c r="Y46" t="s">
        <v>75</v>
      </c>
      <c r="Z46">
        <v>16432.904411764699</v>
      </c>
      <c r="AA46">
        <v>2015</v>
      </c>
      <c r="AB46">
        <v>0.53801504251144505</v>
      </c>
      <c r="AC46">
        <v>1.0880000000000001</v>
      </c>
      <c r="AD46">
        <v>14.8872039823256</v>
      </c>
    </row>
    <row r="47" spans="1:30" x14ac:dyDescent="0.3">
      <c r="A47">
        <v>2014</v>
      </c>
      <c r="B47">
        <v>42</v>
      </c>
      <c r="C47" t="s">
        <v>73</v>
      </c>
      <c r="D47">
        <v>120550</v>
      </c>
      <c r="E47">
        <v>4.0999999999999996</v>
      </c>
      <c r="F47">
        <v>11497</v>
      </c>
      <c r="G47">
        <v>1213.9000000000001</v>
      </c>
      <c r="H47">
        <v>274098</v>
      </c>
      <c r="I47">
        <v>38836.001900000003</v>
      </c>
      <c r="J47">
        <v>196994.10190000001</v>
      </c>
      <c r="K47">
        <v>9.5018999999999991</v>
      </c>
      <c r="L47">
        <v>4.2019000000000002</v>
      </c>
      <c r="M47">
        <v>29.601900000000001</v>
      </c>
      <c r="N47">
        <v>4</v>
      </c>
      <c r="O47">
        <v>1190.3018999999999</v>
      </c>
      <c r="P47">
        <v>12.101900000000001</v>
      </c>
      <c r="Q47">
        <v>13.7019</v>
      </c>
      <c r="R47">
        <v>18.401900000000001</v>
      </c>
      <c r="S47">
        <v>15.101900000000001</v>
      </c>
      <c r="T47">
        <v>9.8018999999999998</v>
      </c>
      <c r="U47">
        <v>176800</v>
      </c>
      <c r="V47" t="s">
        <v>76</v>
      </c>
      <c r="W47" t="s">
        <v>44</v>
      </c>
      <c r="Y47" t="s">
        <v>75</v>
      </c>
      <c r="Z47">
        <v>38838.723190065502</v>
      </c>
      <c r="AA47">
        <v>2013</v>
      </c>
      <c r="AB47">
        <v>0.43980620070193899</v>
      </c>
      <c r="AC47">
        <v>0.29599999999999999</v>
      </c>
      <c r="AD47">
        <v>7.0573380761937896</v>
      </c>
    </row>
    <row r="48" spans="1:30" x14ac:dyDescent="0.3">
      <c r="A48">
        <v>2013</v>
      </c>
      <c r="B48">
        <v>48</v>
      </c>
      <c r="C48" t="s">
        <v>73</v>
      </c>
      <c r="D48">
        <v>115846</v>
      </c>
      <c r="E48">
        <v>4.5</v>
      </c>
      <c r="F48">
        <v>875</v>
      </c>
      <c r="G48">
        <v>-63.6</v>
      </c>
      <c r="H48">
        <v>225222</v>
      </c>
      <c r="I48">
        <v>33157</v>
      </c>
      <c r="J48">
        <v>140484.20000000001</v>
      </c>
      <c r="K48">
        <v>0.8</v>
      </c>
      <c r="L48">
        <v>0.38850000000000001</v>
      </c>
      <c r="M48">
        <v>3</v>
      </c>
      <c r="N48">
        <v>0.31</v>
      </c>
      <c r="O48">
        <v>-63.5</v>
      </c>
      <c r="P48">
        <v>-30.4</v>
      </c>
      <c r="Q48">
        <v>-14.5</v>
      </c>
      <c r="R48">
        <v>13.1</v>
      </c>
      <c r="S48">
        <v>6.9</v>
      </c>
      <c r="T48">
        <v>7.4</v>
      </c>
      <c r="U48">
        <v>183400</v>
      </c>
      <c r="V48" t="s">
        <v>76</v>
      </c>
      <c r="W48" t="s">
        <v>44</v>
      </c>
      <c r="Y48" t="s">
        <v>75</v>
      </c>
      <c r="Z48">
        <v>29166.666666666701</v>
      </c>
      <c r="AA48">
        <v>2012</v>
      </c>
      <c r="AB48">
        <v>0.51436360568683304</v>
      </c>
      <c r="AC48">
        <v>0.03</v>
      </c>
      <c r="AD48">
        <v>7.7218971428571397</v>
      </c>
    </row>
    <row r="49" spans="1:30" x14ac:dyDescent="0.3">
      <c r="A49">
        <v>2012</v>
      </c>
      <c r="B49">
        <v>32</v>
      </c>
      <c r="C49" t="s">
        <v>73</v>
      </c>
      <c r="D49">
        <v>125980</v>
      </c>
      <c r="E49">
        <v>-4.3</v>
      </c>
      <c r="F49">
        <v>13127</v>
      </c>
      <c r="G49">
        <v>-26.6</v>
      </c>
      <c r="H49">
        <v>244180</v>
      </c>
      <c r="I49">
        <v>22524</v>
      </c>
      <c r="J49">
        <v>198900</v>
      </c>
      <c r="K49">
        <v>10.4</v>
      </c>
      <c r="L49">
        <v>5.4</v>
      </c>
      <c r="M49">
        <v>58.3</v>
      </c>
      <c r="N49">
        <v>3.21</v>
      </c>
      <c r="O49">
        <v>-26.5</v>
      </c>
      <c r="P49">
        <v>30.4</v>
      </c>
      <c r="Q49">
        <v>4.2</v>
      </c>
      <c r="R49">
        <v>20.7</v>
      </c>
      <c r="S49">
        <v>10.7</v>
      </c>
      <c r="T49">
        <v>9.6</v>
      </c>
      <c r="U49">
        <v>160900</v>
      </c>
      <c r="V49" t="s">
        <v>76</v>
      </c>
      <c r="W49" t="s">
        <v>44</v>
      </c>
      <c r="Y49" t="s">
        <v>75</v>
      </c>
      <c r="Z49">
        <v>22516.295025728999</v>
      </c>
      <c r="AA49">
        <v>2011</v>
      </c>
      <c r="AB49">
        <v>0.51593087066917798</v>
      </c>
      <c r="AC49">
        <v>0.58299999999999996</v>
      </c>
      <c r="AD49">
        <v>10.844590538584599</v>
      </c>
    </row>
    <row r="50" spans="1:30" x14ac:dyDescent="0.3">
      <c r="A50">
        <v>2021</v>
      </c>
      <c r="B50">
        <v>45</v>
      </c>
      <c r="C50" t="s">
        <v>73</v>
      </c>
      <c r="D50">
        <v>128292</v>
      </c>
      <c r="E50">
        <v>-2.7</v>
      </c>
      <c r="F50">
        <v>17801</v>
      </c>
      <c r="G50">
        <v>-7.6</v>
      </c>
      <c r="H50">
        <v>316481</v>
      </c>
      <c r="I50">
        <v>67842</v>
      </c>
      <c r="J50">
        <v>240633.3</v>
      </c>
      <c r="K50">
        <v>13.9</v>
      </c>
      <c r="L50">
        <v>5.6</v>
      </c>
      <c r="M50">
        <v>26.2</v>
      </c>
      <c r="N50">
        <v>4.3</v>
      </c>
      <c r="O50">
        <v>-7.5</v>
      </c>
      <c r="P50">
        <v>-0.3</v>
      </c>
      <c r="Q50">
        <v>16.899999999999999</v>
      </c>
      <c r="R50">
        <v>-0.1</v>
      </c>
      <c r="S50">
        <v>9.6999999999999993</v>
      </c>
      <c r="T50">
        <v>10</v>
      </c>
      <c r="U50">
        <v>132200</v>
      </c>
      <c r="V50" t="s">
        <v>74</v>
      </c>
      <c r="W50" t="s">
        <v>44</v>
      </c>
      <c r="Y50" t="s">
        <v>75</v>
      </c>
      <c r="Z50">
        <v>67942.748091603004</v>
      </c>
      <c r="AA50">
        <v>2020</v>
      </c>
      <c r="AB50">
        <v>0.405370306590285</v>
      </c>
      <c r="AC50">
        <v>0.26200000000000001</v>
      </c>
      <c r="AD50">
        <v>4.6580541542610003</v>
      </c>
    </row>
    <row r="51" spans="1:30" x14ac:dyDescent="0.3">
      <c r="A51">
        <v>2015</v>
      </c>
      <c r="B51">
        <v>41</v>
      </c>
      <c r="C51" t="s">
        <v>73</v>
      </c>
      <c r="D51">
        <v>127079</v>
      </c>
      <c r="E51">
        <v>5.4</v>
      </c>
      <c r="F51">
        <v>9625</v>
      </c>
      <c r="G51">
        <v>-16.3</v>
      </c>
      <c r="H51">
        <v>232708</v>
      </c>
      <c r="I51">
        <v>12298</v>
      </c>
      <c r="J51">
        <v>198410.4</v>
      </c>
      <c r="K51">
        <v>7.5740287537673403</v>
      </c>
      <c r="L51">
        <v>4.1360847070147999</v>
      </c>
      <c r="M51">
        <v>78.264758497316606</v>
      </c>
      <c r="N51">
        <v>2.42</v>
      </c>
      <c r="O51">
        <v>-39.5</v>
      </c>
      <c r="P51">
        <v>13.4</v>
      </c>
      <c r="Q51">
        <v>-1.4</v>
      </c>
      <c r="R51">
        <v>-0.5</v>
      </c>
      <c r="S51">
        <v>14.1</v>
      </c>
      <c r="T51">
        <v>7.8</v>
      </c>
      <c r="U51">
        <v>177300</v>
      </c>
      <c r="W51" t="s">
        <v>44</v>
      </c>
      <c r="Y51" t="s">
        <v>75</v>
      </c>
      <c r="Z51">
        <v>12298</v>
      </c>
      <c r="AA51">
        <v>2014</v>
      </c>
      <c r="AB51">
        <v>0.54608780102102195</v>
      </c>
      <c r="AC51">
        <v>0.78259999999999996</v>
      </c>
      <c r="AD51">
        <v>18.922426410798501</v>
      </c>
    </row>
    <row r="52" spans="1:30" x14ac:dyDescent="0.3">
      <c r="A52">
        <v>2023</v>
      </c>
      <c r="B52">
        <v>81</v>
      </c>
      <c r="C52" t="s">
        <v>33</v>
      </c>
      <c r="D52">
        <v>116609</v>
      </c>
      <c r="E52">
        <v>-1.1000000000000001</v>
      </c>
      <c r="F52">
        <v>23200</v>
      </c>
      <c r="G52">
        <v>-41.1</v>
      </c>
      <c r="H52">
        <v>185727</v>
      </c>
      <c r="I52">
        <v>125713</v>
      </c>
      <c r="J52">
        <v>549484</v>
      </c>
      <c r="K52">
        <v>19.899999999999999</v>
      </c>
      <c r="L52">
        <v>12.5</v>
      </c>
      <c r="M52">
        <v>18.5</v>
      </c>
      <c r="N52">
        <v>8.59</v>
      </c>
      <c r="O52">
        <v>-37.6</v>
      </c>
      <c r="P52">
        <v>9.8000000000000007</v>
      </c>
      <c r="Q52">
        <v>96.5</v>
      </c>
      <c r="R52">
        <v>-64.2</v>
      </c>
      <c r="S52">
        <v>-7.4</v>
      </c>
      <c r="T52">
        <v>16.3</v>
      </c>
      <c r="U52">
        <v>86482</v>
      </c>
      <c r="V52" t="s">
        <v>35</v>
      </c>
      <c r="W52" t="s">
        <v>34</v>
      </c>
      <c r="Y52" t="s">
        <v>36</v>
      </c>
      <c r="Z52">
        <v>125405.40540540501</v>
      </c>
      <c r="AA52">
        <v>2022</v>
      </c>
      <c r="AB52">
        <v>0.62785163169598401</v>
      </c>
      <c r="AC52">
        <v>0.185</v>
      </c>
      <c r="AD52">
        <v>1.4810127155172399</v>
      </c>
    </row>
    <row r="53" spans="1:30" x14ac:dyDescent="0.3">
      <c r="A53">
        <v>2023</v>
      </c>
      <c r="B53">
        <v>17</v>
      </c>
      <c r="C53" t="s">
        <v>77</v>
      </c>
      <c r="D53">
        <v>282836</v>
      </c>
      <c r="E53">
        <v>9.8000000000000007</v>
      </c>
      <c r="F53">
        <v>59972</v>
      </c>
      <c r="G53">
        <v>-21.1</v>
      </c>
      <c r="H53">
        <v>365264</v>
      </c>
      <c r="I53">
        <v>256144</v>
      </c>
      <c r="J53">
        <v>1330200.7</v>
      </c>
      <c r="K53">
        <v>21.2</v>
      </c>
      <c r="L53">
        <v>16.399999999999999</v>
      </c>
      <c r="M53">
        <v>23.4</v>
      </c>
      <c r="N53">
        <v>4.5599999999999996</v>
      </c>
      <c r="O53">
        <v>-18.7</v>
      </c>
      <c r="P53">
        <v>38.299999999999997</v>
      </c>
      <c r="Q53">
        <v>19</v>
      </c>
      <c r="R53">
        <v>-39.1</v>
      </c>
      <c r="S53">
        <v>10.9</v>
      </c>
      <c r="T53">
        <v>17.399999999999999</v>
      </c>
      <c r="U53">
        <v>190234</v>
      </c>
      <c r="V53" t="s">
        <v>78</v>
      </c>
      <c r="W53" t="s">
        <v>34</v>
      </c>
      <c r="Y53" t="s">
        <v>79</v>
      </c>
      <c r="Z53">
        <v>256290.59829059799</v>
      </c>
      <c r="AA53">
        <v>2022</v>
      </c>
      <c r="AB53">
        <v>0.77433308511104304</v>
      </c>
      <c r="AC53">
        <v>0.23400000000000001</v>
      </c>
      <c r="AD53">
        <v>1.42519469085573</v>
      </c>
    </row>
    <row r="54" spans="1:30" x14ac:dyDescent="0.3">
      <c r="A54">
        <v>2023</v>
      </c>
      <c r="B54">
        <v>8</v>
      </c>
      <c r="C54" t="s">
        <v>80</v>
      </c>
      <c r="D54">
        <v>394328</v>
      </c>
      <c r="E54">
        <v>7.8</v>
      </c>
      <c r="F54">
        <v>99803</v>
      </c>
      <c r="G54">
        <v>5.4</v>
      </c>
      <c r="H54">
        <v>352755</v>
      </c>
      <c r="I54">
        <v>50672</v>
      </c>
      <c r="J54">
        <v>2609038.9</v>
      </c>
      <c r="K54">
        <v>25.3</v>
      </c>
      <c r="L54">
        <v>28.3</v>
      </c>
      <c r="M54">
        <v>197</v>
      </c>
      <c r="N54">
        <v>6.11</v>
      </c>
      <c r="O54">
        <v>8.9</v>
      </c>
      <c r="P54">
        <v>21.6</v>
      </c>
      <c r="Q54">
        <v>14.5</v>
      </c>
      <c r="R54">
        <v>-26.4</v>
      </c>
      <c r="S54">
        <v>26.4</v>
      </c>
      <c r="T54">
        <v>23</v>
      </c>
      <c r="U54">
        <v>164000</v>
      </c>
      <c r="V54" t="s">
        <v>81</v>
      </c>
      <c r="W54" t="s">
        <v>30</v>
      </c>
      <c r="Y54" t="s">
        <v>82</v>
      </c>
      <c r="Z54">
        <v>50661.421319797002</v>
      </c>
      <c r="AA54">
        <v>2022</v>
      </c>
      <c r="AB54">
        <v>1.11785233377273</v>
      </c>
      <c r="AC54">
        <v>1.97</v>
      </c>
      <c r="AD54">
        <v>6.9629905914651902</v>
      </c>
    </row>
    <row r="55" spans="1:30" x14ac:dyDescent="0.3">
      <c r="A55">
        <v>2022</v>
      </c>
      <c r="B55">
        <v>202</v>
      </c>
      <c r="C55" t="s">
        <v>58</v>
      </c>
      <c r="D55">
        <v>63487</v>
      </c>
      <c r="E55">
        <v>12.1</v>
      </c>
      <c r="F55">
        <v>6503</v>
      </c>
      <c r="G55">
        <v>128.69999999999999</v>
      </c>
      <c r="H55">
        <v>38610</v>
      </c>
      <c r="I55">
        <v>-1650</v>
      </c>
      <c r="J55">
        <v>38237.199999999997</v>
      </c>
      <c r="K55">
        <v>10.199999999999999</v>
      </c>
      <c r="L55">
        <v>16.8</v>
      </c>
      <c r="M55">
        <v>0</v>
      </c>
      <c r="N55">
        <v>5.33</v>
      </c>
      <c r="O55">
        <v>166.5</v>
      </c>
      <c r="P55">
        <v>30.1</v>
      </c>
      <c r="Q55">
        <v>4.8</v>
      </c>
      <c r="R55">
        <v>57.4</v>
      </c>
      <c r="S55">
        <v>24.2</v>
      </c>
      <c r="T55">
        <v>14.9</v>
      </c>
      <c r="U55">
        <v>51000</v>
      </c>
      <c r="V55" t="s">
        <v>59</v>
      </c>
      <c r="W55" t="s">
        <v>30</v>
      </c>
      <c r="Y55" t="s">
        <v>60</v>
      </c>
      <c r="Z55" t="s">
        <v>329</v>
      </c>
      <c r="AA55">
        <v>2021</v>
      </c>
      <c r="AB55">
        <v>1.6443149443149401</v>
      </c>
      <c r="AC55">
        <v>0</v>
      </c>
      <c r="AD55">
        <v>0</v>
      </c>
    </row>
    <row r="56" spans="1:30" x14ac:dyDescent="0.3">
      <c r="A56">
        <v>2022</v>
      </c>
      <c r="B56">
        <v>17</v>
      </c>
      <c r="C56" t="s">
        <v>77</v>
      </c>
      <c r="D56">
        <v>257637</v>
      </c>
      <c r="E56">
        <v>41.2</v>
      </c>
      <c r="F56">
        <v>76033</v>
      </c>
      <c r="G56">
        <v>88.8</v>
      </c>
      <c r="H56">
        <v>359268</v>
      </c>
      <c r="I56">
        <v>251635</v>
      </c>
      <c r="J56">
        <v>1842326.1</v>
      </c>
      <c r="K56">
        <v>29.5</v>
      </c>
      <c r="L56">
        <v>21.2</v>
      </c>
      <c r="M56">
        <v>30.2</v>
      </c>
      <c r="N56">
        <v>112.2</v>
      </c>
      <c r="O56">
        <v>91.4</v>
      </c>
      <c r="P56">
        <v>32.1</v>
      </c>
      <c r="Q56">
        <v>22.4</v>
      </c>
      <c r="R56">
        <v>65.3</v>
      </c>
      <c r="S56">
        <v>29.6</v>
      </c>
      <c r="T56">
        <v>24.5</v>
      </c>
      <c r="U56">
        <v>156500</v>
      </c>
      <c r="V56" t="s">
        <v>78</v>
      </c>
      <c r="W56" t="s">
        <v>34</v>
      </c>
      <c r="Y56" t="s">
        <v>79</v>
      </c>
      <c r="Z56">
        <v>251764.90066225201</v>
      </c>
      <c r="AA56">
        <v>2021</v>
      </c>
      <c r="AB56">
        <v>0.71711647015598401</v>
      </c>
      <c r="AC56">
        <v>0.30199999999999999</v>
      </c>
      <c r="AD56">
        <v>1.42699796141149</v>
      </c>
    </row>
    <row r="57" spans="1:30" x14ac:dyDescent="0.3">
      <c r="A57">
        <v>2022</v>
      </c>
      <c r="B57">
        <v>7</v>
      </c>
      <c r="C57" t="s">
        <v>80</v>
      </c>
      <c r="D57">
        <v>365817</v>
      </c>
      <c r="E57">
        <v>33.299999999999997</v>
      </c>
      <c r="F57">
        <v>94680</v>
      </c>
      <c r="G57">
        <v>64.900000000000006</v>
      </c>
      <c r="H57">
        <v>351002</v>
      </c>
      <c r="I57">
        <v>63090</v>
      </c>
      <c r="J57">
        <v>2849537.6</v>
      </c>
      <c r="K57">
        <v>25.9</v>
      </c>
      <c r="L57">
        <v>27</v>
      </c>
      <c r="M57">
        <v>150.1</v>
      </c>
      <c r="N57">
        <v>5.61</v>
      </c>
      <c r="O57">
        <v>71</v>
      </c>
      <c r="P57">
        <v>22</v>
      </c>
      <c r="Q57">
        <v>19</v>
      </c>
      <c r="R57">
        <v>34.700000000000003</v>
      </c>
      <c r="S57">
        <v>45.5</v>
      </c>
      <c r="T57">
        <v>30.5</v>
      </c>
      <c r="U57">
        <v>154000</v>
      </c>
      <c r="V57" t="s">
        <v>81</v>
      </c>
      <c r="W57" t="s">
        <v>30</v>
      </c>
      <c r="Y57" t="s">
        <v>82</v>
      </c>
      <c r="Z57">
        <v>63077.948034643603</v>
      </c>
      <c r="AA57">
        <v>2021</v>
      </c>
      <c r="AB57">
        <v>1.04220773670805</v>
      </c>
      <c r="AC57">
        <v>1.5009999999999999</v>
      </c>
      <c r="AD57">
        <v>5.5645754330376</v>
      </c>
    </row>
    <row r="58" spans="1:30" x14ac:dyDescent="0.3">
      <c r="A58">
        <v>2021</v>
      </c>
      <c r="B58">
        <v>182</v>
      </c>
      <c r="C58" t="s">
        <v>58</v>
      </c>
      <c r="D58">
        <v>56639</v>
      </c>
      <c r="E58">
        <v>-3.6</v>
      </c>
      <c r="F58">
        <v>2844</v>
      </c>
      <c r="G58">
        <v>-9.8000000000000007</v>
      </c>
      <c r="H58">
        <v>34681</v>
      </c>
      <c r="I58">
        <v>-2228</v>
      </c>
      <c r="J58">
        <v>39579.5</v>
      </c>
      <c r="K58">
        <v>5</v>
      </c>
      <c r="L58">
        <v>8.1999999999999993</v>
      </c>
      <c r="M58">
        <v>0</v>
      </c>
      <c r="N58">
        <v>2</v>
      </c>
      <c r="O58">
        <v>-3.4</v>
      </c>
      <c r="P58">
        <v>-4.2</v>
      </c>
      <c r="Q58">
        <v>-5.9</v>
      </c>
      <c r="R58">
        <v>24.5</v>
      </c>
      <c r="S58">
        <v>19.600000000000001</v>
      </c>
      <c r="T58">
        <v>4.7</v>
      </c>
      <c r="U58">
        <v>53000</v>
      </c>
      <c r="V58" t="s">
        <v>59</v>
      </c>
      <c r="W58" t="s">
        <v>30</v>
      </c>
      <c r="Y58" t="s">
        <v>60</v>
      </c>
      <c r="Z58" t="s">
        <v>329</v>
      </c>
      <c r="AA58">
        <v>2020</v>
      </c>
      <c r="AB58">
        <v>1.6331420662610701</v>
      </c>
      <c r="AC58">
        <v>0</v>
      </c>
      <c r="AD58">
        <v>0</v>
      </c>
    </row>
    <row r="59" spans="1:30" x14ac:dyDescent="0.3">
      <c r="A59">
        <v>2021</v>
      </c>
      <c r="B59">
        <v>21</v>
      </c>
      <c r="C59" t="s">
        <v>77</v>
      </c>
      <c r="D59">
        <v>182527</v>
      </c>
      <c r="E59">
        <v>12.8</v>
      </c>
      <c r="F59">
        <v>40269</v>
      </c>
      <c r="G59">
        <v>17.3</v>
      </c>
      <c r="H59">
        <v>319616</v>
      </c>
      <c r="I59">
        <v>222544</v>
      </c>
      <c r="J59">
        <v>1392561.8</v>
      </c>
      <c r="K59">
        <v>22.1</v>
      </c>
      <c r="L59">
        <v>12.6</v>
      </c>
      <c r="M59">
        <v>18.100000000000001</v>
      </c>
      <c r="N59">
        <v>58.61</v>
      </c>
      <c r="O59">
        <v>19.2</v>
      </c>
      <c r="P59">
        <v>20.7</v>
      </c>
      <c r="Q59">
        <v>16.100000000000001</v>
      </c>
      <c r="R59">
        <v>30.9</v>
      </c>
      <c r="S59">
        <v>17.600000000000001</v>
      </c>
      <c r="T59">
        <v>19.399999999999999</v>
      </c>
      <c r="U59">
        <v>135301</v>
      </c>
      <c r="V59" t="s">
        <v>78</v>
      </c>
      <c r="W59" t="s">
        <v>34</v>
      </c>
      <c r="Y59" t="s">
        <v>79</v>
      </c>
      <c r="Z59">
        <v>222480.66298342499</v>
      </c>
      <c r="AA59">
        <v>2020</v>
      </c>
      <c r="AB59">
        <v>0.57108217360833002</v>
      </c>
      <c r="AC59">
        <v>0.18099999999999999</v>
      </c>
      <c r="AD59">
        <v>1.4366012565496999</v>
      </c>
    </row>
    <row r="60" spans="1:30" x14ac:dyDescent="0.3">
      <c r="A60">
        <v>2021</v>
      </c>
      <c r="B60">
        <v>6</v>
      </c>
      <c r="C60" t="s">
        <v>80</v>
      </c>
      <c r="D60">
        <v>274515</v>
      </c>
      <c r="E60">
        <v>5.5</v>
      </c>
      <c r="F60">
        <v>57411</v>
      </c>
      <c r="G60">
        <v>3.9</v>
      </c>
      <c r="H60">
        <v>323888</v>
      </c>
      <c r="I60">
        <v>65339</v>
      </c>
      <c r="J60">
        <v>2050665.9</v>
      </c>
      <c r="K60">
        <v>20.9</v>
      </c>
      <c r="L60">
        <v>17.7</v>
      </c>
      <c r="M60">
        <v>87.9</v>
      </c>
      <c r="N60">
        <v>3.28</v>
      </c>
      <c r="O60">
        <v>10.3</v>
      </c>
      <c r="P60">
        <v>7.3</v>
      </c>
      <c r="Q60">
        <v>19.7</v>
      </c>
      <c r="R60">
        <v>82.3</v>
      </c>
      <c r="S60">
        <v>40.299999999999997</v>
      </c>
      <c r="T60">
        <v>29.6</v>
      </c>
      <c r="U60">
        <v>147000</v>
      </c>
      <c r="V60" t="s">
        <v>81</v>
      </c>
      <c r="W60" t="s">
        <v>30</v>
      </c>
      <c r="Y60" t="s">
        <v>82</v>
      </c>
      <c r="Z60">
        <v>65313.993174061397</v>
      </c>
      <c r="AA60">
        <v>2020</v>
      </c>
      <c r="AB60">
        <v>0.84756150274168895</v>
      </c>
      <c r="AC60">
        <v>0.879</v>
      </c>
      <c r="AD60">
        <v>4.9589373465015401</v>
      </c>
    </row>
    <row r="61" spans="1:30" x14ac:dyDescent="0.3">
      <c r="A61">
        <v>2020</v>
      </c>
      <c r="B61">
        <v>307</v>
      </c>
      <c r="C61" t="s">
        <v>83</v>
      </c>
      <c r="D61">
        <v>39831</v>
      </c>
      <c r="E61">
        <v>5.6</v>
      </c>
      <c r="F61">
        <v>3825</v>
      </c>
      <c r="G61">
        <v>-59</v>
      </c>
      <c r="H61">
        <v>137264</v>
      </c>
      <c r="I61">
        <v>45726</v>
      </c>
      <c r="J61">
        <v>183562.2</v>
      </c>
      <c r="K61">
        <v>9.6</v>
      </c>
      <c r="L61">
        <v>2.8</v>
      </c>
      <c r="M61">
        <v>8.4</v>
      </c>
      <c r="N61">
        <v>0.9</v>
      </c>
      <c r="O61">
        <v>-59.3</v>
      </c>
      <c r="P61">
        <v>-16.8</v>
      </c>
      <c r="Q61">
        <v>-1.6</v>
      </c>
      <c r="R61">
        <v>-3</v>
      </c>
      <c r="S61">
        <v>4.9000000000000004</v>
      </c>
      <c r="T61">
        <v>11.1</v>
      </c>
      <c r="U61">
        <v>137000</v>
      </c>
      <c r="V61" t="s">
        <v>84</v>
      </c>
      <c r="W61" t="s">
        <v>55</v>
      </c>
      <c r="Y61" t="s">
        <v>85</v>
      </c>
      <c r="Z61">
        <v>45535.714285714297</v>
      </c>
      <c r="AA61">
        <v>2019</v>
      </c>
      <c r="AB61">
        <v>0.29017805105490202</v>
      </c>
      <c r="AC61">
        <v>8.4000000000000005E-2</v>
      </c>
      <c r="AD61">
        <v>3.01442509803922</v>
      </c>
    </row>
    <row r="62" spans="1:30" x14ac:dyDescent="0.3">
      <c r="A62">
        <v>2020</v>
      </c>
      <c r="B62">
        <v>37</v>
      </c>
      <c r="C62" t="s">
        <v>77</v>
      </c>
      <c r="D62">
        <v>136819</v>
      </c>
      <c r="E62">
        <v>23.4</v>
      </c>
      <c r="F62">
        <v>30736</v>
      </c>
      <c r="G62">
        <v>142.69999999999999</v>
      </c>
      <c r="H62">
        <v>232792</v>
      </c>
      <c r="I62">
        <v>177628</v>
      </c>
      <c r="J62">
        <v>816824.2</v>
      </c>
      <c r="K62">
        <v>22.5</v>
      </c>
      <c r="L62">
        <v>13.2</v>
      </c>
      <c r="M62">
        <v>17.3</v>
      </c>
      <c r="N62">
        <v>43.7</v>
      </c>
      <c r="O62">
        <v>142.80000000000001</v>
      </c>
      <c r="P62">
        <v>18.399999999999999</v>
      </c>
      <c r="Q62">
        <v>20.7</v>
      </c>
      <c r="R62">
        <v>-0.8</v>
      </c>
      <c r="S62">
        <v>13.3</v>
      </c>
      <c r="T62">
        <v>21.1</v>
      </c>
      <c r="U62">
        <v>98771</v>
      </c>
      <c r="V62" t="s">
        <v>78</v>
      </c>
      <c r="W62" t="s">
        <v>34</v>
      </c>
      <c r="Y62" t="s">
        <v>79</v>
      </c>
      <c r="Z62">
        <v>177664.739884393</v>
      </c>
      <c r="AA62">
        <v>2019</v>
      </c>
      <c r="AB62">
        <v>0.58773067803017298</v>
      </c>
      <c r="AC62">
        <v>0.17299999999999999</v>
      </c>
      <c r="AD62">
        <v>1.3102881311816801</v>
      </c>
    </row>
    <row r="63" spans="1:30" x14ac:dyDescent="0.3">
      <c r="A63">
        <v>2020</v>
      </c>
      <c r="B63">
        <v>11</v>
      </c>
      <c r="C63" t="s">
        <v>80</v>
      </c>
      <c r="D63">
        <v>265595</v>
      </c>
      <c r="E63">
        <v>15.9</v>
      </c>
      <c r="F63">
        <v>59531</v>
      </c>
      <c r="G63">
        <v>23.1</v>
      </c>
      <c r="H63">
        <v>365725</v>
      </c>
      <c r="I63">
        <v>107147</v>
      </c>
      <c r="J63">
        <v>895667.4</v>
      </c>
      <c r="K63">
        <v>22.4</v>
      </c>
      <c r="L63">
        <v>16.3</v>
      </c>
      <c r="M63">
        <v>55.6</v>
      </c>
      <c r="N63">
        <v>11.91</v>
      </c>
      <c r="O63">
        <v>29.3</v>
      </c>
      <c r="P63">
        <v>16</v>
      </c>
      <c r="Q63">
        <v>31.6</v>
      </c>
      <c r="R63">
        <v>-5.4</v>
      </c>
      <c r="S63">
        <v>16.600000000000001</v>
      </c>
      <c r="T63">
        <v>30.8</v>
      </c>
      <c r="U63">
        <v>132000</v>
      </c>
      <c r="V63" t="s">
        <v>81</v>
      </c>
      <c r="W63" t="s">
        <v>30</v>
      </c>
      <c r="Y63" t="s">
        <v>82</v>
      </c>
      <c r="Z63">
        <v>107070.14388489199</v>
      </c>
      <c r="AA63">
        <v>2019</v>
      </c>
      <c r="AB63">
        <v>0.72621505229339001</v>
      </c>
      <c r="AC63">
        <v>0.55600000000000005</v>
      </c>
      <c r="AD63">
        <v>3.41575145722397</v>
      </c>
    </row>
    <row r="64" spans="1:30" x14ac:dyDescent="0.3">
      <c r="A64">
        <v>2019</v>
      </c>
      <c r="B64">
        <v>307</v>
      </c>
      <c r="C64" t="s">
        <v>83</v>
      </c>
      <c r="D64">
        <v>39831</v>
      </c>
      <c r="E64">
        <v>5.6</v>
      </c>
      <c r="F64">
        <v>3825</v>
      </c>
      <c r="G64">
        <v>-59</v>
      </c>
      <c r="H64">
        <v>137264</v>
      </c>
      <c r="I64">
        <v>45726</v>
      </c>
      <c r="J64">
        <v>183562.2</v>
      </c>
      <c r="K64">
        <v>9.6</v>
      </c>
      <c r="L64">
        <v>2.8</v>
      </c>
      <c r="M64">
        <v>8.4</v>
      </c>
      <c r="N64">
        <v>0.9</v>
      </c>
      <c r="O64">
        <v>-59.3</v>
      </c>
      <c r="P64">
        <v>-16.8</v>
      </c>
      <c r="Q64">
        <v>-1.6</v>
      </c>
      <c r="R64">
        <v>-3</v>
      </c>
      <c r="S64">
        <v>4.9000000000000004</v>
      </c>
      <c r="T64">
        <v>11.1</v>
      </c>
      <c r="U64">
        <v>137000</v>
      </c>
      <c r="V64" t="s">
        <v>84</v>
      </c>
      <c r="W64" t="s">
        <v>55</v>
      </c>
      <c r="Y64" t="s">
        <v>85</v>
      </c>
      <c r="Z64">
        <v>45535.714285714297</v>
      </c>
      <c r="AA64">
        <v>2018</v>
      </c>
      <c r="AB64">
        <v>0.29017805105490202</v>
      </c>
      <c r="AC64">
        <v>8.4000000000000005E-2</v>
      </c>
      <c r="AD64">
        <v>3.01442509803922</v>
      </c>
    </row>
    <row r="65" spans="1:30" x14ac:dyDescent="0.3">
      <c r="A65">
        <v>2019</v>
      </c>
      <c r="B65">
        <v>37</v>
      </c>
      <c r="C65" t="s">
        <v>77</v>
      </c>
      <c r="D65">
        <v>136819</v>
      </c>
      <c r="E65">
        <v>23.4</v>
      </c>
      <c r="F65">
        <v>30736</v>
      </c>
      <c r="G65">
        <v>142.69999999999999</v>
      </c>
      <c r="H65">
        <v>232792</v>
      </c>
      <c r="I65">
        <v>177628</v>
      </c>
      <c r="J65">
        <v>816824.2</v>
      </c>
      <c r="K65">
        <v>22.5</v>
      </c>
      <c r="L65">
        <v>13.2</v>
      </c>
      <c r="M65">
        <v>17.3</v>
      </c>
      <c r="N65">
        <v>43.7</v>
      </c>
      <c r="O65">
        <v>142.80000000000001</v>
      </c>
      <c r="P65">
        <v>18.399999999999999</v>
      </c>
      <c r="Q65">
        <v>20.7</v>
      </c>
      <c r="R65">
        <v>-0.8</v>
      </c>
      <c r="S65">
        <v>13.3</v>
      </c>
      <c r="T65">
        <v>21.1</v>
      </c>
      <c r="U65">
        <v>98771</v>
      </c>
      <c r="V65" t="s">
        <v>78</v>
      </c>
      <c r="W65" t="s">
        <v>34</v>
      </c>
      <c r="Y65" t="s">
        <v>79</v>
      </c>
      <c r="Z65">
        <v>177664.739884393</v>
      </c>
      <c r="AA65">
        <v>2018</v>
      </c>
      <c r="AB65">
        <v>0.58773067803017298</v>
      </c>
      <c r="AC65">
        <v>0.17299999999999999</v>
      </c>
      <c r="AD65">
        <v>1.3102881311816801</v>
      </c>
    </row>
    <row r="66" spans="1:30" x14ac:dyDescent="0.3">
      <c r="A66">
        <v>2019</v>
      </c>
      <c r="B66">
        <v>11</v>
      </c>
      <c r="C66" t="s">
        <v>80</v>
      </c>
      <c r="D66">
        <v>265595</v>
      </c>
      <c r="E66">
        <v>15.9</v>
      </c>
      <c r="F66">
        <v>59531</v>
      </c>
      <c r="G66">
        <v>23.1</v>
      </c>
      <c r="H66">
        <v>365725</v>
      </c>
      <c r="I66">
        <v>107147</v>
      </c>
      <c r="J66">
        <v>895667.4</v>
      </c>
      <c r="K66">
        <v>22.4</v>
      </c>
      <c r="L66">
        <v>16.3</v>
      </c>
      <c r="M66">
        <v>55.6</v>
      </c>
      <c r="N66">
        <v>11.91</v>
      </c>
      <c r="O66">
        <v>29.3</v>
      </c>
      <c r="P66">
        <v>16</v>
      </c>
      <c r="Q66">
        <v>31.6</v>
      </c>
      <c r="R66">
        <v>-5.4</v>
      </c>
      <c r="S66">
        <v>16.600000000000001</v>
      </c>
      <c r="T66">
        <v>30.8</v>
      </c>
      <c r="U66">
        <v>132000</v>
      </c>
      <c r="V66" t="s">
        <v>81</v>
      </c>
      <c r="W66" t="s">
        <v>30</v>
      </c>
      <c r="Y66" t="s">
        <v>82</v>
      </c>
      <c r="Z66">
        <v>107070.14388489199</v>
      </c>
      <c r="AA66">
        <v>2018</v>
      </c>
      <c r="AB66">
        <v>0.72621505229339001</v>
      </c>
      <c r="AC66">
        <v>0.55600000000000005</v>
      </c>
      <c r="AD66">
        <v>3.41575145722397</v>
      </c>
    </row>
    <row r="67" spans="1:30" x14ac:dyDescent="0.3">
      <c r="A67">
        <v>2018</v>
      </c>
      <c r="B67">
        <v>307</v>
      </c>
      <c r="C67" t="s">
        <v>83</v>
      </c>
      <c r="D67">
        <v>39831</v>
      </c>
      <c r="E67">
        <v>5.6</v>
      </c>
      <c r="F67">
        <v>3825</v>
      </c>
      <c r="G67">
        <v>-59</v>
      </c>
      <c r="H67">
        <v>137264</v>
      </c>
      <c r="I67">
        <v>45726</v>
      </c>
      <c r="J67">
        <v>183562.2</v>
      </c>
      <c r="K67">
        <v>9.6</v>
      </c>
      <c r="L67">
        <v>2.8</v>
      </c>
      <c r="M67">
        <v>8.4</v>
      </c>
      <c r="N67">
        <v>0.9</v>
      </c>
      <c r="O67">
        <v>-59.3</v>
      </c>
      <c r="P67">
        <v>-16.8</v>
      </c>
      <c r="Q67">
        <v>-1.6</v>
      </c>
      <c r="R67">
        <v>-3</v>
      </c>
      <c r="S67">
        <v>4.9000000000000004</v>
      </c>
      <c r="T67">
        <v>11.1</v>
      </c>
      <c r="U67">
        <v>137000</v>
      </c>
      <c r="V67" t="s">
        <v>84</v>
      </c>
      <c r="W67" t="s">
        <v>55</v>
      </c>
      <c r="Y67" t="s">
        <v>85</v>
      </c>
      <c r="Z67">
        <v>45535.714285714297</v>
      </c>
      <c r="AA67">
        <v>2017</v>
      </c>
      <c r="AB67">
        <v>0.29017805105490202</v>
      </c>
      <c r="AC67">
        <v>8.4000000000000005E-2</v>
      </c>
      <c r="AD67">
        <v>3.01442509803922</v>
      </c>
    </row>
    <row r="68" spans="1:30" x14ac:dyDescent="0.3">
      <c r="A68">
        <v>2018</v>
      </c>
      <c r="B68">
        <v>37</v>
      </c>
      <c r="C68" t="s">
        <v>77</v>
      </c>
      <c r="D68">
        <v>136819</v>
      </c>
      <c r="E68">
        <v>23.4</v>
      </c>
      <c r="F68">
        <v>30736</v>
      </c>
      <c r="G68">
        <v>142.69999999999999</v>
      </c>
      <c r="H68">
        <v>232792</v>
      </c>
      <c r="I68">
        <v>177628</v>
      </c>
      <c r="J68">
        <v>816824.2</v>
      </c>
      <c r="K68">
        <v>22.5</v>
      </c>
      <c r="L68">
        <v>13.2</v>
      </c>
      <c r="M68">
        <v>17.3</v>
      </c>
      <c r="N68">
        <v>43.7</v>
      </c>
      <c r="O68">
        <v>142.80000000000001</v>
      </c>
      <c r="P68">
        <v>18.399999999999999</v>
      </c>
      <c r="Q68">
        <v>20.7</v>
      </c>
      <c r="R68">
        <v>-0.8</v>
      </c>
      <c r="S68">
        <v>13.3</v>
      </c>
      <c r="T68">
        <v>21.1</v>
      </c>
      <c r="U68">
        <v>98771</v>
      </c>
      <c r="V68" t="s">
        <v>78</v>
      </c>
      <c r="W68" t="s">
        <v>34</v>
      </c>
      <c r="Y68" t="s">
        <v>79</v>
      </c>
      <c r="Z68">
        <v>177664.739884393</v>
      </c>
      <c r="AA68">
        <v>2017</v>
      </c>
      <c r="AB68">
        <v>0.58773067803017298</v>
      </c>
      <c r="AC68">
        <v>0.17299999999999999</v>
      </c>
      <c r="AD68">
        <v>1.3102881311816801</v>
      </c>
    </row>
    <row r="69" spans="1:30" x14ac:dyDescent="0.3">
      <c r="A69">
        <v>2018</v>
      </c>
      <c r="B69">
        <v>11</v>
      </c>
      <c r="C69" t="s">
        <v>80</v>
      </c>
      <c r="D69">
        <v>265595</v>
      </c>
      <c r="E69">
        <v>15.9</v>
      </c>
      <c r="F69">
        <v>59531</v>
      </c>
      <c r="G69">
        <v>23.1</v>
      </c>
      <c r="H69">
        <v>365725</v>
      </c>
      <c r="I69">
        <v>107147</v>
      </c>
      <c r="J69">
        <v>895667.4</v>
      </c>
      <c r="K69">
        <v>22.4</v>
      </c>
      <c r="L69">
        <v>16.3</v>
      </c>
      <c r="M69">
        <v>55.6</v>
      </c>
      <c r="N69">
        <v>11.91</v>
      </c>
      <c r="O69">
        <v>29.3</v>
      </c>
      <c r="P69">
        <v>16</v>
      </c>
      <c r="Q69">
        <v>31.6</v>
      </c>
      <c r="R69">
        <v>-5.4</v>
      </c>
      <c r="S69">
        <v>16.600000000000001</v>
      </c>
      <c r="T69">
        <v>30.8</v>
      </c>
      <c r="U69">
        <v>132000</v>
      </c>
      <c r="V69" t="s">
        <v>81</v>
      </c>
      <c r="W69" t="s">
        <v>30</v>
      </c>
      <c r="Y69" t="s">
        <v>82</v>
      </c>
      <c r="Z69">
        <v>107070.14388489199</v>
      </c>
      <c r="AA69">
        <v>2017</v>
      </c>
      <c r="AB69">
        <v>0.72621505229339001</v>
      </c>
      <c r="AC69">
        <v>0.55600000000000005</v>
      </c>
      <c r="AD69">
        <v>3.41575145722397</v>
      </c>
    </row>
    <row r="70" spans="1:30" x14ac:dyDescent="0.3">
      <c r="A70">
        <v>2017</v>
      </c>
      <c r="B70">
        <v>280</v>
      </c>
      <c r="C70" t="s">
        <v>83</v>
      </c>
      <c r="D70">
        <v>37047</v>
      </c>
      <c r="E70">
        <v>-3.1</v>
      </c>
      <c r="F70">
        <v>8901</v>
      </c>
      <c r="G70">
        <v>-10.4</v>
      </c>
      <c r="H70">
        <v>112180</v>
      </c>
      <c r="I70">
        <v>47289</v>
      </c>
      <c r="J70">
        <v>183556.1</v>
      </c>
      <c r="K70">
        <v>24</v>
      </c>
      <c r="L70">
        <v>7.9</v>
      </c>
      <c r="M70">
        <v>18.8</v>
      </c>
      <c r="N70">
        <v>2.0699999999999998</v>
      </c>
      <c r="O70">
        <v>-6.3</v>
      </c>
      <c r="P70">
        <v>4.4000000000000004</v>
      </c>
      <c r="Q70">
        <v>12.5</v>
      </c>
      <c r="R70">
        <v>6.9</v>
      </c>
      <c r="S70">
        <v>9.8000000000000007</v>
      </c>
      <c r="T70">
        <v>9.3000000000000007</v>
      </c>
      <c r="U70">
        <v>136000</v>
      </c>
      <c r="V70" t="s">
        <v>84</v>
      </c>
      <c r="W70" t="s">
        <v>55</v>
      </c>
      <c r="Y70" t="s">
        <v>85</v>
      </c>
      <c r="Z70">
        <v>47345.744680851101</v>
      </c>
      <c r="AA70">
        <v>2016</v>
      </c>
      <c r="AB70">
        <v>0.33024603316099099</v>
      </c>
      <c r="AC70">
        <v>0.188</v>
      </c>
      <c r="AD70">
        <v>2.3693787214919699</v>
      </c>
    </row>
    <row r="71" spans="1:30" x14ac:dyDescent="0.3">
      <c r="A71">
        <v>2017</v>
      </c>
      <c r="B71">
        <v>194</v>
      </c>
      <c r="C71" t="s">
        <v>58</v>
      </c>
      <c r="D71">
        <v>48238</v>
      </c>
      <c r="E71">
        <v>-53.3</v>
      </c>
      <c r="F71">
        <v>2496</v>
      </c>
      <c r="G71">
        <v>-45.2</v>
      </c>
      <c r="H71">
        <v>29010</v>
      </c>
      <c r="I71">
        <v>-3889</v>
      </c>
      <c r="J71">
        <v>30231.200000000001</v>
      </c>
      <c r="K71">
        <v>5.2</v>
      </c>
      <c r="L71">
        <v>8.6</v>
      </c>
      <c r="M71">
        <v>0</v>
      </c>
      <c r="N71">
        <v>1.43</v>
      </c>
      <c r="O71">
        <v>-42.3</v>
      </c>
      <c r="P71">
        <v>-15.5</v>
      </c>
      <c r="Q71">
        <v>-4.0999999999999996</v>
      </c>
      <c r="R71">
        <v>30.3</v>
      </c>
      <c r="S71">
        <v>6.1</v>
      </c>
      <c r="T71">
        <v>-1.3</v>
      </c>
      <c r="U71">
        <v>49000</v>
      </c>
      <c r="V71" t="s">
        <v>59</v>
      </c>
      <c r="W71" t="s">
        <v>30</v>
      </c>
      <c r="Y71" t="s">
        <v>60</v>
      </c>
      <c r="Z71" t="s">
        <v>329</v>
      </c>
      <c r="AA71">
        <v>2016</v>
      </c>
      <c r="AB71">
        <v>1.6628059289899999</v>
      </c>
      <c r="AC71">
        <v>0</v>
      </c>
      <c r="AD71">
        <v>0</v>
      </c>
    </row>
    <row r="72" spans="1:30" x14ac:dyDescent="0.3">
      <c r="A72">
        <v>2017</v>
      </c>
      <c r="B72">
        <v>65</v>
      </c>
      <c r="C72" t="s">
        <v>77</v>
      </c>
      <c r="D72">
        <v>90272</v>
      </c>
      <c r="E72">
        <v>20.399999999999999</v>
      </c>
      <c r="F72">
        <v>19478</v>
      </c>
      <c r="G72">
        <v>19.100000000000001</v>
      </c>
      <c r="H72">
        <v>167497</v>
      </c>
      <c r="I72">
        <v>139036</v>
      </c>
      <c r="J72">
        <v>579426.1</v>
      </c>
      <c r="K72">
        <v>21.6</v>
      </c>
      <c r="L72">
        <v>11.6</v>
      </c>
      <c r="M72">
        <v>14</v>
      </c>
      <c r="N72">
        <v>27.85</v>
      </c>
      <c r="O72">
        <v>21.9</v>
      </c>
      <c r="P72">
        <v>13.4</v>
      </c>
      <c r="Q72">
        <v>18.8</v>
      </c>
      <c r="R72">
        <v>1.9</v>
      </c>
      <c r="S72">
        <v>19.7</v>
      </c>
      <c r="T72">
        <v>13.2</v>
      </c>
      <c r="U72">
        <v>72053</v>
      </c>
      <c r="V72" t="s">
        <v>78</v>
      </c>
      <c r="W72" t="s">
        <v>34</v>
      </c>
      <c r="Y72" t="s">
        <v>79</v>
      </c>
      <c r="Z72">
        <v>139128.57142857101</v>
      </c>
      <c r="AA72">
        <v>2016</v>
      </c>
      <c r="AB72">
        <v>0.53894696621432003</v>
      </c>
      <c r="AC72">
        <v>0.14000000000000001</v>
      </c>
      <c r="AD72">
        <v>1.2039008111715801</v>
      </c>
    </row>
    <row r="73" spans="1:30" x14ac:dyDescent="0.3">
      <c r="A73">
        <v>2017</v>
      </c>
      <c r="B73">
        <v>9</v>
      </c>
      <c r="C73" t="s">
        <v>80</v>
      </c>
      <c r="D73">
        <v>215639</v>
      </c>
      <c r="E73">
        <v>-7.7</v>
      </c>
      <c r="F73">
        <v>45687</v>
      </c>
      <c r="G73">
        <v>-14.4</v>
      </c>
      <c r="H73">
        <v>321686</v>
      </c>
      <c r="I73">
        <v>128249</v>
      </c>
      <c r="J73">
        <v>753717.9</v>
      </c>
      <c r="K73">
        <v>21.2</v>
      </c>
      <c r="L73">
        <v>14.2</v>
      </c>
      <c r="M73">
        <v>35.6</v>
      </c>
      <c r="N73">
        <v>8.31</v>
      </c>
      <c r="O73">
        <v>-9.9</v>
      </c>
      <c r="P73">
        <v>16</v>
      </c>
      <c r="Q73">
        <v>38.299999999999997</v>
      </c>
      <c r="R73">
        <v>12.5</v>
      </c>
      <c r="S73">
        <v>17</v>
      </c>
      <c r="T73">
        <v>26.5</v>
      </c>
      <c r="U73">
        <v>116000</v>
      </c>
      <c r="V73" t="s">
        <v>81</v>
      </c>
      <c r="W73" t="s">
        <v>30</v>
      </c>
      <c r="Y73" t="s">
        <v>82</v>
      </c>
      <c r="Z73">
        <v>128334.269662921</v>
      </c>
      <c r="AA73">
        <v>2016</v>
      </c>
      <c r="AB73">
        <v>0.67034002101428103</v>
      </c>
      <c r="AC73">
        <v>0.35599999999999998</v>
      </c>
      <c r="AD73">
        <v>2.5066258673145501</v>
      </c>
    </row>
    <row r="74" spans="1:30" x14ac:dyDescent="0.3">
      <c r="A74">
        <v>2016</v>
      </c>
      <c r="B74">
        <v>260</v>
      </c>
      <c r="C74" t="s">
        <v>83</v>
      </c>
      <c r="D74">
        <v>38226</v>
      </c>
      <c r="E74">
        <v>-0.1</v>
      </c>
      <c r="F74">
        <v>9938</v>
      </c>
      <c r="G74">
        <v>-9.3000000000000007</v>
      </c>
      <c r="H74">
        <v>110903</v>
      </c>
      <c r="I74">
        <v>48663</v>
      </c>
      <c r="J74">
        <v>169771</v>
      </c>
      <c r="K74">
        <v>26</v>
      </c>
      <c r="L74">
        <v>9</v>
      </c>
      <c r="M74">
        <v>20.399999999999999</v>
      </c>
      <c r="N74">
        <v>2.21</v>
      </c>
      <c r="O74">
        <v>-7.1</v>
      </c>
      <c r="P74">
        <v>12.8</v>
      </c>
      <c r="Q74">
        <v>14.9</v>
      </c>
      <c r="R74">
        <v>-17.600000000000001</v>
      </c>
      <c r="S74">
        <v>4.3</v>
      </c>
      <c r="T74">
        <v>12.4</v>
      </c>
      <c r="U74">
        <v>132000</v>
      </c>
      <c r="V74" t="s">
        <v>84</v>
      </c>
      <c r="W74" t="s">
        <v>55</v>
      </c>
      <c r="Y74" t="s">
        <v>85</v>
      </c>
      <c r="Z74">
        <v>48715.686274509797</v>
      </c>
      <c r="AA74">
        <v>2015</v>
      </c>
      <c r="AB74">
        <v>0.34467958486244699</v>
      </c>
      <c r="AC74">
        <v>0.20399999999999999</v>
      </c>
      <c r="AD74">
        <v>2.2765357214731301</v>
      </c>
    </row>
    <row r="75" spans="1:30" x14ac:dyDescent="0.3">
      <c r="A75">
        <v>2016</v>
      </c>
      <c r="B75">
        <v>94</v>
      </c>
      <c r="C75" t="s">
        <v>77</v>
      </c>
      <c r="D75">
        <v>74989</v>
      </c>
      <c r="E75">
        <v>4.9000000000000004</v>
      </c>
      <c r="F75">
        <v>16348</v>
      </c>
      <c r="G75">
        <v>15.6</v>
      </c>
      <c r="H75">
        <v>147461</v>
      </c>
      <c r="I75">
        <v>120331</v>
      </c>
      <c r="J75">
        <v>525119.19999999995</v>
      </c>
      <c r="K75">
        <v>21.8</v>
      </c>
      <c r="L75">
        <v>11.1</v>
      </c>
      <c r="M75">
        <v>13.6</v>
      </c>
      <c r="N75">
        <v>22.84</v>
      </c>
      <c r="O75">
        <v>11</v>
      </c>
      <c r="P75">
        <v>11.7</v>
      </c>
      <c r="Q75">
        <v>24.7</v>
      </c>
      <c r="R75">
        <v>46.6</v>
      </c>
      <c r="S75">
        <v>21.2</v>
      </c>
      <c r="T75">
        <v>14.1</v>
      </c>
      <c r="U75">
        <v>61814</v>
      </c>
      <c r="V75" t="s">
        <v>78</v>
      </c>
      <c r="W75" t="s">
        <v>34</v>
      </c>
      <c r="Y75" t="s">
        <v>79</v>
      </c>
      <c r="Z75">
        <v>120205.882352941</v>
      </c>
      <c r="AA75">
        <v>2015</v>
      </c>
      <c r="AB75">
        <v>0.50853445995890401</v>
      </c>
      <c r="AC75">
        <v>0.13600000000000001</v>
      </c>
      <c r="AD75">
        <v>1.22673697088329</v>
      </c>
    </row>
    <row r="76" spans="1:30" x14ac:dyDescent="0.3">
      <c r="A76">
        <v>2016</v>
      </c>
      <c r="B76">
        <v>48</v>
      </c>
      <c r="C76" t="s">
        <v>58</v>
      </c>
      <c r="D76">
        <v>103355</v>
      </c>
      <c r="E76">
        <v>-7.3</v>
      </c>
      <c r="F76">
        <v>4554</v>
      </c>
      <c r="G76">
        <v>-9.1999999999999993</v>
      </c>
      <c r="H76">
        <v>106882</v>
      </c>
      <c r="I76">
        <v>27768</v>
      </c>
      <c r="J76">
        <v>21272.400000000001</v>
      </c>
      <c r="K76">
        <v>4.4000000000000004</v>
      </c>
      <c r="L76">
        <v>4.3</v>
      </c>
      <c r="M76">
        <v>16.399999999999999</v>
      </c>
      <c r="N76">
        <v>2.48</v>
      </c>
      <c r="O76">
        <v>-5.3</v>
      </c>
      <c r="P76">
        <v>-7.6</v>
      </c>
      <c r="Q76">
        <v>11.7</v>
      </c>
      <c r="R76">
        <v>-38.299999999999997</v>
      </c>
      <c r="S76">
        <v>-8.6</v>
      </c>
      <c r="T76">
        <v>-0.2</v>
      </c>
      <c r="U76">
        <v>287000</v>
      </c>
      <c r="V76" t="s">
        <v>59</v>
      </c>
      <c r="W76" t="s">
        <v>30</v>
      </c>
      <c r="Y76" t="s">
        <v>60</v>
      </c>
      <c r="Z76">
        <v>27768.2926829268</v>
      </c>
      <c r="AA76">
        <v>2015</v>
      </c>
      <c r="AB76">
        <v>0.96700099174790899</v>
      </c>
      <c r="AC76">
        <v>0.16400000000000001</v>
      </c>
      <c r="AD76">
        <v>3.84906631532718</v>
      </c>
    </row>
    <row r="77" spans="1:30" x14ac:dyDescent="0.3">
      <c r="A77">
        <v>2016</v>
      </c>
      <c r="B77">
        <v>9</v>
      </c>
      <c r="C77" t="s">
        <v>80</v>
      </c>
      <c r="D77">
        <v>233715</v>
      </c>
      <c r="E77">
        <v>27.9</v>
      </c>
      <c r="F77">
        <v>53394</v>
      </c>
      <c r="G77">
        <v>35.1</v>
      </c>
      <c r="H77">
        <v>290479</v>
      </c>
      <c r="I77">
        <v>119355</v>
      </c>
      <c r="J77">
        <v>604304.1</v>
      </c>
      <c r="K77">
        <v>22.8</v>
      </c>
      <c r="L77">
        <v>18.399999999999999</v>
      </c>
      <c r="M77">
        <v>44.7</v>
      </c>
      <c r="N77">
        <v>9.2200000000000006</v>
      </c>
      <c r="O77">
        <v>42.9</v>
      </c>
      <c r="P77">
        <v>33.6</v>
      </c>
      <c r="Q77">
        <v>45.2</v>
      </c>
      <c r="R77">
        <v>-3</v>
      </c>
      <c r="S77">
        <v>19.600000000000001</v>
      </c>
      <c r="T77">
        <v>27.1</v>
      </c>
      <c r="U77">
        <v>110000</v>
      </c>
      <c r="V77" t="s">
        <v>81</v>
      </c>
      <c r="W77" t="s">
        <v>30</v>
      </c>
      <c r="Y77" t="s">
        <v>82</v>
      </c>
      <c r="Z77">
        <v>119449.66442953001</v>
      </c>
      <c r="AA77">
        <v>2015</v>
      </c>
      <c r="AB77">
        <v>0.80458484090071902</v>
      </c>
      <c r="AC77">
        <v>0.44700000000000001</v>
      </c>
      <c r="AD77">
        <v>2.4318109338127898</v>
      </c>
    </row>
    <row r="78" spans="1:30" x14ac:dyDescent="0.3">
      <c r="A78">
        <v>2015</v>
      </c>
      <c r="B78">
        <v>300</v>
      </c>
      <c r="C78" t="s">
        <v>83</v>
      </c>
      <c r="D78">
        <v>38275</v>
      </c>
      <c r="E78">
        <v>2.9</v>
      </c>
      <c r="F78">
        <v>10955</v>
      </c>
      <c r="G78">
        <v>0.3</v>
      </c>
      <c r="H78">
        <v>90344</v>
      </c>
      <c r="I78">
        <v>46878</v>
      </c>
      <c r="J78">
        <v>188439.1</v>
      </c>
      <c r="K78">
        <v>28.621815806662301</v>
      </c>
      <c r="L78">
        <v>12.125874435490999</v>
      </c>
      <c r="M78">
        <v>23.369171039720101</v>
      </c>
      <c r="N78">
        <v>2.38</v>
      </c>
      <c r="O78">
        <v>5.3</v>
      </c>
      <c r="P78">
        <v>16.899999999999999</v>
      </c>
      <c r="Q78">
        <v>16.899999999999999</v>
      </c>
      <c r="R78">
        <v>19</v>
      </c>
      <c r="S78">
        <v>14</v>
      </c>
      <c r="T78">
        <v>13.2</v>
      </c>
      <c r="U78">
        <v>122000</v>
      </c>
      <c r="W78" t="s">
        <v>55</v>
      </c>
      <c r="Y78" t="s">
        <v>85</v>
      </c>
      <c r="Z78">
        <v>46878</v>
      </c>
      <c r="AA78">
        <v>2014</v>
      </c>
      <c r="AB78">
        <v>0.42365846099353599</v>
      </c>
      <c r="AC78">
        <v>0.23369999999999999</v>
      </c>
      <c r="AD78">
        <v>1.9272153248858701</v>
      </c>
    </row>
    <row r="79" spans="1:30" x14ac:dyDescent="0.3">
      <c r="A79">
        <v>2015</v>
      </c>
      <c r="B79">
        <v>124</v>
      </c>
      <c r="C79" t="s">
        <v>47</v>
      </c>
      <c r="D79">
        <v>71487</v>
      </c>
      <c r="E79">
        <v>17.899999999999999</v>
      </c>
      <c r="F79">
        <v>14444</v>
      </c>
      <c r="G79">
        <v>11.8</v>
      </c>
      <c r="H79">
        <v>131133</v>
      </c>
      <c r="I79">
        <v>104500</v>
      </c>
      <c r="J79">
        <v>377541.5</v>
      </c>
      <c r="K79">
        <v>20.205072250898802</v>
      </c>
      <c r="L79">
        <v>11.0147712627638</v>
      </c>
      <c r="M79">
        <v>13.822009569378</v>
      </c>
      <c r="N79">
        <v>21.02</v>
      </c>
      <c r="O79">
        <v>10.3</v>
      </c>
      <c r="P79">
        <v>15.5</v>
      </c>
      <c r="Q79">
        <v>39.9</v>
      </c>
      <c r="R79">
        <v>-5.3</v>
      </c>
      <c r="S79">
        <v>11.4</v>
      </c>
      <c r="T79">
        <v>18.600000000000001</v>
      </c>
      <c r="U79">
        <v>53600</v>
      </c>
      <c r="W79" t="s">
        <v>34</v>
      </c>
      <c r="Y79" t="s">
        <v>49</v>
      </c>
      <c r="Z79">
        <v>104500</v>
      </c>
      <c r="AA79">
        <v>2014</v>
      </c>
      <c r="AB79">
        <v>0.54514881837523699</v>
      </c>
      <c r="AC79">
        <v>0.13819999999999999</v>
      </c>
      <c r="AD79">
        <v>1.25486124401914</v>
      </c>
    </row>
    <row r="80" spans="1:30" x14ac:dyDescent="0.3">
      <c r="A80">
        <v>2015</v>
      </c>
      <c r="B80">
        <v>15</v>
      </c>
      <c r="C80" t="s">
        <v>80</v>
      </c>
      <c r="D80">
        <v>182795</v>
      </c>
      <c r="E80">
        <v>7</v>
      </c>
      <c r="F80">
        <v>39510</v>
      </c>
      <c r="G80">
        <v>6.7</v>
      </c>
      <c r="H80">
        <v>231839</v>
      </c>
      <c r="I80">
        <v>111547</v>
      </c>
      <c r="J80">
        <v>724773.4</v>
      </c>
      <c r="K80">
        <v>21.614376760852299</v>
      </c>
      <c r="L80">
        <v>17.0419989734255</v>
      </c>
      <c r="M80">
        <v>35.420047155010899</v>
      </c>
      <c r="N80">
        <v>6.45</v>
      </c>
      <c r="O80">
        <v>13.6</v>
      </c>
      <c r="P80">
        <v>48.3</v>
      </c>
      <c r="Q80">
        <v>63</v>
      </c>
      <c r="R80">
        <v>40.5</v>
      </c>
      <c r="S80">
        <v>31.1</v>
      </c>
      <c r="T80">
        <v>38.200000000000003</v>
      </c>
      <c r="U80">
        <v>97200</v>
      </c>
      <c r="W80" t="s">
        <v>30</v>
      </c>
      <c r="Y80" t="s">
        <v>82</v>
      </c>
      <c r="Z80">
        <v>111547</v>
      </c>
      <c r="AA80">
        <v>2014</v>
      </c>
      <c r="AB80">
        <v>0.78845664448173103</v>
      </c>
      <c r="AC80">
        <v>0.35420000000000001</v>
      </c>
      <c r="AD80">
        <v>2.0783974468161399</v>
      </c>
    </row>
    <row r="81" spans="1:30" x14ac:dyDescent="0.3">
      <c r="A81">
        <v>2014</v>
      </c>
      <c r="B81">
        <v>306</v>
      </c>
      <c r="C81" t="s">
        <v>83</v>
      </c>
      <c r="D81">
        <v>37180</v>
      </c>
      <c r="E81">
        <v>0.2</v>
      </c>
      <c r="F81">
        <v>10925</v>
      </c>
      <c r="G81">
        <v>9.5</v>
      </c>
      <c r="H81">
        <v>81812</v>
      </c>
      <c r="I81">
        <v>44648.001900000003</v>
      </c>
      <c r="J81">
        <v>182413.0019</v>
      </c>
      <c r="K81">
        <v>29.401900000000001</v>
      </c>
      <c r="L81">
        <v>13.401899999999999</v>
      </c>
      <c r="M81">
        <v>24.501899999999999</v>
      </c>
      <c r="N81">
        <v>2.2599999999999998</v>
      </c>
      <c r="O81">
        <v>15.3019</v>
      </c>
      <c r="P81">
        <v>16.3019</v>
      </c>
      <c r="Q81">
        <v>18.001899999999999</v>
      </c>
      <c r="R81">
        <v>15.7019</v>
      </c>
      <c r="S81">
        <v>17.601900000000001</v>
      </c>
      <c r="T81">
        <v>11.7019</v>
      </c>
      <c r="U81">
        <v>120000</v>
      </c>
      <c r="V81" t="s">
        <v>86</v>
      </c>
      <c r="W81" t="s">
        <v>55</v>
      </c>
      <c r="Y81" t="s">
        <v>85</v>
      </c>
      <c r="Z81">
        <v>44588.378860414901</v>
      </c>
      <c r="AA81">
        <v>2013</v>
      </c>
      <c r="AB81">
        <v>0.45445655894000903</v>
      </c>
      <c r="AC81">
        <v>0.245</v>
      </c>
      <c r="AD81">
        <v>1.83482786526316</v>
      </c>
    </row>
    <row r="82" spans="1:30" x14ac:dyDescent="0.3">
      <c r="A82">
        <v>2014</v>
      </c>
      <c r="B82">
        <v>15</v>
      </c>
      <c r="C82" t="s">
        <v>80</v>
      </c>
      <c r="D82">
        <v>170910</v>
      </c>
      <c r="E82">
        <v>9.1999999999999993</v>
      </c>
      <c r="F82">
        <v>37037</v>
      </c>
      <c r="G82">
        <v>-11.3</v>
      </c>
      <c r="H82">
        <v>207000</v>
      </c>
      <c r="I82">
        <v>123549.0019</v>
      </c>
      <c r="J82">
        <v>479069.4019</v>
      </c>
      <c r="K82">
        <v>21.701899999999998</v>
      </c>
      <c r="L82">
        <v>17.901900000000001</v>
      </c>
      <c r="M82">
        <v>30.001899999999999</v>
      </c>
      <c r="N82">
        <v>39.75</v>
      </c>
      <c r="O82">
        <v>-10.0001</v>
      </c>
      <c r="P82">
        <v>49.301900000000003</v>
      </c>
      <c r="Q82">
        <v>82.901899999999998</v>
      </c>
      <c r="R82">
        <v>8.0018999999999991</v>
      </c>
      <c r="S82">
        <v>46.701900000000002</v>
      </c>
      <c r="T82">
        <v>49.101900000000001</v>
      </c>
      <c r="U82">
        <v>84400</v>
      </c>
      <c r="V82" t="s">
        <v>87</v>
      </c>
      <c r="W82" t="s">
        <v>30</v>
      </c>
      <c r="Y82" t="s">
        <v>82</v>
      </c>
      <c r="Z82">
        <v>123448.848239611</v>
      </c>
      <c r="AA82">
        <v>2013</v>
      </c>
      <c r="AB82">
        <v>0.82565217391304302</v>
      </c>
      <c r="AC82">
        <v>0.3</v>
      </c>
      <c r="AD82">
        <v>1.6768078678078699</v>
      </c>
    </row>
    <row r="83" spans="1:30" x14ac:dyDescent="0.3">
      <c r="A83">
        <v>2013</v>
      </c>
      <c r="B83">
        <v>294</v>
      </c>
      <c r="C83" t="s">
        <v>83</v>
      </c>
      <c r="D83">
        <v>37121</v>
      </c>
      <c r="E83">
        <v>4.2</v>
      </c>
      <c r="F83">
        <v>9981</v>
      </c>
      <c r="G83">
        <v>16.8</v>
      </c>
      <c r="H83">
        <v>78327</v>
      </c>
      <c r="I83">
        <v>43688</v>
      </c>
      <c r="J83">
        <v>152295.6</v>
      </c>
      <c r="K83">
        <v>26.9</v>
      </c>
      <c r="L83">
        <v>12.742699999999999</v>
      </c>
      <c r="M83">
        <v>23</v>
      </c>
      <c r="N83">
        <v>1.96</v>
      </c>
      <c r="O83">
        <v>17.399999999999999</v>
      </c>
      <c r="P83">
        <v>19.3</v>
      </c>
      <c r="Q83">
        <v>17.5</v>
      </c>
      <c r="R83">
        <v>31.6</v>
      </c>
      <c r="S83">
        <v>8.9</v>
      </c>
      <c r="T83">
        <v>12.3</v>
      </c>
      <c r="U83">
        <v>115000</v>
      </c>
      <c r="V83" t="s">
        <v>86</v>
      </c>
      <c r="W83" t="s">
        <v>55</v>
      </c>
      <c r="Y83" t="s">
        <v>85</v>
      </c>
      <c r="Z83">
        <v>43395.652173912997</v>
      </c>
      <c r="AA83">
        <v>2012</v>
      </c>
      <c r="AB83">
        <v>0.47392342359595002</v>
      </c>
      <c r="AC83">
        <v>0.23</v>
      </c>
      <c r="AD83">
        <v>1.80495040577096</v>
      </c>
    </row>
    <row r="84" spans="1:30" x14ac:dyDescent="0.3">
      <c r="A84">
        <v>2013</v>
      </c>
      <c r="B84">
        <v>19</v>
      </c>
      <c r="C84" t="s">
        <v>80</v>
      </c>
      <c r="D84">
        <v>156508</v>
      </c>
      <c r="E84">
        <v>44.6</v>
      </c>
      <c r="F84">
        <v>41733</v>
      </c>
      <c r="G84">
        <v>61</v>
      </c>
      <c r="H84">
        <v>176064</v>
      </c>
      <c r="I84">
        <v>118210</v>
      </c>
      <c r="J84">
        <v>415683.3</v>
      </c>
      <c r="K84">
        <v>26.7</v>
      </c>
      <c r="L84">
        <v>23.703299999999999</v>
      </c>
      <c r="M84">
        <v>35</v>
      </c>
      <c r="N84">
        <v>44.15</v>
      </c>
      <c r="O84">
        <v>59.5</v>
      </c>
      <c r="P84">
        <v>62.2</v>
      </c>
      <c r="Q84">
        <v>85.8</v>
      </c>
      <c r="R84">
        <v>32.6</v>
      </c>
      <c r="S84">
        <v>22.1</v>
      </c>
      <c r="T84">
        <v>54</v>
      </c>
      <c r="U84">
        <v>76100</v>
      </c>
      <c r="V84" t="s">
        <v>87</v>
      </c>
      <c r="W84" t="s">
        <v>30</v>
      </c>
      <c r="Y84" t="s">
        <v>82</v>
      </c>
      <c r="Z84">
        <v>119237.142857143</v>
      </c>
      <c r="AA84">
        <v>2012</v>
      </c>
      <c r="AB84">
        <v>0.88892675390766995</v>
      </c>
      <c r="AC84">
        <v>0.35</v>
      </c>
      <c r="AD84">
        <v>1.47658687369707</v>
      </c>
    </row>
    <row r="85" spans="1:30" x14ac:dyDescent="0.3">
      <c r="A85">
        <v>2012</v>
      </c>
      <c r="B85">
        <v>280</v>
      </c>
      <c r="C85" t="s">
        <v>83</v>
      </c>
      <c r="D85">
        <v>37047</v>
      </c>
      <c r="E85">
        <v>-3.1</v>
      </c>
      <c r="F85">
        <v>8901</v>
      </c>
      <c r="G85">
        <v>-10.4</v>
      </c>
      <c r="H85">
        <v>112180</v>
      </c>
      <c r="I85">
        <v>47289</v>
      </c>
      <c r="J85">
        <v>183556.1</v>
      </c>
      <c r="K85">
        <v>24</v>
      </c>
      <c r="L85">
        <v>7.9</v>
      </c>
      <c r="M85">
        <v>18.8</v>
      </c>
      <c r="N85">
        <v>2.0699999999999998</v>
      </c>
      <c r="O85">
        <v>-6.3</v>
      </c>
      <c r="P85">
        <v>4.4000000000000004</v>
      </c>
      <c r="Q85">
        <v>12.5</v>
      </c>
      <c r="R85">
        <v>6.9</v>
      </c>
      <c r="S85">
        <v>9.8000000000000007</v>
      </c>
      <c r="T85">
        <v>9.3000000000000007</v>
      </c>
      <c r="U85">
        <v>136000</v>
      </c>
      <c r="V85" t="s">
        <v>86</v>
      </c>
      <c r="W85" t="s">
        <v>55</v>
      </c>
      <c r="Y85" t="s">
        <v>85</v>
      </c>
      <c r="Z85">
        <v>47345.744680851101</v>
      </c>
      <c r="AA85">
        <v>2011</v>
      </c>
      <c r="AB85">
        <v>0.33024603316099099</v>
      </c>
      <c r="AC85">
        <v>0.188</v>
      </c>
      <c r="AD85">
        <v>2.3693787214919699</v>
      </c>
    </row>
    <row r="86" spans="1:30" x14ac:dyDescent="0.3">
      <c r="A86">
        <v>2012</v>
      </c>
      <c r="B86">
        <v>194</v>
      </c>
      <c r="C86" t="s">
        <v>58</v>
      </c>
      <c r="D86">
        <v>48238</v>
      </c>
      <c r="E86">
        <v>-53.3</v>
      </c>
      <c r="F86">
        <v>2496</v>
      </c>
      <c r="G86">
        <v>-45.2</v>
      </c>
      <c r="H86">
        <v>29010</v>
      </c>
      <c r="I86">
        <v>-3889</v>
      </c>
      <c r="J86">
        <v>30231.200000000001</v>
      </c>
      <c r="K86">
        <v>5.2</v>
      </c>
      <c r="L86">
        <v>8.6</v>
      </c>
      <c r="M86">
        <v>0</v>
      </c>
      <c r="N86">
        <v>1.43</v>
      </c>
      <c r="O86">
        <v>-42.3</v>
      </c>
      <c r="P86">
        <v>-15.5</v>
      </c>
      <c r="Q86">
        <v>-4.0999999999999996</v>
      </c>
      <c r="R86">
        <v>30.3</v>
      </c>
      <c r="S86">
        <v>6.1</v>
      </c>
      <c r="T86">
        <v>-1.3</v>
      </c>
      <c r="U86">
        <v>49000</v>
      </c>
      <c r="V86" t="s">
        <v>72</v>
      </c>
      <c r="W86" t="s">
        <v>30</v>
      </c>
      <c r="Y86" t="s">
        <v>60</v>
      </c>
      <c r="Z86" t="s">
        <v>329</v>
      </c>
      <c r="AA86">
        <v>2011</v>
      </c>
      <c r="AB86">
        <v>1.6628059289899999</v>
      </c>
      <c r="AC86">
        <v>0</v>
      </c>
      <c r="AD86">
        <v>0</v>
      </c>
    </row>
    <row r="87" spans="1:30" x14ac:dyDescent="0.3">
      <c r="A87">
        <v>2012</v>
      </c>
      <c r="B87">
        <v>65</v>
      </c>
      <c r="C87" t="s">
        <v>77</v>
      </c>
      <c r="D87">
        <v>90272</v>
      </c>
      <c r="E87">
        <v>20.399999999999999</v>
      </c>
      <c r="F87">
        <v>19478</v>
      </c>
      <c r="G87">
        <v>19.100000000000001</v>
      </c>
      <c r="H87">
        <v>167497</v>
      </c>
      <c r="I87">
        <v>139036</v>
      </c>
      <c r="J87">
        <v>579426.1</v>
      </c>
      <c r="K87">
        <v>21.6</v>
      </c>
      <c r="L87">
        <v>11.6</v>
      </c>
      <c r="M87">
        <v>14</v>
      </c>
      <c r="N87">
        <v>27.85</v>
      </c>
      <c r="O87">
        <v>21.9</v>
      </c>
      <c r="P87">
        <v>13.4</v>
      </c>
      <c r="Q87">
        <v>18.8</v>
      </c>
      <c r="R87">
        <v>1.9</v>
      </c>
      <c r="S87">
        <v>19.7</v>
      </c>
      <c r="T87">
        <v>13.2</v>
      </c>
      <c r="U87">
        <v>72053</v>
      </c>
      <c r="V87" t="s">
        <v>88</v>
      </c>
      <c r="W87" t="s">
        <v>34</v>
      </c>
      <c r="Y87" t="s">
        <v>79</v>
      </c>
      <c r="Z87">
        <v>139128.57142857101</v>
      </c>
      <c r="AA87">
        <v>2011</v>
      </c>
      <c r="AB87">
        <v>0.53894696621432003</v>
      </c>
      <c r="AC87">
        <v>0.14000000000000001</v>
      </c>
      <c r="AD87">
        <v>1.2039008111715801</v>
      </c>
    </row>
    <row r="88" spans="1:30" x14ac:dyDescent="0.3">
      <c r="A88">
        <v>2012</v>
      </c>
      <c r="B88">
        <v>9</v>
      </c>
      <c r="C88" t="s">
        <v>80</v>
      </c>
      <c r="D88">
        <v>215639</v>
      </c>
      <c r="E88">
        <v>-7.7</v>
      </c>
      <c r="F88">
        <v>45687</v>
      </c>
      <c r="G88">
        <v>-14.4</v>
      </c>
      <c r="H88">
        <v>321686</v>
      </c>
      <c r="I88">
        <v>128249</v>
      </c>
      <c r="J88">
        <v>753717.9</v>
      </c>
      <c r="K88">
        <v>21.2</v>
      </c>
      <c r="L88">
        <v>14.2</v>
      </c>
      <c r="M88">
        <v>35.6</v>
      </c>
      <c r="N88">
        <v>8.31</v>
      </c>
      <c r="O88">
        <v>-9.9</v>
      </c>
      <c r="P88">
        <v>16</v>
      </c>
      <c r="Q88">
        <v>38.299999999999997</v>
      </c>
      <c r="R88">
        <v>12.5</v>
      </c>
      <c r="S88">
        <v>17</v>
      </c>
      <c r="T88">
        <v>26.5</v>
      </c>
      <c r="U88">
        <v>116000</v>
      </c>
      <c r="V88" t="s">
        <v>87</v>
      </c>
      <c r="W88" t="s">
        <v>30</v>
      </c>
      <c r="Y88" t="s">
        <v>82</v>
      </c>
      <c r="Z88">
        <v>128334.269662921</v>
      </c>
      <c r="AA88">
        <v>2011</v>
      </c>
      <c r="AB88">
        <v>0.67034002101428103</v>
      </c>
      <c r="AC88">
        <v>0.35599999999999998</v>
      </c>
      <c r="AD88">
        <v>2.5066258673145501</v>
      </c>
    </row>
    <row r="89" spans="1:30" x14ac:dyDescent="0.3">
      <c r="A89">
        <v>2023</v>
      </c>
      <c r="B89">
        <v>425</v>
      </c>
      <c r="C89" t="s">
        <v>89</v>
      </c>
      <c r="D89">
        <v>35466</v>
      </c>
      <c r="E89">
        <v>3.1</v>
      </c>
      <c r="F89">
        <v>4966</v>
      </c>
      <c r="G89">
        <v>-10.4</v>
      </c>
      <c r="H89">
        <v>62275</v>
      </c>
      <c r="I89">
        <v>16697</v>
      </c>
      <c r="J89">
        <v>127695</v>
      </c>
      <c r="K89">
        <v>14</v>
      </c>
      <c r="L89">
        <v>8</v>
      </c>
      <c r="M89">
        <v>29.7</v>
      </c>
      <c r="N89">
        <v>7.27</v>
      </c>
      <c r="O89">
        <v>-8.1</v>
      </c>
      <c r="P89">
        <v>27.7</v>
      </c>
      <c r="Q89">
        <v>7</v>
      </c>
      <c r="R89">
        <v>4.9000000000000004</v>
      </c>
      <c r="S89">
        <v>10</v>
      </c>
      <c r="T89">
        <v>15.8</v>
      </c>
      <c r="U89">
        <v>97000</v>
      </c>
      <c r="V89" t="s">
        <v>91</v>
      </c>
      <c r="W89" t="s">
        <v>90</v>
      </c>
      <c r="Y89" t="s">
        <v>92</v>
      </c>
      <c r="Z89">
        <v>16720.538720538701</v>
      </c>
      <c r="AA89">
        <v>2022</v>
      </c>
      <c r="AB89">
        <v>0.56950622240064197</v>
      </c>
      <c r="AC89">
        <v>0.29699999999999999</v>
      </c>
      <c r="AD89">
        <v>3.7244613370922299</v>
      </c>
    </row>
    <row r="90" spans="1:30" x14ac:dyDescent="0.3">
      <c r="A90">
        <v>2023</v>
      </c>
      <c r="B90">
        <v>352</v>
      </c>
      <c r="C90" t="s">
        <v>83</v>
      </c>
      <c r="D90">
        <v>42440</v>
      </c>
      <c r="E90">
        <v>4.8</v>
      </c>
      <c r="F90">
        <v>6717</v>
      </c>
      <c r="G90">
        <v>-51.1</v>
      </c>
      <c r="H90">
        <v>109297</v>
      </c>
      <c r="I90">
        <v>-6220</v>
      </c>
      <c r="J90">
        <v>250865.6</v>
      </c>
      <c r="K90">
        <v>15.8</v>
      </c>
      <c r="L90">
        <v>6.1</v>
      </c>
      <c r="M90">
        <v>0</v>
      </c>
      <c r="N90">
        <v>2.41</v>
      </c>
      <c r="O90">
        <v>-47</v>
      </c>
      <c r="P90">
        <v>1.7</v>
      </c>
      <c r="Q90">
        <v>2.1</v>
      </c>
      <c r="R90">
        <v>-4.7</v>
      </c>
      <c r="S90">
        <v>13.4</v>
      </c>
      <c r="T90">
        <v>11</v>
      </c>
      <c r="U90">
        <v>143000</v>
      </c>
      <c r="V90" t="s">
        <v>84</v>
      </c>
      <c r="W90" t="s">
        <v>55</v>
      </c>
      <c r="Y90" t="s">
        <v>85</v>
      </c>
      <c r="Z90" t="s">
        <v>329</v>
      </c>
      <c r="AA90">
        <v>2022</v>
      </c>
      <c r="AB90">
        <v>0.388299770350513</v>
      </c>
      <c r="AC90">
        <v>0</v>
      </c>
      <c r="AD90">
        <v>0</v>
      </c>
    </row>
    <row r="91" spans="1:30" x14ac:dyDescent="0.3">
      <c r="A91">
        <v>2023</v>
      </c>
      <c r="B91">
        <v>77</v>
      </c>
      <c r="C91" t="s">
        <v>68</v>
      </c>
      <c r="D91">
        <v>121427</v>
      </c>
      <c r="E91">
        <v>4.3</v>
      </c>
      <c r="F91">
        <v>5370</v>
      </c>
      <c r="G91">
        <v>-62.1</v>
      </c>
      <c r="H91">
        <v>257275</v>
      </c>
      <c r="I91">
        <v>80943</v>
      </c>
      <c r="J91">
        <v>159830.70000000001</v>
      </c>
      <c r="K91">
        <v>4.4000000000000004</v>
      </c>
      <c r="L91">
        <v>2.1</v>
      </c>
      <c r="M91">
        <v>6.6</v>
      </c>
      <c r="N91">
        <v>1.21</v>
      </c>
      <c r="O91">
        <v>-60.2</v>
      </c>
      <c r="P91">
        <v>-23.9</v>
      </c>
      <c r="Q91">
        <v>0.6</v>
      </c>
      <c r="R91">
        <v>-28.7</v>
      </c>
      <c r="S91">
        <v>-0.6</v>
      </c>
      <c r="T91">
        <v>8.5</v>
      </c>
      <c r="U91">
        <v>186000</v>
      </c>
      <c r="V91" t="s">
        <v>93</v>
      </c>
      <c r="W91" t="s">
        <v>44</v>
      </c>
      <c r="Y91" t="s">
        <v>94</v>
      </c>
      <c r="Z91">
        <v>81363.636363636397</v>
      </c>
      <c r="AA91">
        <v>2022</v>
      </c>
      <c r="AB91">
        <v>0.47197356913808203</v>
      </c>
      <c r="AC91">
        <v>6.6000000000000003E-2</v>
      </c>
      <c r="AD91">
        <v>3.16203910614525</v>
      </c>
    </row>
    <row r="92" spans="1:30" x14ac:dyDescent="0.3">
      <c r="A92">
        <v>2023</v>
      </c>
      <c r="B92">
        <v>30</v>
      </c>
      <c r="C92" t="s">
        <v>95</v>
      </c>
      <c r="D92">
        <v>198270</v>
      </c>
      <c r="E92">
        <v>18</v>
      </c>
      <c r="F92">
        <v>72738</v>
      </c>
      <c r="G92">
        <v>18.7</v>
      </c>
      <c r="H92">
        <v>364840</v>
      </c>
      <c r="I92">
        <v>166542</v>
      </c>
      <c r="J92">
        <v>2146048.6</v>
      </c>
      <c r="K92">
        <v>36.700000000000003</v>
      </c>
      <c r="L92">
        <v>19.899999999999999</v>
      </c>
      <c r="M92">
        <v>43.7</v>
      </c>
      <c r="N92">
        <v>9.65</v>
      </c>
      <c r="O92">
        <v>19.899999999999999</v>
      </c>
      <c r="P92">
        <v>28.9</v>
      </c>
      <c r="Q92">
        <v>17</v>
      </c>
      <c r="R92">
        <v>-28</v>
      </c>
      <c r="S92">
        <v>24.4</v>
      </c>
      <c r="T92">
        <v>27</v>
      </c>
      <c r="U92">
        <v>221000</v>
      </c>
      <c r="V92" t="s">
        <v>96</v>
      </c>
      <c r="W92" t="s">
        <v>55</v>
      </c>
      <c r="Y92" t="s">
        <v>97</v>
      </c>
      <c r="Z92">
        <v>166448.51258581199</v>
      </c>
      <c r="AA92">
        <v>2022</v>
      </c>
      <c r="AB92">
        <v>0.54344370134853603</v>
      </c>
      <c r="AC92">
        <v>0.437</v>
      </c>
      <c r="AD92">
        <v>2.1919090434160999</v>
      </c>
    </row>
    <row r="93" spans="1:30" x14ac:dyDescent="0.3">
      <c r="A93">
        <v>2022</v>
      </c>
      <c r="B93">
        <v>432</v>
      </c>
      <c r="C93" t="s">
        <v>98</v>
      </c>
      <c r="D93">
        <v>33197.199999999997</v>
      </c>
      <c r="E93">
        <v>65.2</v>
      </c>
      <c r="F93">
        <v>1151.3</v>
      </c>
      <c r="G93">
        <v>54.1</v>
      </c>
      <c r="H93">
        <v>26338.3</v>
      </c>
      <c r="I93">
        <v>5235.3999999999996</v>
      </c>
      <c r="J93">
        <v>0</v>
      </c>
      <c r="K93">
        <v>3.5</v>
      </c>
      <c r="L93">
        <v>4.4000000000000004</v>
      </c>
      <c r="M93">
        <v>22</v>
      </c>
      <c r="N93">
        <v>6.97</v>
      </c>
      <c r="O93">
        <v>54.2</v>
      </c>
      <c r="P93">
        <v>16.399999999999999</v>
      </c>
      <c r="Q93">
        <v>14.6</v>
      </c>
      <c r="R93">
        <v>37.9</v>
      </c>
      <c r="S93">
        <v>15.1</v>
      </c>
      <c r="T93">
        <v>15.6</v>
      </c>
      <c r="U93">
        <v>32647</v>
      </c>
      <c r="V93" t="s">
        <v>100</v>
      </c>
      <c r="W93" t="s">
        <v>99</v>
      </c>
      <c r="Y93" t="s">
        <v>101</v>
      </c>
      <c r="Z93">
        <v>5233.1818181818198</v>
      </c>
      <c r="AA93">
        <v>2021</v>
      </c>
      <c r="AB93">
        <v>1.26041544063208</v>
      </c>
      <c r="AC93">
        <v>0.22</v>
      </c>
      <c r="AD93">
        <v>5.0329418917745201</v>
      </c>
    </row>
    <row r="94" spans="1:30" x14ac:dyDescent="0.3">
      <c r="A94">
        <v>2022</v>
      </c>
      <c r="B94">
        <v>417</v>
      </c>
      <c r="C94" t="s">
        <v>89</v>
      </c>
      <c r="D94">
        <v>34392</v>
      </c>
      <c r="E94">
        <v>5.4</v>
      </c>
      <c r="F94">
        <v>5542</v>
      </c>
      <c r="G94">
        <v>16</v>
      </c>
      <c r="H94">
        <v>64470</v>
      </c>
      <c r="I94">
        <v>18569</v>
      </c>
      <c r="J94">
        <v>133381</v>
      </c>
      <c r="K94">
        <v>16.100000000000001</v>
      </c>
      <c r="L94">
        <v>8.6</v>
      </c>
      <c r="M94">
        <v>29.8</v>
      </c>
      <c r="N94">
        <v>7.91</v>
      </c>
      <c r="O94">
        <v>17.7</v>
      </c>
      <c r="P94">
        <v>5</v>
      </c>
      <c r="Q94">
        <v>11.7</v>
      </c>
      <c r="R94">
        <v>-0.3</v>
      </c>
      <c r="S94">
        <v>15.7</v>
      </c>
      <c r="T94">
        <v>17.3</v>
      </c>
      <c r="U94">
        <v>99000</v>
      </c>
      <c r="V94" t="s">
        <v>91</v>
      </c>
      <c r="W94" t="s">
        <v>90</v>
      </c>
      <c r="Y94" t="s">
        <v>92</v>
      </c>
      <c r="Z94">
        <v>18597.315436241599</v>
      </c>
      <c r="AA94">
        <v>2021</v>
      </c>
      <c r="AB94">
        <v>0.53345742205677105</v>
      </c>
      <c r="AC94">
        <v>0.29799999999999999</v>
      </c>
      <c r="AD94">
        <v>3.46662937567665</v>
      </c>
    </row>
    <row r="95" spans="1:30" x14ac:dyDescent="0.3">
      <c r="A95">
        <v>2022</v>
      </c>
      <c r="B95">
        <v>348</v>
      </c>
      <c r="C95" t="s">
        <v>83</v>
      </c>
      <c r="D95">
        <v>40479</v>
      </c>
      <c r="E95">
        <v>3.6</v>
      </c>
      <c r="F95">
        <v>13746</v>
      </c>
      <c r="G95">
        <v>35.6</v>
      </c>
      <c r="H95">
        <v>131107</v>
      </c>
      <c r="I95">
        <v>5238</v>
      </c>
      <c r="J95">
        <v>220736.6</v>
      </c>
      <c r="K95">
        <v>34</v>
      </c>
      <c r="L95">
        <v>10.5</v>
      </c>
      <c r="M95">
        <v>262.39999999999998</v>
      </c>
      <c r="N95">
        <v>4.55</v>
      </c>
      <c r="O95">
        <v>47.7</v>
      </c>
      <c r="P95">
        <v>17.100000000000001</v>
      </c>
      <c r="Q95">
        <v>10.5</v>
      </c>
      <c r="R95">
        <v>36.9</v>
      </c>
      <c r="S95">
        <v>19.7</v>
      </c>
      <c r="T95">
        <v>14.6</v>
      </c>
      <c r="U95">
        <v>132000</v>
      </c>
      <c r="V95" t="s">
        <v>84</v>
      </c>
      <c r="W95" t="s">
        <v>55</v>
      </c>
      <c r="Y95" t="s">
        <v>85</v>
      </c>
      <c r="Z95">
        <v>5238.5670731707296</v>
      </c>
      <c r="AA95">
        <v>2021</v>
      </c>
      <c r="AB95">
        <v>0.308747816668828</v>
      </c>
      <c r="AC95">
        <v>2.6240000000000001</v>
      </c>
      <c r="AD95">
        <v>25.027263785828598</v>
      </c>
    </row>
    <row r="96" spans="1:30" x14ac:dyDescent="0.3">
      <c r="A96">
        <v>2022</v>
      </c>
      <c r="B96">
        <v>73</v>
      </c>
      <c r="C96" t="s">
        <v>68</v>
      </c>
      <c r="D96">
        <v>116385</v>
      </c>
      <c r="E96">
        <v>12.4</v>
      </c>
      <c r="F96">
        <v>14159</v>
      </c>
      <c r="G96">
        <v>34.4</v>
      </c>
      <c r="H96">
        <v>275905</v>
      </c>
      <c r="I96">
        <v>96092</v>
      </c>
      <c r="J96">
        <v>212245.8</v>
      </c>
      <c r="K96">
        <v>12.2</v>
      </c>
      <c r="L96">
        <v>5.0999999999999996</v>
      </c>
      <c r="M96">
        <v>14.7</v>
      </c>
      <c r="N96">
        <v>3.04</v>
      </c>
      <c r="O96">
        <v>33.299999999999997</v>
      </c>
      <c r="P96">
        <v>11.2</v>
      </c>
      <c r="Q96">
        <v>15</v>
      </c>
      <c r="R96">
        <v>-2.2000000000000002</v>
      </c>
      <c r="S96">
        <v>9.9</v>
      </c>
      <c r="T96">
        <v>17.7</v>
      </c>
      <c r="U96">
        <v>189000</v>
      </c>
      <c r="V96" t="s">
        <v>93</v>
      </c>
      <c r="W96" t="s">
        <v>44</v>
      </c>
      <c r="Y96" t="s">
        <v>94</v>
      </c>
      <c r="Z96">
        <v>96319.727891156494</v>
      </c>
      <c r="AA96">
        <v>2021</v>
      </c>
      <c r="AB96">
        <v>0.42182997770971897</v>
      </c>
      <c r="AC96">
        <v>0.14699999999999999</v>
      </c>
      <c r="AD96">
        <v>2.8644703015749702</v>
      </c>
    </row>
    <row r="97" spans="1:30" x14ac:dyDescent="0.3">
      <c r="A97">
        <v>2022</v>
      </c>
      <c r="B97">
        <v>2</v>
      </c>
      <c r="C97" t="s">
        <v>64</v>
      </c>
      <c r="D97">
        <v>469822</v>
      </c>
      <c r="E97">
        <v>21.7</v>
      </c>
      <c r="F97">
        <v>33364</v>
      </c>
      <c r="G97">
        <v>56.4</v>
      </c>
      <c r="H97">
        <v>420549</v>
      </c>
      <c r="I97">
        <v>138245</v>
      </c>
      <c r="J97">
        <v>1658807.3</v>
      </c>
      <c r="K97">
        <v>7.1</v>
      </c>
      <c r="L97">
        <v>7.9</v>
      </c>
      <c r="M97">
        <v>24.1</v>
      </c>
      <c r="N97">
        <v>64.81</v>
      </c>
      <c r="O97">
        <v>54.9</v>
      </c>
      <c r="P97">
        <v>67.599999999999994</v>
      </c>
      <c r="Q97">
        <v>47.1</v>
      </c>
      <c r="R97">
        <v>2.4</v>
      </c>
      <c r="S97">
        <v>34.799999999999997</v>
      </c>
      <c r="T97">
        <v>34.4</v>
      </c>
      <c r="U97">
        <v>1608000</v>
      </c>
      <c r="V97" t="s">
        <v>65</v>
      </c>
      <c r="W97" t="s">
        <v>34</v>
      </c>
      <c r="Y97" t="s">
        <v>66</v>
      </c>
      <c r="Z97">
        <v>138439.834024896</v>
      </c>
      <c r="AA97">
        <v>2021</v>
      </c>
      <c r="AB97">
        <v>1.11716351721203</v>
      </c>
      <c r="AC97">
        <v>0.24099999999999999</v>
      </c>
      <c r="AD97">
        <v>3.0377745174439501</v>
      </c>
    </row>
    <row r="98" spans="1:30" x14ac:dyDescent="0.3">
      <c r="A98">
        <v>2022</v>
      </c>
      <c r="B98">
        <v>33</v>
      </c>
      <c r="C98" t="s">
        <v>95</v>
      </c>
      <c r="D98">
        <v>168088</v>
      </c>
      <c r="E98">
        <v>17.5</v>
      </c>
      <c r="F98">
        <v>61271</v>
      </c>
      <c r="G98">
        <v>38.4</v>
      </c>
      <c r="H98">
        <v>333779</v>
      </c>
      <c r="I98">
        <v>141988</v>
      </c>
      <c r="J98">
        <v>2311358.9</v>
      </c>
      <c r="K98">
        <v>36.5</v>
      </c>
      <c r="L98">
        <v>18.399999999999999</v>
      </c>
      <c r="M98">
        <v>43.2</v>
      </c>
      <c r="N98">
        <v>8.0500000000000007</v>
      </c>
      <c r="O98">
        <v>39.799999999999997</v>
      </c>
      <c r="P98">
        <v>30.8</v>
      </c>
      <c r="Q98">
        <v>11.6</v>
      </c>
      <c r="R98">
        <v>52.5</v>
      </c>
      <c r="S98">
        <v>42.2</v>
      </c>
      <c r="T98">
        <v>31.9</v>
      </c>
      <c r="U98">
        <v>181000</v>
      </c>
      <c r="V98" t="s">
        <v>96</v>
      </c>
      <c r="W98" t="s">
        <v>55</v>
      </c>
      <c r="Y98" t="s">
        <v>97</v>
      </c>
      <c r="Z98">
        <v>141831.01851851901</v>
      </c>
      <c r="AA98">
        <v>2021</v>
      </c>
      <c r="AB98">
        <v>0.50359069923512301</v>
      </c>
      <c r="AC98">
        <v>0.432</v>
      </c>
      <c r="AD98">
        <v>2.3533568572407799</v>
      </c>
    </row>
    <row r="99" spans="1:30" x14ac:dyDescent="0.3">
      <c r="A99">
        <v>2021</v>
      </c>
      <c r="B99">
        <v>374</v>
      </c>
      <c r="C99" t="s">
        <v>89</v>
      </c>
      <c r="D99">
        <v>32637</v>
      </c>
      <c r="E99">
        <v>-11.1</v>
      </c>
      <c r="F99">
        <v>4779</v>
      </c>
      <c r="G99">
        <v>-22.2</v>
      </c>
      <c r="H99">
        <v>64586</v>
      </c>
      <c r="I99">
        <v>17549</v>
      </c>
      <c r="J99">
        <v>150972.4</v>
      </c>
      <c r="K99">
        <v>14.6</v>
      </c>
      <c r="L99">
        <v>7.4</v>
      </c>
      <c r="M99">
        <v>27.2</v>
      </c>
      <c r="N99">
        <v>6.72</v>
      </c>
      <c r="O99">
        <v>-20.100000000000001</v>
      </c>
      <c r="P99">
        <v>2.2000000000000002</v>
      </c>
      <c r="Q99">
        <v>10</v>
      </c>
      <c r="R99">
        <v>22.7</v>
      </c>
      <c r="S99">
        <v>19</v>
      </c>
      <c r="T99">
        <v>17.899999999999999</v>
      </c>
      <c r="U99">
        <v>103000</v>
      </c>
      <c r="V99" t="s">
        <v>91</v>
      </c>
      <c r="W99" t="s">
        <v>90</v>
      </c>
      <c r="Y99" t="s">
        <v>92</v>
      </c>
      <c r="Z99">
        <v>17569.852941176501</v>
      </c>
      <c r="AA99">
        <v>2020</v>
      </c>
      <c r="AB99">
        <v>0.50532623169107904</v>
      </c>
      <c r="AC99">
        <v>0.27200000000000002</v>
      </c>
      <c r="AD99">
        <v>3.6759556392550699</v>
      </c>
    </row>
    <row r="100" spans="1:30" x14ac:dyDescent="0.3">
      <c r="A100">
        <v>2021</v>
      </c>
      <c r="B100">
        <v>304</v>
      </c>
      <c r="C100" t="s">
        <v>83</v>
      </c>
      <c r="D100">
        <v>39068</v>
      </c>
      <c r="E100">
        <v>-1.1000000000000001</v>
      </c>
      <c r="F100">
        <v>10135</v>
      </c>
      <c r="G100">
        <v>-8.6</v>
      </c>
      <c r="H100">
        <v>115438</v>
      </c>
      <c r="I100">
        <v>12074</v>
      </c>
      <c r="J100">
        <v>202337.7</v>
      </c>
      <c r="K100">
        <v>25.9</v>
      </c>
      <c r="L100">
        <v>8.8000000000000007</v>
      </c>
      <c r="M100">
        <v>83.9</v>
      </c>
      <c r="N100">
        <v>3.08</v>
      </c>
      <c r="O100">
        <v>3.7</v>
      </c>
      <c r="P100">
        <v>6.9</v>
      </c>
      <c r="Q100">
        <v>9.8000000000000007</v>
      </c>
      <c r="R100">
        <v>24.2</v>
      </c>
      <c r="S100">
        <v>13.9</v>
      </c>
      <c r="T100">
        <v>9</v>
      </c>
      <c r="U100">
        <v>135000</v>
      </c>
      <c r="V100" t="s">
        <v>84</v>
      </c>
      <c r="W100" t="s">
        <v>55</v>
      </c>
      <c r="Y100" t="s">
        <v>85</v>
      </c>
      <c r="Z100">
        <v>12079.8569725864</v>
      </c>
      <c r="AA100">
        <v>2020</v>
      </c>
      <c r="AB100">
        <v>0.33843275178017601</v>
      </c>
      <c r="AC100">
        <v>0.83899999999999997</v>
      </c>
      <c r="AD100">
        <v>9.5562389738529898</v>
      </c>
    </row>
    <row r="101" spans="1:30" x14ac:dyDescent="0.3">
      <c r="A101">
        <v>2021</v>
      </c>
      <c r="B101">
        <v>64</v>
      </c>
      <c r="C101" t="s">
        <v>68</v>
      </c>
      <c r="D101">
        <v>103564</v>
      </c>
      <c r="E101">
        <v>-4.9000000000000004</v>
      </c>
      <c r="F101">
        <v>10534</v>
      </c>
      <c r="G101">
        <v>-19.3</v>
      </c>
      <c r="H101">
        <v>273869</v>
      </c>
      <c r="I101">
        <v>90323</v>
      </c>
      <c r="J101">
        <v>247859.3</v>
      </c>
      <c r="K101">
        <v>10.199999999999999</v>
      </c>
      <c r="L101">
        <v>3.8</v>
      </c>
      <c r="M101">
        <v>11.7</v>
      </c>
      <c r="N101">
        <v>2.2799999999999998</v>
      </c>
      <c r="O101">
        <v>-19.399999999999999</v>
      </c>
      <c r="P101">
        <v>7.1</v>
      </c>
      <c r="Q101">
        <v>13.5</v>
      </c>
      <c r="R101">
        <v>19.100000000000001</v>
      </c>
      <c r="S101">
        <v>15.3</v>
      </c>
      <c r="T101">
        <v>19</v>
      </c>
      <c r="U101">
        <v>168000</v>
      </c>
      <c r="V101" t="s">
        <v>93</v>
      </c>
      <c r="W101" t="s">
        <v>44</v>
      </c>
      <c r="Y101" t="s">
        <v>102</v>
      </c>
      <c r="Z101">
        <v>90034.188034188002</v>
      </c>
      <c r="AA101">
        <v>2020</v>
      </c>
      <c r="AB101">
        <v>0.37815159802679399</v>
      </c>
      <c r="AC101">
        <v>0.11700000000000001</v>
      </c>
      <c r="AD101">
        <v>3.0418333966204698</v>
      </c>
    </row>
    <row r="102" spans="1:30" x14ac:dyDescent="0.3">
      <c r="A102">
        <v>2021</v>
      </c>
      <c r="B102">
        <v>33</v>
      </c>
      <c r="C102" t="s">
        <v>95</v>
      </c>
      <c r="D102">
        <v>143015</v>
      </c>
      <c r="E102">
        <v>13.6</v>
      </c>
      <c r="F102">
        <v>44281</v>
      </c>
      <c r="G102">
        <v>12.8</v>
      </c>
      <c r="H102">
        <v>301311</v>
      </c>
      <c r="I102">
        <v>118304</v>
      </c>
      <c r="J102">
        <v>1778228.2</v>
      </c>
      <c r="K102">
        <v>31</v>
      </c>
      <c r="L102">
        <v>14.7</v>
      </c>
      <c r="M102">
        <v>37.4</v>
      </c>
      <c r="N102">
        <v>5.76</v>
      </c>
      <c r="O102">
        <v>13.8</v>
      </c>
      <c r="P102">
        <v>31.2</v>
      </c>
      <c r="Q102">
        <v>10.6</v>
      </c>
      <c r="R102">
        <v>42.7</v>
      </c>
      <c r="S102">
        <v>34.4</v>
      </c>
      <c r="T102">
        <v>25.9</v>
      </c>
      <c r="U102">
        <v>163000</v>
      </c>
      <c r="V102" t="s">
        <v>96</v>
      </c>
      <c r="W102" t="s">
        <v>55</v>
      </c>
      <c r="Y102" t="s">
        <v>97</v>
      </c>
      <c r="Z102">
        <v>118398.395721925</v>
      </c>
      <c r="AA102">
        <v>2020</v>
      </c>
      <c r="AB102">
        <v>0.47464247903329099</v>
      </c>
      <c r="AC102">
        <v>0.374</v>
      </c>
      <c r="AD102">
        <v>2.5448909012894898</v>
      </c>
    </row>
    <row r="103" spans="1:30" x14ac:dyDescent="0.3">
      <c r="A103">
        <v>2021</v>
      </c>
      <c r="B103">
        <v>3</v>
      </c>
      <c r="C103" t="s">
        <v>64</v>
      </c>
      <c r="D103">
        <v>386064</v>
      </c>
      <c r="E103">
        <v>37.6</v>
      </c>
      <c r="F103">
        <v>21331</v>
      </c>
      <c r="G103">
        <v>84.1</v>
      </c>
      <c r="H103">
        <v>321195</v>
      </c>
      <c r="I103">
        <v>93404</v>
      </c>
      <c r="J103">
        <v>1558069.6</v>
      </c>
      <c r="K103">
        <v>5.5</v>
      </c>
      <c r="L103">
        <v>6.6</v>
      </c>
      <c r="M103">
        <v>22.8</v>
      </c>
      <c r="N103">
        <v>41.83</v>
      </c>
      <c r="O103">
        <v>81.8</v>
      </c>
      <c r="P103">
        <v>101.8</v>
      </c>
      <c r="Q103">
        <v>32.4</v>
      </c>
      <c r="R103">
        <v>76.3</v>
      </c>
      <c r="S103">
        <v>37</v>
      </c>
      <c r="T103">
        <v>33.6</v>
      </c>
      <c r="U103">
        <v>1298000</v>
      </c>
      <c r="V103" t="s">
        <v>65</v>
      </c>
      <c r="W103" t="s">
        <v>34</v>
      </c>
      <c r="Y103" t="s">
        <v>66</v>
      </c>
      <c r="Z103">
        <v>93557.017543859605</v>
      </c>
      <c r="AA103">
        <v>2020</v>
      </c>
      <c r="AB103">
        <v>1.20196142530239</v>
      </c>
      <c r="AC103">
        <v>0.22800000000000001</v>
      </c>
      <c r="AD103">
        <v>3.43314706296001</v>
      </c>
    </row>
    <row r="104" spans="1:30" x14ac:dyDescent="0.3">
      <c r="A104">
        <v>2020</v>
      </c>
      <c r="B104">
        <v>290</v>
      </c>
      <c r="C104" t="s">
        <v>89</v>
      </c>
      <c r="D104">
        <v>41802</v>
      </c>
      <c r="E104">
        <v>3.1</v>
      </c>
      <c r="F104">
        <v>6765</v>
      </c>
      <c r="G104">
        <v>308.8</v>
      </c>
      <c r="H104">
        <v>57773</v>
      </c>
      <c r="I104">
        <v>18180</v>
      </c>
      <c r="J104">
        <v>115752.5</v>
      </c>
      <c r="K104">
        <v>16.2</v>
      </c>
      <c r="L104">
        <v>11.7</v>
      </c>
      <c r="M104">
        <v>37.200000000000003</v>
      </c>
      <c r="N104">
        <v>8.98</v>
      </c>
      <c r="O104">
        <v>319.60000000000002</v>
      </c>
      <c r="P104">
        <v>12.8</v>
      </c>
      <c r="Q104">
        <v>9.1</v>
      </c>
      <c r="R104">
        <v>-8.4</v>
      </c>
      <c r="S104">
        <v>10.9</v>
      </c>
      <c r="T104">
        <v>18.3</v>
      </c>
      <c r="U104">
        <v>114000</v>
      </c>
      <c r="V104" t="s">
        <v>91</v>
      </c>
      <c r="W104" t="s">
        <v>90</v>
      </c>
      <c r="Y104" t="s">
        <v>92</v>
      </c>
      <c r="Z104">
        <v>18185.483870967699</v>
      </c>
      <c r="AA104">
        <v>2019</v>
      </c>
      <c r="AB104">
        <v>0.72355598636041096</v>
      </c>
      <c r="AC104">
        <v>0.372</v>
      </c>
      <c r="AD104">
        <v>3.1768745011086499</v>
      </c>
    </row>
    <row r="105" spans="1:30" x14ac:dyDescent="0.3">
      <c r="A105">
        <v>2020</v>
      </c>
      <c r="B105">
        <v>75</v>
      </c>
      <c r="C105" t="s">
        <v>68</v>
      </c>
      <c r="D105">
        <v>94507</v>
      </c>
      <c r="E105">
        <v>11.8</v>
      </c>
      <c r="F105">
        <v>11731</v>
      </c>
      <c r="G105">
        <v>-48.4</v>
      </c>
      <c r="H105">
        <v>251684</v>
      </c>
      <c r="I105">
        <v>71613</v>
      </c>
      <c r="J105">
        <v>180948</v>
      </c>
      <c r="K105">
        <v>12.4</v>
      </c>
      <c r="L105">
        <v>4.7</v>
      </c>
      <c r="M105">
        <v>16.399999999999999</v>
      </c>
      <c r="N105">
        <v>2.5299999999999998</v>
      </c>
      <c r="O105">
        <v>-46.7</v>
      </c>
      <c r="P105">
        <v>14.6</v>
      </c>
      <c r="Q105">
        <v>19.399999999999999</v>
      </c>
      <c r="R105">
        <v>-13.2</v>
      </c>
      <c r="S105">
        <v>7.4</v>
      </c>
      <c r="T105">
        <v>17</v>
      </c>
      <c r="U105">
        <v>184000</v>
      </c>
      <c r="V105" t="s">
        <v>93</v>
      </c>
      <c r="W105" t="s">
        <v>44</v>
      </c>
      <c r="Y105" t="s">
        <v>94</v>
      </c>
      <c r="Z105">
        <v>71530.487804878096</v>
      </c>
      <c r="AA105">
        <v>2019</v>
      </c>
      <c r="AB105">
        <v>0.37549864115319198</v>
      </c>
      <c r="AC105">
        <v>0.16400000000000001</v>
      </c>
      <c r="AD105">
        <v>3.5185556218566201</v>
      </c>
    </row>
    <row r="106" spans="1:30" x14ac:dyDescent="0.3">
      <c r="A106">
        <v>2020</v>
      </c>
      <c r="B106">
        <v>60</v>
      </c>
      <c r="C106" t="s">
        <v>95</v>
      </c>
      <c r="D106">
        <v>110360</v>
      </c>
      <c r="E106">
        <v>22.7</v>
      </c>
      <c r="F106">
        <v>16571</v>
      </c>
      <c r="G106">
        <v>-21.8</v>
      </c>
      <c r="H106">
        <v>258848</v>
      </c>
      <c r="I106">
        <v>82718</v>
      </c>
      <c r="J106">
        <v>904860.9</v>
      </c>
      <c r="K106">
        <v>15</v>
      </c>
      <c r="L106">
        <v>6.4</v>
      </c>
      <c r="M106">
        <v>20</v>
      </c>
      <c r="N106">
        <v>2.13</v>
      </c>
      <c r="O106">
        <v>-21.4</v>
      </c>
      <c r="P106">
        <v>-3.8</v>
      </c>
      <c r="Q106">
        <v>1.3</v>
      </c>
      <c r="R106">
        <v>20.7</v>
      </c>
      <c r="S106">
        <v>25.1</v>
      </c>
      <c r="T106">
        <v>20.9</v>
      </c>
      <c r="U106">
        <v>131000</v>
      </c>
      <c r="V106" t="s">
        <v>96</v>
      </c>
      <c r="W106" t="s">
        <v>55</v>
      </c>
      <c r="Y106" t="s">
        <v>97</v>
      </c>
      <c r="Z106">
        <v>82855</v>
      </c>
      <c r="AA106">
        <v>2019</v>
      </c>
      <c r="AB106">
        <v>0.42635059957967603</v>
      </c>
      <c r="AC106">
        <v>0.2</v>
      </c>
      <c r="AD106">
        <v>3.12410838211333</v>
      </c>
    </row>
    <row r="107" spans="1:30" x14ac:dyDescent="0.3">
      <c r="A107">
        <v>2020</v>
      </c>
      <c r="B107">
        <v>25</v>
      </c>
      <c r="C107" t="s">
        <v>61</v>
      </c>
      <c r="D107">
        <v>170756</v>
      </c>
      <c r="E107">
        <v>6.4</v>
      </c>
      <c r="F107">
        <v>19370</v>
      </c>
      <c r="G107">
        <v>-34.200000000000003</v>
      </c>
      <c r="H107">
        <v>531864</v>
      </c>
      <c r="I107">
        <v>184089</v>
      </c>
      <c r="J107">
        <v>228444.7</v>
      </c>
      <c r="K107">
        <v>11.3</v>
      </c>
      <c r="L107">
        <v>3.6</v>
      </c>
      <c r="M107">
        <v>10.5</v>
      </c>
      <c r="N107">
        <v>2.85</v>
      </c>
      <c r="O107">
        <v>-40.1</v>
      </c>
      <c r="P107">
        <v>-3.4</v>
      </c>
      <c r="Q107">
        <v>2.8</v>
      </c>
      <c r="R107">
        <v>-22.1</v>
      </c>
      <c r="S107">
        <v>1.2</v>
      </c>
      <c r="T107">
        <v>5.7</v>
      </c>
      <c r="U107">
        <v>268220</v>
      </c>
      <c r="V107" t="s">
        <v>62</v>
      </c>
      <c r="W107" t="s">
        <v>44</v>
      </c>
      <c r="Y107" t="s">
        <v>63</v>
      </c>
      <c r="Z107">
        <v>184476.19047619001</v>
      </c>
      <c r="AA107">
        <v>2019</v>
      </c>
      <c r="AB107">
        <v>0.32105199825519298</v>
      </c>
      <c r="AC107">
        <v>0.105</v>
      </c>
      <c r="AD107">
        <v>2.88310376871451</v>
      </c>
    </row>
    <row r="108" spans="1:30" x14ac:dyDescent="0.3">
      <c r="A108">
        <v>2020</v>
      </c>
      <c r="B108">
        <v>13</v>
      </c>
      <c r="C108" t="s">
        <v>64</v>
      </c>
      <c r="D108">
        <v>232887</v>
      </c>
      <c r="E108">
        <v>30.9</v>
      </c>
      <c r="F108">
        <v>10073</v>
      </c>
      <c r="G108">
        <v>232.1</v>
      </c>
      <c r="H108">
        <v>162648</v>
      </c>
      <c r="I108">
        <v>43549</v>
      </c>
      <c r="J108">
        <v>874709.5</v>
      </c>
      <c r="K108">
        <v>4.3</v>
      </c>
      <c r="L108">
        <v>6.2</v>
      </c>
      <c r="M108">
        <v>23.1</v>
      </c>
      <c r="N108">
        <v>20.14</v>
      </c>
      <c r="O108">
        <v>227.5</v>
      </c>
      <c r="P108">
        <v>102.6</v>
      </c>
      <c r="Q108">
        <v>29.7</v>
      </c>
      <c r="R108">
        <v>28.4</v>
      </c>
      <c r="S108">
        <v>30.4</v>
      </c>
      <c r="T108">
        <v>40.200000000000003</v>
      </c>
      <c r="U108">
        <v>647500</v>
      </c>
      <c r="V108" t="s">
        <v>65</v>
      </c>
      <c r="W108" t="s">
        <v>34</v>
      </c>
      <c r="Y108" t="s">
        <v>66</v>
      </c>
      <c r="Z108">
        <v>43606.060606060601</v>
      </c>
      <c r="AA108">
        <v>2019</v>
      </c>
      <c r="AB108">
        <v>1.4318466873247799</v>
      </c>
      <c r="AC108">
        <v>0.23100000000000001</v>
      </c>
      <c r="AD108">
        <v>3.7299402362751901</v>
      </c>
    </row>
    <row r="109" spans="1:30" x14ac:dyDescent="0.3">
      <c r="A109">
        <v>2019</v>
      </c>
      <c r="B109">
        <v>290</v>
      </c>
      <c r="C109" t="s">
        <v>89</v>
      </c>
      <c r="D109">
        <v>41802</v>
      </c>
      <c r="E109">
        <v>3.1</v>
      </c>
      <c r="F109">
        <v>6765</v>
      </c>
      <c r="G109">
        <v>308.8</v>
      </c>
      <c r="H109">
        <v>57773</v>
      </c>
      <c r="I109">
        <v>18180</v>
      </c>
      <c r="J109">
        <v>115752.5</v>
      </c>
      <c r="K109">
        <v>16.2</v>
      </c>
      <c r="L109">
        <v>11.7</v>
      </c>
      <c r="M109">
        <v>37.200000000000003</v>
      </c>
      <c r="N109">
        <v>8.98</v>
      </c>
      <c r="O109">
        <v>319.60000000000002</v>
      </c>
      <c r="P109">
        <v>12.8</v>
      </c>
      <c r="Q109">
        <v>9.1</v>
      </c>
      <c r="R109">
        <v>-8.4</v>
      </c>
      <c r="S109">
        <v>10.9</v>
      </c>
      <c r="T109">
        <v>18.3</v>
      </c>
      <c r="U109">
        <v>114000</v>
      </c>
      <c r="V109" t="s">
        <v>91</v>
      </c>
      <c r="W109" t="s">
        <v>90</v>
      </c>
      <c r="Y109" t="s">
        <v>92</v>
      </c>
      <c r="Z109">
        <v>18185.483870967699</v>
      </c>
      <c r="AA109">
        <v>2018</v>
      </c>
      <c r="AB109">
        <v>0.72355598636041096</v>
      </c>
      <c r="AC109">
        <v>0.372</v>
      </c>
      <c r="AD109">
        <v>3.1768745011086499</v>
      </c>
    </row>
    <row r="110" spans="1:30" x14ac:dyDescent="0.3">
      <c r="A110">
        <v>2019</v>
      </c>
      <c r="B110">
        <v>75</v>
      </c>
      <c r="C110" t="s">
        <v>68</v>
      </c>
      <c r="D110">
        <v>94507</v>
      </c>
      <c r="E110">
        <v>11.8</v>
      </c>
      <c r="F110">
        <v>11731</v>
      </c>
      <c r="G110">
        <v>-48.4</v>
      </c>
      <c r="H110">
        <v>251684</v>
      </c>
      <c r="I110">
        <v>71613</v>
      </c>
      <c r="J110">
        <v>180948</v>
      </c>
      <c r="K110">
        <v>12.4</v>
      </c>
      <c r="L110">
        <v>4.7</v>
      </c>
      <c r="M110">
        <v>16.399999999999999</v>
      </c>
      <c r="N110">
        <v>2.5299999999999998</v>
      </c>
      <c r="O110">
        <v>-46.7</v>
      </c>
      <c r="P110">
        <v>14.6</v>
      </c>
      <c r="Q110">
        <v>19.399999999999999</v>
      </c>
      <c r="R110">
        <v>-13.2</v>
      </c>
      <c r="S110">
        <v>7.4</v>
      </c>
      <c r="T110">
        <v>17</v>
      </c>
      <c r="U110">
        <v>184000</v>
      </c>
      <c r="V110" t="s">
        <v>93</v>
      </c>
      <c r="W110" t="s">
        <v>44</v>
      </c>
      <c r="Y110" t="s">
        <v>94</v>
      </c>
      <c r="Z110">
        <v>71530.487804878096</v>
      </c>
      <c r="AA110">
        <v>2018</v>
      </c>
      <c r="AB110">
        <v>0.37549864115319198</v>
      </c>
      <c r="AC110">
        <v>0.16400000000000001</v>
      </c>
      <c r="AD110">
        <v>3.5185556218566201</v>
      </c>
    </row>
    <row r="111" spans="1:30" x14ac:dyDescent="0.3">
      <c r="A111">
        <v>2019</v>
      </c>
      <c r="B111">
        <v>60</v>
      </c>
      <c r="C111" t="s">
        <v>95</v>
      </c>
      <c r="D111">
        <v>110360</v>
      </c>
      <c r="E111">
        <v>22.7</v>
      </c>
      <c r="F111">
        <v>16571</v>
      </c>
      <c r="G111">
        <v>-21.8</v>
      </c>
      <c r="H111">
        <v>258848</v>
      </c>
      <c r="I111">
        <v>82718</v>
      </c>
      <c r="J111">
        <v>904860.9</v>
      </c>
      <c r="K111">
        <v>15</v>
      </c>
      <c r="L111">
        <v>6.4</v>
      </c>
      <c r="M111">
        <v>20</v>
      </c>
      <c r="N111">
        <v>2.13</v>
      </c>
      <c r="O111">
        <v>-21.4</v>
      </c>
      <c r="P111">
        <v>-3.8</v>
      </c>
      <c r="Q111">
        <v>1.3</v>
      </c>
      <c r="R111">
        <v>20.7</v>
      </c>
      <c r="S111">
        <v>25.1</v>
      </c>
      <c r="T111">
        <v>20.9</v>
      </c>
      <c r="U111">
        <v>131000</v>
      </c>
      <c r="V111" t="s">
        <v>96</v>
      </c>
      <c r="W111" t="s">
        <v>55</v>
      </c>
      <c r="Y111" t="s">
        <v>97</v>
      </c>
      <c r="Z111">
        <v>82855</v>
      </c>
      <c r="AA111">
        <v>2018</v>
      </c>
      <c r="AB111">
        <v>0.42635059957967603</v>
      </c>
      <c r="AC111">
        <v>0.2</v>
      </c>
      <c r="AD111">
        <v>3.12410838211333</v>
      </c>
    </row>
    <row r="112" spans="1:30" x14ac:dyDescent="0.3">
      <c r="A112">
        <v>2019</v>
      </c>
      <c r="B112">
        <v>25</v>
      </c>
      <c r="C112" t="s">
        <v>61</v>
      </c>
      <c r="D112">
        <v>170756</v>
      </c>
      <c r="E112">
        <v>6.4</v>
      </c>
      <c r="F112">
        <v>19370</v>
      </c>
      <c r="G112">
        <v>-34.200000000000003</v>
      </c>
      <c r="H112">
        <v>531864</v>
      </c>
      <c r="I112">
        <v>184089</v>
      </c>
      <c r="J112">
        <v>228444.7</v>
      </c>
      <c r="K112">
        <v>11.3</v>
      </c>
      <c r="L112">
        <v>3.6</v>
      </c>
      <c r="M112">
        <v>10.5</v>
      </c>
      <c r="N112">
        <v>2.85</v>
      </c>
      <c r="O112">
        <v>-40.1</v>
      </c>
      <c r="P112">
        <v>-3.4</v>
      </c>
      <c r="Q112">
        <v>2.8</v>
      </c>
      <c r="R112">
        <v>-22.1</v>
      </c>
      <c r="S112">
        <v>1.2</v>
      </c>
      <c r="T112">
        <v>5.7</v>
      </c>
      <c r="U112">
        <v>268220</v>
      </c>
      <c r="V112" t="s">
        <v>62</v>
      </c>
      <c r="W112" t="s">
        <v>44</v>
      </c>
      <c r="Y112" t="s">
        <v>63</v>
      </c>
      <c r="Z112">
        <v>184476.19047619001</v>
      </c>
      <c r="AA112">
        <v>2018</v>
      </c>
      <c r="AB112">
        <v>0.32105199825519298</v>
      </c>
      <c r="AC112">
        <v>0.105</v>
      </c>
      <c r="AD112">
        <v>2.88310376871451</v>
      </c>
    </row>
    <row r="113" spans="1:30" x14ac:dyDescent="0.3">
      <c r="A113">
        <v>2019</v>
      </c>
      <c r="B113">
        <v>13</v>
      </c>
      <c r="C113" t="s">
        <v>64</v>
      </c>
      <c r="D113">
        <v>232887</v>
      </c>
      <c r="E113">
        <v>30.9</v>
      </c>
      <c r="F113">
        <v>10073</v>
      </c>
      <c r="G113">
        <v>232.1</v>
      </c>
      <c r="H113">
        <v>162648</v>
      </c>
      <c r="I113">
        <v>43549</v>
      </c>
      <c r="J113">
        <v>874709.5</v>
      </c>
      <c r="K113">
        <v>4.3</v>
      </c>
      <c r="L113">
        <v>6.2</v>
      </c>
      <c r="M113">
        <v>23.1</v>
      </c>
      <c r="N113">
        <v>20.14</v>
      </c>
      <c r="O113">
        <v>227.5</v>
      </c>
      <c r="P113">
        <v>102.6</v>
      </c>
      <c r="Q113">
        <v>29.7</v>
      </c>
      <c r="R113">
        <v>28.4</v>
      </c>
      <c r="S113">
        <v>30.4</v>
      </c>
      <c r="T113">
        <v>40.200000000000003</v>
      </c>
      <c r="U113">
        <v>647500</v>
      </c>
      <c r="V113" t="s">
        <v>65</v>
      </c>
      <c r="W113" t="s">
        <v>34</v>
      </c>
      <c r="Y113" t="s">
        <v>66</v>
      </c>
      <c r="Z113">
        <v>43606.060606060601</v>
      </c>
      <c r="AA113">
        <v>2018</v>
      </c>
      <c r="AB113">
        <v>1.4318466873247799</v>
      </c>
      <c r="AC113">
        <v>0.23100000000000001</v>
      </c>
      <c r="AD113">
        <v>3.7299402362751901</v>
      </c>
    </row>
    <row r="114" spans="1:30" x14ac:dyDescent="0.3">
      <c r="A114">
        <v>2018</v>
      </c>
      <c r="B114">
        <v>290</v>
      </c>
      <c r="C114" t="s">
        <v>89</v>
      </c>
      <c r="D114">
        <v>41802</v>
      </c>
      <c r="E114">
        <v>3.1</v>
      </c>
      <c r="F114">
        <v>6765</v>
      </c>
      <c r="G114">
        <v>308.8</v>
      </c>
      <c r="H114">
        <v>57773</v>
      </c>
      <c r="I114">
        <v>18180</v>
      </c>
      <c r="J114">
        <v>115752.5</v>
      </c>
      <c r="K114">
        <v>16.2</v>
      </c>
      <c r="L114">
        <v>11.7</v>
      </c>
      <c r="M114">
        <v>37.200000000000003</v>
      </c>
      <c r="N114">
        <v>8.98</v>
      </c>
      <c r="O114">
        <v>319.60000000000002</v>
      </c>
      <c r="P114">
        <v>12.8</v>
      </c>
      <c r="Q114">
        <v>9.1</v>
      </c>
      <c r="R114">
        <v>-8.4</v>
      </c>
      <c r="S114">
        <v>10.9</v>
      </c>
      <c r="T114">
        <v>18.3</v>
      </c>
      <c r="U114">
        <v>114000</v>
      </c>
      <c r="V114" t="s">
        <v>91</v>
      </c>
      <c r="W114" t="s">
        <v>90</v>
      </c>
      <c r="Y114" t="s">
        <v>92</v>
      </c>
      <c r="Z114">
        <v>18185.483870967699</v>
      </c>
      <c r="AA114">
        <v>2017</v>
      </c>
      <c r="AB114">
        <v>0.72355598636041096</v>
      </c>
      <c r="AC114">
        <v>0.372</v>
      </c>
      <c r="AD114">
        <v>3.1768745011086499</v>
      </c>
    </row>
    <row r="115" spans="1:30" x14ac:dyDescent="0.3">
      <c r="A115">
        <v>2018</v>
      </c>
      <c r="B115">
        <v>75</v>
      </c>
      <c r="C115" t="s">
        <v>68</v>
      </c>
      <c r="D115">
        <v>94507</v>
      </c>
      <c r="E115">
        <v>11.8</v>
      </c>
      <c r="F115">
        <v>11731</v>
      </c>
      <c r="G115">
        <v>-48.4</v>
      </c>
      <c r="H115">
        <v>251684</v>
      </c>
      <c r="I115">
        <v>71613</v>
      </c>
      <c r="J115">
        <v>180948</v>
      </c>
      <c r="K115">
        <v>12.4</v>
      </c>
      <c r="L115">
        <v>4.7</v>
      </c>
      <c r="M115">
        <v>16.399999999999999</v>
      </c>
      <c r="N115">
        <v>2.5299999999999998</v>
      </c>
      <c r="O115">
        <v>-46.7</v>
      </c>
      <c r="P115">
        <v>14.6</v>
      </c>
      <c r="Q115">
        <v>19.399999999999999</v>
      </c>
      <c r="R115">
        <v>-13.2</v>
      </c>
      <c r="S115">
        <v>7.4</v>
      </c>
      <c r="T115">
        <v>17</v>
      </c>
      <c r="U115">
        <v>184000</v>
      </c>
      <c r="V115" t="s">
        <v>93</v>
      </c>
      <c r="W115" t="s">
        <v>44</v>
      </c>
      <c r="Y115" t="s">
        <v>94</v>
      </c>
      <c r="Z115">
        <v>71530.487804878096</v>
      </c>
      <c r="AA115">
        <v>2017</v>
      </c>
      <c r="AB115">
        <v>0.37549864115319198</v>
      </c>
      <c r="AC115">
        <v>0.16400000000000001</v>
      </c>
      <c r="AD115">
        <v>3.5185556218566201</v>
      </c>
    </row>
    <row r="116" spans="1:30" x14ac:dyDescent="0.3">
      <c r="A116">
        <v>2018</v>
      </c>
      <c r="B116">
        <v>60</v>
      </c>
      <c r="C116" t="s">
        <v>95</v>
      </c>
      <c r="D116">
        <v>110360</v>
      </c>
      <c r="E116">
        <v>22.7</v>
      </c>
      <c r="F116">
        <v>16571</v>
      </c>
      <c r="G116">
        <v>-21.8</v>
      </c>
      <c r="H116">
        <v>258848</v>
      </c>
      <c r="I116">
        <v>82718</v>
      </c>
      <c r="J116">
        <v>904860.9</v>
      </c>
      <c r="K116">
        <v>15</v>
      </c>
      <c r="L116">
        <v>6.4</v>
      </c>
      <c r="M116">
        <v>20</v>
      </c>
      <c r="N116">
        <v>2.13</v>
      </c>
      <c r="O116">
        <v>-21.4</v>
      </c>
      <c r="P116">
        <v>-3.8</v>
      </c>
      <c r="Q116">
        <v>1.3</v>
      </c>
      <c r="R116">
        <v>20.7</v>
      </c>
      <c r="S116">
        <v>25.1</v>
      </c>
      <c r="T116">
        <v>20.9</v>
      </c>
      <c r="U116">
        <v>131000</v>
      </c>
      <c r="V116" t="s">
        <v>96</v>
      </c>
      <c r="W116" t="s">
        <v>55</v>
      </c>
      <c r="Y116" t="s">
        <v>97</v>
      </c>
      <c r="Z116">
        <v>82855</v>
      </c>
      <c r="AA116">
        <v>2017</v>
      </c>
      <c r="AB116">
        <v>0.42635059957967603</v>
      </c>
      <c r="AC116">
        <v>0.2</v>
      </c>
      <c r="AD116">
        <v>3.12410838211333</v>
      </c>
    </row>
    <row r="117" spans="1:30" x14ac:dyDescent="0.3">
      <c r="A117">
        <v>2018</v>
      </c>
      <c r="B117">
        <v>25</v>
      </c>
      <c r="C117" t="s">
        <v>61</v>
      </c>
      <c r="D117">
        <v>170756</v>
      </c>
      <c r="E117">
        <v>6.4</v>
      </c>
      <c r="F117">
        <v>19370</v>
      </c>
      <c r="G117">
        <v>-34.200000000000003</v>
      </c>
      <c r="H117">
        <v>531864</v>
      </c>
      <c r="I117">
        <v>184089</v>
      </c>
      <c r="J117">
        <v>228444.7</v>
      </c>
      <c r="K117">
        <v>11.3</v>
      </c>
      <c r="L117">
        <v>3.6</v>
      </c>
      <c r="M117">
        <v>10.5</v>
      </c>
      <c r="N117">
        <v>2.85</v>
      </c>
      <c r="O117">
        <v>-40.1</v>
      </c>
      <c r="P117">
        <v>-3.4</v>
      </c>
      <c r="Q117">
        <v>2.8</v>
      </c>
      <c r="R117">
        <v>-22.1</v>
      </c>
      <c r="S117">
        <v>1.2</v>
      </c>
      <c r="T117">
        <v>5.7</v>
      </c>
      <c r="U117">
        <v>268220</v>
      </c>
      <c r="V117" t="s">
        <v>62</v>
      </c>
      <c r="W117" t="s">
        <v>44</v>
      </c>
      <c r="Y117" t="s">
        <v>63</v>
      </c>
      <c r="Z117">
        <v>184476.19047619001</v>
      </c>
      <c r="AA117">
        <v>2017</v>
      </c>
      <c r="AB117">
        <v>0.32105199825519298</v>
      </c>
      <c r="AC117">
        <v>0.105</v>
      </c>
      <c r="AD117">
        <v>2.88310376871451</v>
      </c>
    </row>
    <row r="118" spans="1:30" x14ac:dyDescent="0.3">
      <c r="A118">
        <v>2018</v>
      </c>
      <c r="B118">
        <v>13</v>
      </c>
      <c r="C118" t="s">
        <v>64</v>
      </c>
      <c r="D118">
        <v>232887</v>
      </c>
      <c r="E118">
        <v>30.9</v>
      </c>
      <c r="F118">
        <v>10073</v>
      </c>
      <c r="G118">
        <v>232.1</v>
      </c>
      <c r="H118">
        <v>162648</v>
      </c>
      <c r="I118">
        <v>43549</v>
      </c>
      <c r="J118">
        <v>874709.5</v>
      </c>
      <c r="K118">
        <v>4.3</v>
      </c>
      <c r="L118">
        <v>6.2</v>
      </c>
      <c r="M118">
        <v>23.1</v>
      </c>
      <c r="N118">
        <v>20.14</v>
      </c>
      <c r="O118">
        <v>227.5</v>
      </c>
      <c r="P118">
        <v>102.6</v>
      </c>
      <c r="Q118">
        <v>29.7</v>
      </c>
      <c r="R118">
        <v>28.4</v>
      </c>
      <c r="S118">
        <v>30.4</v>
      </c>
      <c r="T118">
        <v>40.200000000000003</v>
      </c>
      <c r="U118">
        <v>647500</v>
      </c>
      <c r="V118" t="s">
        <v>65</v>
      </c>
      <c r="W118" t="s">
        <v>34</v>
      </c>
      <c r="Y118" t="s">
        <v>66</v>
      </c>
      <c r="Z118">
        <v>43606.060606060601</v>
      </c>
      <c r="AA118">
        <v>2017</v>
      </c>
      <c r="AB118">
        <v>1.4318466873247799</v>
      </c>
      <c r="AC118">
        <v>0.23100000000000001</v>
      </c>
      <c r="AD118">
        <v>3.7299402362751901</v>
      </c>
    </row>
    <row r="119" spans="1:30" x14ac:dyDescent="0.3">
      <c r="A119">
        <v>2017</v>
      </c>
      <c r="B119">
        <v>260</v>
      </c>
      <c r="C119" t="s">
        <v>89</v>
      </c>
      <c r="D119">
        <v>39302</v>
      </c>
      <c r="E119">
        <v>1.9</v>
      </c>
      <c r="F119">
        <v>4809</v>
      </c>
      <c r="G119">
        <v>0.9</v>
      </c>
      <c r="H119">
        <v>54146</v>
      </c>
      <c r="I119">
        <v>19369</v>
      </c>
      <c r="J119">
        <v>94990.9</v>
      </c>
      <c r="K119">
        <v>12.2</v>
      </c>
      <c r="L119">
        <v>8.9</v>
      </c>
      <c r="M119">
        <v>24.8</v>
      </c>
      <c r="N119">
        <v>6.2</v>
      </c>
      <c r="O119">
        <v>2.6</v>
      </c>
      <c r="P119">
        <v>18.899999999999999</v>
      </c>
      <c r="Q119">
        <v>9.4</v>
      </c>
      <c r="R119">
        <v>14.9</v>
      </c>
      <c r="S119">
        <v>19</v>
      </c>
      <c r="T119">
        <v>12.6</v>
      </c>
      <c r="U119">
        <v>131000</v>
      </c>
      <c r="V119" t="s">
        <v>91</v>
      </c>
      <c r="W119" t="s">
        <v>90</v>
      </c>
      <c r="Y119" t="s">
        <v>92</v>
      </c>
      <c r="Z119">
        <v>19391.129032258101</v>
      </c>
      <c r="AA119">
        <v>2016</v>
      </c>
      <c r="AB119">
        <v>0.72585232519484399</v>
      </c>
      <c r="AC119">
        <v>0.248</v>
      </c>
      <c r="AD119">
        <v>2.79230775629029</v>
      </c>
    </row>
    <row r="120" spans="1:30" x14ac:dyDescent="0.3">
      <c r="A120">
        <v>2017</v>
      </c>
      <c r="B120">
        <v>79</v>
      </c>
      <c r="C120" t="s">
        <v>68</v>
      </c>
      <c r="D120">
        <v>80403</v>
      </c>
      <c r="E120">
        <v>7.9</v>
      </c>
      <c r="F120">
        <v>8695</v>
      </c>
      <c r="G120">
        <v>6.5</v>
      </c>
      <c r="H120">
        <v>180500</v>
      </c>
      <c r="I120">
        <v>53943</v>
      </c>
      <c r="J120">
        <v>178257.8</v>
      </c>
      <c r="K120">
        <v>10.8</v>
      </c>
      <c r="L120">
        <v>4.8</v>
      </c>
      <c r="M120">
        <v>16.100000000000001</v>
      </c>
      <c r="N120">
        <v>3.57</v>
      </c>
      <c r="O120">
        <v>10.199999999999999</v>
      </c>
      <c r="P120">
        <v>18.899999999999999</v>
      </c>
      <c r="Q120">
        <v>16.3</v>
      </c>
      <c r="R120">
        <v>24.5</v>
      </c>
      <c r="S120">
        <v>26</v>
      </c>
      <c r="T120">
        <v>11</v>
      </c>
      <c r="U120">
        <v>159000</v>
      </c>
      <c r="V120" t="s">
        <v>93</v>
      </c>
      <c r="W120" t="s">
        <v>44</v>
      </c>
      <c r="Y120" t="s">
        <v>94</v>
      </c>
      <c r="Z120">
        <v>54006.211180124199</v>
      </c>
      <c r="AA120">
        <v>2016</v>
      </c>
      <c r="AB120">
        <v>0.44544598337950098</v>
      </c>
      <c r="AC120">
        <v>0.161</v>
      </c>
      <c r="AD120">
        <v>3.3422081656124201</v>
      </c>
    </row>
    <row r="121" spans="1:30" x14ac:dyDescent="0.3">
      <c r="A121">
        <v>2017</v>
      </c>
      <c r="B121">
        <v>69</v>
      </c>
      <c r="C121" t="s">
        <v>95</v>
      </c>
      <c r="D121">
        <v>85320</v>
      </c>
      <c r="E121">
        <v>-8.8000000000000007</v>
      </c>
      <c r="F121">
        <v>16798</v>
      </c>
      <c r="G121">
        <v>37.799999999999997</v>
      </c>
      <c r="H121">
        <v>193694</v>
      </c>
      <c r="I121">
        <v>71997</v>
      </c>
      <c r="J121">
        <v>508935.1</v>
      </c>
      <c r="K121">
        <v>19.7</v>
      </c>
      <c r="L121">
        <v>8.6999999999999993</v>
      </c>
      <c r="M121">
        <v>23.3</v>
      </c>
      <c r="N121">
        <v>2.1</v>
      </c>
      <c r="O121">
        <v>41.9</v>
      </c>
      <c r="P121">
        <v>-4.8</v>
      </c>
      <c r="Q121">
        <v>5.8</v>
      </c>
      <c r="R121">
        <v>15</v>
      </c>
      <c r="S121">
        <v>22.4</v>
      </c>
      <c r="T121">
        <v>10.199999999999999</v>
      </c>
      <c r="U121">
        <v>114000</v>
      </c>
      <c r="V121" t="s">
        <v>96</v>
      </c>
      <c r="W121" t="s">
        <v>55</v>
      </c>
      <c r="Y121" t="s">
        <v>97</v>
      </c>
      <c r="Z121">
        <v>72094.420600858401</v>
      </c>
      <c r="AA121">
        <v>2016</v>
      </c>
      <c r="AB121">
        <v>0.44048860573894899</v>
      </c>
      <c r="AC121">
        <v>0.23300000000000001</v>
      </c>
      <c r="AD121">
        <v>2.6866711513275399</v>
      </c>
    </row>
    <row r="122" spans="1:30" x14ac:dyDescent="0.3">
      <c r="A122">
        <v>2017</v>
      </c>
      <c r="B122">
        <v>26</v>
      </c>
      <c r="C122" t="s">
        <v>64</v>
      </c>
      <c r="D122">
        <v>135987</v>
      </c>
      <c r="E122">
        <v>27.1</v>
      </c>
      <c r="F122">
        <v>2371</v>
      </c>
      <c r="G122">
        <v>297.8</v>
      </c>
      <c r="H122">
        <v>83402</v>
      </c>
      <c r="I122">
        <v>19285</v>
      </c>
      <c r="J122">
        <v>423030.8</v>
      </c>
      <c r="K122">
        <v>1.7</v>
      </c>
      <c r="L122">
        <v>2.8</v>
      </c>
      <c r="M122">
        <v>12.3</v>
      </c>
      <c r="N122">
        <v>4.9000000000000004</v>
      </c>
      <c r="O122">
        <v>292</v>
      </c>
      <c r="P122">
        <v>29</v>
      </c>
      <c r="Q122">
        <v>27</v>
      </c>
      <c r="R122">
        <v>10.9</v>
      </c>
      <c r="S122">
        <v>34.1</v>
      </c>
      <c r="T122">
        <v>34.200000000000003</v>
      </c>
      <c r="U122">
        <v>341400</v>
      </c>
      <c r="V122" t="s">
        <v>65</v>
      </c>
      <c r="W122" t="s">
        <v>34</v>
      </c>
      <c r="Y122" t="s">
        <v>66</v>
      </c>
      <c r="Z122">
        <v>19276.422764227598</v>
      </c>
      <c r="AA122">
        <v>2016</v>
      </c>
      <c r="AB122">
        <v>1.6305004676146899</v>
      </c>
      <c r="AC122">
        <v>0.123</v>
      </c>
      <c r="AD122">
        <v>4.3266326444538201</v>
      </c>
    </row>
    <row r="123" spans="1:30" x14ac:dyDescent="0.3">
      <c r="A123">
        <v>2017</v>
      </c>
      <c r="B123">
        <v>19</v>
      </c>
      <c r="C123" t="s">
        <v>61</v>
      </c>
      <c r="D123">
        <v>163786</v>
      </c>
      <c r="E123">
        <v>11.6</v>
      </c>
      <c r="F123">
        <v>12976</v>
      </c>
      <c r="G123">
        <v>-2.8</v>
      </c>
      <c r="H123">
        <v>403821</v>
      </c>
      <c r="I123">
        <v>123135</v>
      </c>
      <c r="J123">
        <v>255678.6</v>
      </c>
      <c r="K123">
        <v>7.9</v>
      </c>
      <c r="L123">
        <v>3.2</v>
      </c>
      <c r="M123">
        <v>10.5</v>
      </c>
      <c r="N123">
        <v>2.1</v>
      </c>
      <c r="O123">
        <v>-11.4</v>
      </c>
      <c r="P123">
        <v>26</v>
      </c>
      <c r="Q123">
        <v>1.1000000000000001</v>
      </c>
      <c r="R123">
        <v>29.9</v>
      </c>
      <c r="S123">
        <v>12.7</v>
      </c>
      <c r="T123">
        <v>7.3</v>
      </c>
      <c r="U123">
        <v>268540</v>
      </c>
      <c r="V123" t="s">
        <v>62</v>
      </c>
      <c r="W123" t="s">
        <v>44</v>
      </c>
      <c r="Y123" t="s">
        <v>63</v>
      </c>
      <c r="Z123">
        <v>123580.952380952</v>
      </c>
      <c r="AA123">
        <v>2016</v>
      </c>
      <c r="AB123">
        <v>0.40559059583330198</v>
      </c>
      <c r="AC123">
        <v>0.105</v>
      </c>
      <c r="AD123">
        <v>3.2676637638717598</v>
      </c>
    </row>
    <row r="124" spans="1:30" x14ac:dyDescent="0.3">
      <c r="A124">
        <v>2016</v>
      </c>
      <c r="B124">
        <v>480</v>
      </c>
      <c r="C124" t="s">
        <v>103</v>
      </c>
      <c r="D124">
        <v>22304</v>
      </c>
      <c r="E124">
        <v>-9.1</v>
      </c>
      <c r="F124">
        <v>2710</v>
      </c>
      <c r="G124">
        <v>26.2</v>
      </c>
      <c r="H124">
        <v>22088</v>
      </c>
      <c r="I124">
        <v>8081</v>
      </c>
      <c r="J124">
        <v>34972.6</v>
      </c>
      <c r="K124">
        <v>12.2</v>
      </c>
      <c r="L124">
        <v>12.3</v>
      </c>
      <c r="M124">
        <v>33.5</v>
      </c>
      <c r="N124">
        <v>3.99</v>
      </c>
      <c r="O124">
        <v>31.7</v>
      </c>
      <c r="P124">
        <v>7</v>
      </c>
      <c r="Q124">
        <v>8.9</v>
      </c>
      <c r="R124">
        <v>-19.7</v>
      </c>
      <c r="S124">
        <v>-0.5</v>
      </c>
      <c r="T124">
        <v>5.5</v>
      </c>
      <c r="U124">
        <v>110800</v>
      </c>
      <c r="V124" t="s">
        <v>104</v>
      </c>
      <c r="W124" t="s">
        <v>90</v>
      </c>
      <c r="Y124" t="s">
        <v>105</v>
      </c>
      <c r="Z124">
        <v>8089.5522388059699</v>
      </c>
      <c r="AA124">
        <v>2015</v>
      </c>
      <c r="AB124">
        <v>1.00977906555596</v>
      </c>
      <c r="AC124">
        <v>0.33500000000000002</v>
      </c>
      <c r="AD124">
        <v>2.7304354243542401</v>
      </c>
    </row>
    <row r="125" spans="1:30" x14ac:dyDescent="0.3">
      <c r="A125">
        <v>2016</v>
      </c>
      <c r="B125">
        <v>436</v>
      </c>
      <c r="C125" t="s">
        <v>106</v>
      </c>
      <c r="D125">
        <v>24704</v>
      </c>
      <c r="E125">
        <v>1.1000000000000001</v>
      </c>
      <c r="F125">
        <v>1990</v>
      </c>
      <c r="G125">
        <v>-26.7</v>
      </c>
      <c r="H125">
        <v>46612</v>
      </c>
      <c r="I125">
        <v>21140</v>
      </c>
      <c r="J125">
        <v>51888.800000000003</v>
      </c>
      <c r="K125">
        <v>8.1</v>
      </c>
      <c r="L125">
        <v>4.3</v>
      </c>
      <c r="M125">
        <v>9.4</v>
      </c>
      <c r="N125">
        <v>1.01</v>
      </c>
      <c r="O125">
        <v>-23.5</v>
      </c>
      <c r="P125">
        <v>2.8</v>
      </c>
      <c r="Q125">
        <v>7.9</v>
      </c>
      <c r="R125">
        <v>-12.2</v>
      </c>
      <c r="S125">
        <v>3.2</v>
      </c>
      <c r="T125">
        <v>7</v>
      </c>
      <c r="U125">
        <v>72000</v>
      </c>
      <c r="V125" t="s">
        <v>106</v>
      </c>
      <c r="W125" t="s">
        <v>30</v>
      </c>
      <c r="Y125" t="s">
        <v>107</v>
      </c>
      <c r="Z125">
        <v>21170.2127659574</v>
      </c>
      <c r="AA125">
        <v>2015</v>
      </c>
      <c r="AB125">
        <v>0.52999227666695303</v>
      </c>
      <c r="AC125">
        <v>9.4E-2</v>
      </c>
      <c r="AD125">
        <v>2.2017728643216099</v>
      </c>
    </row>
    <row r="126" spans="1:30" x14ac:dyDescent="0.3">
      <c r="A126">
        <v>2016</v>
      </c>
      <c r="B126">
        <v>256</v>
      </c>
      <c r="C126" t="s">
        <v>89</v>
      </c>
      <c r="D126">
        <v>38581</v>
      </c>
      <c r="E126">
        <v>-4.3</v>
      </c>
      <c r="F126">
        <v>4768</v>
      </c>
      <c r="G126">
        <v>12.5</v>
      </c>
      <c r="H126">
        <v>49316</v>
      </c>
      <c r="I126">
        <v>18283</v>
      </c>
      <c r="J126">
        <v>85307.6</v>
      </c>
      <c r="K126">
        <v>12.4</v>
      </c>
      <c r="L126">
        <v>9.6999999999999993</v>
      </c>
      <c r="M126">
        <v>26.1</v>
      </c>
      <c r="N126">
        <v>6.04</v>
      </c>
      <c r="O126">
        <v>13.3</v>
      </c>
      <c r="P126">
        <v>18.5</v>
      </c>
      <c r="Q126">
        <v>12</v>
      </c>
      <c r="R126">
        <v>5.9</v>
      </c>
      <c r="S126">
        <v>16.899999999999999</v>
      </c>
      <c r="T126">
        <v>13.5</v>
      </c>
      <c r="U126">
        <v>129000</v>
      </c>
      <c r="V126" t="s">
        <v>91</v>
      </c>
      <c r="W126" t="s">
        <v>90</v>
      </c>
      <c r="Y126" t="s">
        <v>92</v>
      </c>
      <c r="Z126">
        <v>18268.199233716499</v>
      </c>
      <c r="AA126">
        <v>2015</v>
      </c>
      <c r="AB126">
        <v>0.78232216724795201</v>
      </c>
      <c r="AC126">
        <v>0.26100000000000001</v>
      </c>
      <c r="AD126">
        <v>2.6995545302013402</v>
      </c>
    </row>
    <row r="127" spans="1:30" x14ac:dyDescent="0.3">
      <c r="A127">
        <v>2016</v>
      </c>
      <c r="B127">
        <v>96</v>
      </c>
      <c r="C127" t="s">
        <v>68</v>
      </c>
      <c r="D127">
        <v>74510</v>
      </c>
      <c r="E127">
        <v>8.3000000000000007</v>
      </c>
      <c r="F127">
        <v>8163</v>
      </c>
      <c r="G127">
        <v>-2.6</v>
      </c>
      <c r="H127">
        <v>166574</v>
      </c>
      <c r="I127">
        <v>52269</v>
      </c>
      <c r="J127">
        <v>149181.70000000001</v>
      </c>
      <c r="K127">
        <v>11</v>
      </c>
      <c r="L127">
        <v>4.9000000000000004</v>
      </c>
      <c r="M127">
        <v>15.6</v>
      </c>
      <c r="N127">
        <v>3.24</v>
      </c>
      <c r="O127">
        <v>1.3</v>
      </c>
      <c r="P127">
        <v>20.2</v>
      </c>
      <c r="Q127">
        <v>27.7</v>
      </c>
      <c r="R127">
        <v>-1.1000000000000001</v>
      </c>
      <c r="S127">
        <v>22.9</v>
      </c>
      <c r="T127">
        <v>14.1</v>
      </c>
      <c r="U127">
        <v>153000</v>
      </c>
      <c r="V127" t="s">
        <v>93</v>
      </c>
      <c r="W127" t="s">
        <v>44</v>
      </c>
      <c r="Y127" t="s">
        <v>94</v>
      </c>
      <c r="Z127">
        <v>52326.9230769231</v>
      </c>
      <c r="AA127">
        <v>2015</v>
      </c>
      <c r="AB127">
        <v>0.44730870363922298</v>
      </c>
      <c r="AC127">
        <v>0.156</v>
      </c>
      <c r="AD127">
        <v>3.1833325983094398</v>
      </c>
    </row>
    <row r="128" spans="1:30" x14ac:dyDescent="0.3">
      <c r="A128">
        <v>2016</v>
      </c>
      <c r="B128">
        <v>63</v>
      </c>
      <c r="C128" t="s">
        <v>95</v>
      </c>
      <c r="D128">
        <v>93580</v>
      </c>
      <c r="E128">
        <v>7.8</v>
      </c>
      <c r="F128">
        <v>12193</v>
      </c>
      <c r="G128">
        <v>-44.8</v>
      </c>
      <c r="H128">
        <v>176223</v>
      </c>
      <c r="I128">
        <v>80083</v>
      </c>
      <c r="J128">
        <v>436830.8</v>
      </c>
      <c r="K128">
        <v>13</v>
      </c>
      <c r="L128">
        <v>6.9</v>
      </c>
      <c r="M128">
        <v>15.2</v>
      </c>
      <c r="N128">
        <v>1.48</v>
      </c>
      <c r="O128">
        <v>-43.7</v>
      </c>
      <c r="P128">
        <v>-6.8</v>
      </c>
      <c r="Q128">
        <v>2.8</v>
      </c>
      <c r="R128">
        <v>22.8</v>
      </c>
      <c r="S128">
        <v>18</v>
      </c>
      <c r="T128">
        <v>10.3</v>
      </c>
      <c r="U128">
        <v>118000</v>
      </c>
      <c r="V128" t="s">
        <v>96</v>
      </c>
      <c r="W128" t="s">
        <v>55</v>
      </c>
      <c r="Y128" t="s">
        <v>97</v>
      </c>
      <c r="Z128">
        <v>80217.105263157893</v>
      </c>
      <c r="AA128">
        <v>2015</v>
      </c>
      <c r="AB128">
        <v>0.53103170414758605</v>
      </c>
      <c r="AC128">
        <v>0.152</v>
      </c>
      <c r="AD128">
        <v>2.1968257196752199</v>
      </c>
    </row>
    <row r="129" spans="1:30" x14ac:dyDescent="0.3">
      <c r="A129">
        <v>2016</v>
      </c>
      <c r="B129">
        <v>23</v>
      </c>
      <c r="C129" t="s">
        <v>61</v>
      </c>
      <c r="D129">
        <v>146801</v>
      </c>
      <c r="E129">
        <v>10.8</v>
      </c>
      <c r="F129">
        <v>13345</v>
      </c>
      <c r="G129">
        <v>114.4</v>
      </c>
      <c r="H129">
        <v>402672</v>
      </c>
      <c r="I129">
        <v>122671</v>
      </c>
      <c r="J129">
        <v>240942.9</v>
      </c>
      <c r="K129">
        <v>9.1</v>
      </c>
      <c r="L129">
        <v>3.3</v>
      </c>
      <c r="M129">
        <v>10.9</v>
      </c>
      <c r="N129">
        <v>2.37</v>
      </c>
      <c r="O129">
        <v>99.2</v>
      </c>
      <c r="P129">
        <v>-6.7</v>
      </c>
      <c r="Q129">
        <v>5.3</v>
      </c>
      <c r="R129">
        <v>8.1999999999999993</v>
      </c>
      <c r="S129">
        <v>8.9</v>
      </c>
      <c r="T129">
        <v>9</v>
      </c>
      <c r="U129">
        <v>281450</v>
      </c>
      <c r="V129" t="s">
        <v>62</v>
      </c>
      <c r="W129" t="s">
        <v>44</v>
      </c>
      <c r="Y129" t="s">
        <v>63</v>
      </c>
      <c r="Z129">
        <v>122431.19266055</v>
      </c>
      <c r="AA129">
        <v>2015</v>
      </c>
      <c r="AB129">
        <v>0.36456719116303099</v>
      </c>
      <c r="AC129">
        <v>0.109</v>
      </c>
      <c r="AD129">
        <v>3.2889657549644098</v>
      </c>
    </row>
    <row r="130" spans="1:30" x14ac:dyDescent="0.3">
      <c r="A130">
        <v>2015</v>
      </c>
      <c r="B130">
        <v>487</v>
      </c>
      <c r="C130" t="s">
        <v>106</v>
      </c>
      <c r="D130">
        <v>24440</v>
      </c>
      <c r="E130">
        <v>5.2</v>
      </c>
      <c r="F130">
        <v>2714</v>
      </c>
      <c r="G130">
        <v>-6.1</v>
      </c>
      <c r="H130">
        <v>45885</v>
      </c>
      <c r="I130">
        <v>21896</v>
      </c>
      <c r="J130">
        <v>50815.5</v>
      </c>
      <c r="K130">
        <v>11.1047463175123</v>
      </c>
      <c r="L130">
        <v>5.91478696741855</v>
      </c>
      <c r="M130">
        <v>12.394957983193301</v>
      </c>
      <c r="N130">
        <v>1.32</v>
      </c>
      <c r="O130">
        <v>-0.8</v>
      </c>
      <c r="P130">
        <v>20</v>
      </c>
      <c r="Q130">
        <v>13.9</v>
      </c>
      <c r="R130">
        <v>20.100000000000001</v>
      </c>
      <c r="S130">
        <v>11.8</v>
      </c>
      <c r="T130">
        <v>7.4</v>
      </c>
      <c r="U130">
        <v>70000</v>
      </c>
      <c r="W130" t="s">
        <v>30</v>
      </c>
      <c r="Y130" t="s">
        <v>107</v>
      </c>
      <c r="Z130">
        <v>21896</v>
      </c>
      <c r="AA130">
        <v>2014</v>
      </c>
      <c r="AB130">
        <v>0.53263593767026296</v>
      </c>
      <c r="AC130">
        <v>0.1239</v>
      </c>
      <c r="AD130">
        <v>2.09558823529412</v>
      </c>
    </row>
    <row r="131" spans="1:30" x14ac:dyDescent="0.3">
      <c r="A131">
        <v>2015</v>
      </c>
      <c r="B131">
        <v>484</v>
      </c>
      <c r="C131" t="s">
        <v>103</v>
      </c>
      <c r="D131">
        <v>24537</v>
      </c>
      <c r="E131">
        <v>-0.5</v>
      </c>
      <c r="F131">
        <v>2147</v>
      </c>
      <c r="G131">
        <v>7.1</v>
      </c>
      <c r="H131">
        <v>24177</v>
      </c>
      <c r="I131">
        <v>10119</v>
      </c>
      <c r="J131">
        <v>38796.1</v>
      </c>
      <c r="K131">
        <v>8.75005094347312</v>
      </c>
      <c r="L131">
        <v>8.8803408197873992</v>
      </c>
      <c r="M131">
        <v>21.2175116118194</v>
      </c>
      <c r="N131">
        <v>3.03</v>
      </c>
      <c r="O131">
        <v>9.8000000000000007</v>
      </c>
      <c r="P131">
        <v>5.9</v>
      </c>
      <c r="Q131">
        <v>7.4</v>
      </c>
      <c r="R131">
        <v>-9.6</v>
      </c>
      <c r="S131">
        <v>10.8</v>
      </c>
      <c r="T131">
        <v>8.8000000000000007</v>
      </c>
      <c r="U131">
        <v>115100</v>
      </c>
      <c r="W131" t="s">
        <v>90</v>
      </c>
      <c r="Y131" t="s">
        <v>105</v>
      </c>
      <c r="Z131">
        <v>10119</v>
      </c>
      <c r="AA131">
        <v>2014</v>
      </c>
      <c r="AB131">
        <v>1.01489018488646</v>
      </c>
      <c r="AC131">
        <v>0.2122</v>
      </c>
      <c r="AD131">
        <v>2.3892677142010101</v>
      </c>
    </row>
    <row r="132" spans="1:30" x14ac:dyDescent="0.3">
      <c r="A132">
        <v>2015</v>
      </c>
      <c r="B132">
        <v>275</v>
      </c>
      <c r="C132" t="s">
        <v>89</v>
      </c>
      <c r="D132">
        <v>40306</v>
      </c>
      <c r="E132">
        <v>3.2</v>
      </c>
      <c r="F132">
        <v>4239</v>
      </c>
      <c r="G132">
        <v>8</v>
      </c>
      <c r="H132">
        <v>45451</v>
      </c>
      <c r="I132">
        <v>17657</v>
      </c>
      <c r="J132">
        <v>81427.399999999994</v>
      </c>
      <c r="K132">
        <v>10.517044608743101</v>
      </c>
      <c r="L132">
        <v>9.3265274691425901</v>
      </c>
      <c r="M132">
        <v>24.007475788639098</v>
      </c>
      <c r="N132">
        <v>5.33</v>
      </c>
      <c r="O132">
        <v>8.3000000000000007</v>
      </c>
      <c r="P132">
        <v>13.3</v>
      </c>
      <c r="Q132">
        <v>13.6</v>
      </c>
      <c r="R132">
        <v>11.5</v>
      </c>
      <c r="S132">
        <v>23.5</v>
      </c>
      <c r="T132">
        <v>13.7</v>
      </c>
      <c r="U132">
        <v>127000</v>
      </c>
      <c r="W132" t="s">
        <v>90</v>
      </c>
      <c r="Y132" t="s">
        <v>92</v>
      </c>
      <c r="Z132">
        <v>17657</v>
      </c>
      <c r="AA132">
        <v>2014</v>
      </c>
      <c r="AB132">
        <v>0.88680117049129803</v>
      </c>
      <c r="AC132">
        <v>0.24010000000000001</v>
      </c>
      <c r="AD132">
        <v>2.5741065866228698</v>
      </c>
    </row>
    <row r="133" spans="1:30" x14ac:dyDescent="0.3">
      <c r="A133">
        <v>2015</v>
      </c>
      <c r="B133">
        <v>135</v>
      </c>
      <c r="C133" t="s">
        <v>68</v>
      </c>
      <c r="D133">
        <v>68775</v>
      </c>
      <c r="E133">
        <v>6.4</v>
      </c>
      <c r="F133">
        <v>8380</v>
      </c>
      <c r="G133">
        <v>22.9</v>
      </c>
      <c r="H133">
        <v>159339</v>
      </c>
      <c r="I133">
        <v>52711</v>
      </c>
      <c r="J133">
        <v>143494.1</v>
      </c>
      <c r="K133">
        <v>12.184660123591399</v>
      </c>
      <c r="L133">
        <v>5.2592271822968604</v>
      </c>
      <c r="M133">
        <v>15.8980099030563</v>
      </c>
      <c r="N133">
        <v>3.2</v>
      </c>
      <c r="O133">
        <v>25</v>
      </c>
      <c r="P133">
        <v>20.5</v>
      </c>
      <c r="Q133">
        <v>27.3</v>
      </c>
      <c r="R133">
        <v>13.5</v>
      </c>
      <c r="S133">
        <v>30.4</v>
      </c>
      <c r="T133">
        <v>11.4</v>
      </c>
      <c r="U133">
        <v>139000</v>
      </c>
      <c r="W133" t="s">
        <v>44</v>
      </c>
      <c r="Y133" t="s">
        <v>94</v>
      </c>
      <c r="Z133">
        <v>52711</v>
      </c>
      <c r="AA133">
        <v>2014</v>
      </c>
      <c r="AB133">
        <v>0.431626908666428</v>
      </c>
      <c r="AC133">
        <v>0.159</v>
      </c>
      <c r="AD133">
        <v>3.0228794748724201</v>
      </c>
    </row>
    <row r="134" spans="1:30" x14ac:dyDescent="0.3">
      <c r="A134">
        <v>2015</v>
      </c>
      <c r="B134">
        <v>95</v>
      </c>
      <c r="C134" t="s">
        <v>95</v>
      </c>
      <c r="D134">
        <v>86833</v>
      </c>
      <c r="E134">
        <v>11.5</v>
      </c>
      <c r="F134">
        <v>22074</v>
      </c>
      <c r="G134">
        <v>1</v>
      </c>
      <c r="H134">
        <v>172384</v>
      </c>
      <c r="I134">
        <v>89784</v>
      </c>
      <c r="J134">
        <v>333524.90000000002</v>
      </c>
      <c r="K134">
        <v>25.421210829983998</v>
      </c>
      <c r="L134">
        <v>12.8051327269352</v>
      </c>
      <c r="M134">
        <v>24.585672280139001</v>
      </c>
      <c r="N134">
        <v>2.63</v>
      </c>
      <c r="O134">
        <v>1.9</v>
      </c>
      <c r="P134">
        <v>10.199999999999999</v>
      </c>
      <c r="Q134">
        <v>13.4</v>
      </c>
      <c r="R134">
        <v>27.5</v>
      </c>
      <c r="S134">
        <v>11.7</v>
      </c>
      <c r="T134">
        <v>8</v>
      </c>
      <c r="U134">
        <v>128000</v>
      </c>
      <c r="W134" t="s">
        <v>55</v>
      </c>
      <c r="Y134" t="s">
        <v>97</v>
      </c>
      <c r="Z134">
        <v>89784</v>
      </c>
      <c r="AA134">
        <v>2014</v>
      </c>
      <c r="AB134">
        <v>0.50371844254687204</v>
      </c>
      <c r="AC134">
        <v>0.24590000000000001</v>
      </c>
      <c r="AD134">
        <v>1.91998574356233</v>
      </c>
    </row>
    <row r="135" spans="1:30" x14ac:dyDescent="0.3">
      <c r="A135">
        <v>2015</v>
      </c>
      <c r="B135">
        <v>33</v>
      </c>
      <c r="C135" t="s">
        <v>61</v>
      </c>
      <c r="D135">
        <v>132447</v>
      </c>
      <c r="E135">
        <v>2.9</v>
      </c>
      <c r="F135">
        <v>6224</v>
      </c>
      <c r="G135">
        <v>-65.900000000000006</v>
      </c>
      <c r="H135">
        <v>292829</v>
      </c>
      <c r="I135">
        <v>86370</v>
      </c>
      <c r="J135">
        <v>169459</v>
      </c>
      <c r="K135">
        <v>4.69923818584037</v>
      </c>
      <c r="L135">
        <v>2.1254725454104602</v>
      </c>
      <c r="M135">
        <v>7.2062058585156903</v>
      </c>
      <c r="N135">
        <v>1.19</v>
      </c>
      <c r="O135">
        <v>-64.900000000000006</v>
      </c>
      <c r="P135">
        <v>-10.9</v>
      </c>
      <c r="Q135">
        <v>-3.9</v>
      </c>
      <c r="R135">
        <v>0.8</v>
      </c>
      <c r="S135">
        <v>9.6</v>
      </c>
      <c r="T135">
        <v>8.1999999999999993</v>
      </c>
      <c r="U135">
        <v>243620</v>
      </c>
      <c r="W135" t="s">
        <v>44</v>
      </c>
      <c r="Y135" t="s">
        <v>63</v>
      </c>
      <c r="Z135">
        <v>86370</v>
      </c>
      <c r="AA135">
        <v>2014</v>
      </c>
      <c r="AB135">
        <v>0.45230151385279499</v>
      </c>
      <c r="AC135">
        <v>7.2099999999999997E-2</v>
      </c>
      <c r="AD135">
        <v>3.39040175987033</v>
      </c>
    </row>
    <row r="136" spans="1:30" x14ac:dyDescent="0.3">
      <c r="A136">
        <v>2014</v>
      </c>
      <c r="B136">
        <v>482</v>
      </c>
      <c r="C136" t="s">
        <v>103</v>
      </c>
      <c r="D136">
        <v>24669</v>
      </c>
      <c r="E136">
        <v>0.7</v>
      </c>
      <c r="F136">
        <v>2004</v>
      </c>
      <c r="G136">
        <v>1.8</v>
      </c>
      <c r="H136">
        <v>24711</v>
      </c>
      <c r="I136">
        <v>10585.001899999999</v>
      </c>
      <c r="J136">
        <v>46959.501900000003</v>
      </c>
      <c r="K136">
        <v>8.1019000000000005</v>
      </c>
      <c r="L136">
        <v>8.1019000000000005</v>
      </c>
      <c r="M136">
        <v>18.901900000000001</v>
      </c>
      <c r="N136">
        <v>2.76</v>
      </c>
      <c r="O136">
        <v>3.4018999999999999</v>
      </c>
      <c r="P136">
        <v>-2.0001000000000002</v>
      </c>
      <c r="Q136">
        <v>7.9019000000000004</v>
      </c>
      <c r="R136">
        <v>36.101900000000001</v>
      </c>
      <c r="S136">
        <v>17.401900000000001</v>
      </c>
      <c r="T136">
        <v>11.101900000000001</v>
      </c>
      <c r="U136">
        <v>131600</v>
      </c>
      <c r="V136" t="s">
        <v>108</v>
      </c>
      <c r="W136" t="s">
        <v>90</v>
      </c>
      <c r="Y136" t="s">
        <v>105</v>
      </c>
      <c r="Z136">
        <v>10602.108782715</v>
      </c>
      <c r="AA136">
        <v>2013</v>
      </c>
      <c r="AB136">
        <v>0.99830035206992795</v>
      </c>
      <c r="AC136">
        <v>0.189</v>
      </c>
      <c r="AD136">
        <v>2.3307627290419202</v>
      </c>
    </row>
    <row r="137" spans="1:30" x14ac:dyDescent="0.3">
      <c r="A137">
        <v>2014</v>
      </c>
      <c r="B137">
        <v>283</v>
      </c>
      <c r="C137" t="s">
        <v>89</v>
      </c>
      <c r="D137">
        <v>39055</v>
      </c>
      <c r="E137">
        <v>3.7</v>
      </c>
      <c r="F137">
        <v>3924</v>
      </c>
      <c r="G137">
        <v>34.1</v>
      </c>
      <c r="H137">
        <v>45435</v>
      </c>
      <c r="I137">
        <v>17467.001899999999</v>
      </c>
      <c r="J137">
        <v>72537.7019</v>
      </c>
      <c r="K137">
        <v>10.001899999999999</v>
      </c>
      <c r="L137">
        <v>8.6019000000000005</v>
      </c>
      <c r="M137">
        <v>22.501899999999999</v>
      </c>
      <c r="N137">
        <v>4.92</v>
      </c>
      <c r="O137">
        <v>33.301900000000003</v>
      </c>
      <c r="P137">
        <v>5.5019</v>
      </c>
      <c r="Q137">
        <v>12.3019</v>
      </c>
      <c r="R137">
        <v>47.001899999999999</v>
      </c>
      <c r="S137">
        <v>26.101900000000001</v>
      </c>
      <c r="T137">
        <v>13.3019</v>
      </c>
      <c r="U137">
        <v>131000</v>
      </c>
      <c r="V137" t="s">
        <v>109</v>
      </c>
      <c r="W137" t="s">
        <v>90</v>
      </c>
      <c r="Y137" t="s">
        <v>92</v>
      </c>
      <c r="Z137">
        <v>17438.527413240699</v>
      </c>
      <c r="AA137">
        <v>2013</v>
      </c>
      <c r="AB137">
        <v>0.85957961923627202</v>
      </c>
      <c r="AC137">
        <v>0.22500000000000001</v>
      </c>
      <c r="AD137">
        <v>2.60543788608563</v>
      </c>
    </row>
    <row r="138" spans="1:30" x14ac:dyDescent="0.3">
      <c r="A138">
        <v>2014</v>
      </c>
      <c r="B138">
        <v>146</v>
      </c>
      <c r="C138" t="s">
        <v>68</v>
      </c>
      <c r="D138">
        <v>64657</v>
      </c>
      <c r="E138">
        <v>3.3</v>
      </c>
      <c r="F138">
        <v>6816</v>
      </c>
      <c r="G138">
        <v>9.9</v>
      </c>
      <c r="H138">
        <v>158813</v>
      </c>
      <c r="I138">
        <v>50694.001900000003</v>
      </c>
      <c r="J138">
        <v>130431.7019</v>
      </c>
      <c r="K138">
        <v>10.501899999999999</v>
      </c>
      <c r="L138">
        <v>4.3018999999999998</v>
      </c>
      <c r="M138">
        <v>13.401899999999999</v>
      </c>
      <c r="N138">
        <v>2.56</v>
      </c>
      <c r="O138">
        <v>12.3019</v>
      </c>
      <c r="P138">
        <v>24.401900000000001</v>
      </c>
      <c r="Q138">
        <v>10.3019</v>
      </c>
      <c r="R138">
        <v>41.501899999999999</v>
      </c>
      <c r="S138">
        <v>27.501899999999999</v>
      </c>
      <c r="T138">
        <v>10.2019</v>
      </c>
      <c r="U138">
        <v>136000</v>
      </c>
      <c r="V138" t="s">
        <v>110</v>
      </c>
      <c r="W138" t="s">
        <v>44</v>
      </c>
      <c r="Y138" t="s">
        <v>94</v>
      </c>
      <c r="Z138">
        <v>50858.460367559797</v>
      </c>
      <c r="AA138">
        <v>2013</v>
      </c>
      <c r="AB138">
        <v>0.40712662061670002</v>
      </c>
      <c r="AC138">
        <v>0.13400000000000001</v>
      </c>
      <c r="AD138">
        <v>3.1226466324823901</v>
      </c>
    </row>
    <row r="139" spans="1:30" x14ac:dyDescent="0.3">
      <c r="A139">
        <v>2014</v>
      </c>
      <c r="B139">
        <v>104</v>
      </c>
      <c r="C139" t="s">
        <v>95</v>
      </c>
      <c r="D139">
        <v>77849</v>
      </c>
      <c r="E139">
        <v>5.6</v>
      </c>
      <c r="F139">
        <v>21863</v>
      </c>
      <c r="G139">
        <v>28.8</v>
      </c>
      <c r="H139">
        <v>142431</v>
      </c>
      <c r="I139">
        <v>78944.001900000003</v>
      </c>
      <c r="J139">
        <v>340246.70189999999</v>
      </c>
      <c r="K139">
        <v>28.101900000000001</v>
      </c>
      <c r="L139">
        <v>15.3019</v>
      </c>
      <c r="M139">
        <v>27.701899999999998</v>
      </c>
      <c r="N139">
        <v>2.58</v>
      </c>
      <c r="O139">
        <v>29.001899999999999</v>
      </c>
      <c r="P139">
        <v>6.6018999999999997</v>
      </c>
      <c r="Q139">
        <v>10.901899999999999</v>
      </c>
      <c r="R139">
        <v>44.201900000000002</v>
      </c>
      <c r="S139">
        <v>16.901900000000001</v>
      </c>
      <c r="T139">
        <v>6.3018999999999998</v>
      </c>
      <c r="U139">
        <v>99000</v>
      </c>
      <c r="V139" t="s">
        <v>111</v>
      </c>
      <c r="W139" t="s">
        <v>55</v>
      </c>
      <c r="Y139" t="s">
        <v>97</v>
      </c>
      <c r="Z139">
        <v>78922.384385186597</v>
      </c>
      <c r="AA139">
        <v>2013</v>
      </c>
      <c r="AB139">
        <v>0.54657342853732704</v>
      </c>
      <c r="AC139">
        <v>0.27700000000000002</v>
      </c>
      <c r="AD139">
        <v>1.8046971224900501</v>
      </c>
    </row>
    <row r="140" spans="1:30" x14ac:dyDescent="0.3">
      <c r="A140">
        <v>2014</v>
      </c>
      <c r="B140">
        <v>34</v>
      </c>
      <c r="C140" t="s">
        <v>61</v>
      </c>
      <c r="D140">
        <v>128752</v>
      </c>
      <c r="E140">
        <v>1</v>
      </c>
      <c r="F140">
        <v>18249</v>
      </c>
      <c r="G140">
        <v>151.19999999999999</v>
      </c>
      <c r="H140">
        <v>277787</v>
      </c>
      <c r="I140">
        <v>90988.001900000003</v>
      </c>
      <c r="J140">
        <v>182604.20189999999</v>
      </c>
      <c r="K140">
        <v>14.2019</v>
      </c>
      <c r="L140">
        <v>6.6018999999999997</v>
      </c>
      <c r="M140">
        <v>20.101900000000001</v>
      </c>
      <c r="N140">
        <v>3.39</v>
      </c>
      <c r="O140">
        <v>171.20189999999999</v>
      </c>
      <c r="P140">
        <v>9.4018999999999995</v>
      </c>
      <c r="Q140">
        <v>2.8018999999999998</v>
      </c>
      <c r="R140">
        <v>9.6019000000000005</v>
      </c>
      <c r="S140">
        <v>10.401899999999999</v>
      </c>
      <c r="T140">
        <v>8.5018999999999991</v>
      </c>
      <c r="U140">
        <v>243360</v>
      </c>
      <c r="V140" t="s">
        <v>112</v>
      </c>
      <c r="W140" t="s">
        <v>44</v>
      </c>
      <c r="Y140" t="s">
        <v>63</v>
      </c>
      <c r="Z140">
        <v>90782.463349235593</v>
      </c>
      <c r="AA140">
        <v>2013</v>
      </c>
      <c r="AB140">
        <v>0.46349181207183898</v>
      </c>
      <c r="AC140">
        <v>0.20100000000000001</v>
      </c>
      <c r="AD140">
        <v>3.0599191710778699</v>
      </c>
    </row>
    <row r="141" spans="1:30" x14ac:dyDescent="0.3">
      <c r="A141">
        <v>2013</v>
      </c>
      <c r="B141">
        <v>478</v>
      </c>
      <c r="C141" t="s">
        <v>103</v>
      </c>
      <c r="D141">
        <v>24507</v>
      </c>
      <c r="E141">
        <v>1.1000000000000001</v>
      </c>
      <c r="F141">
        <v>1968</v>
      </c>
      <c r="G141">
        <v>-20.6</v>
      </c>
      <c r="H141">
        <v>23818</v>
      </c>
      <c r="I141">
        <v>10295</v>
      </c>
      <c r="J141">
        <v>40342.199999999997</v>
      </c>
      <c r="K141">
        <v>8</v>
      </c>
      <c r="L141">
        <v>8.2627000000000006</v>
      </c>
      <c r="M141">
        <v>19</v>
      </c>
      <c r="N141">
        <v>2.67</v>
      </c>
      <c r="O141">
        <v>-18.3</v>
      </c>
      <c r="P141">
        <v>0.1</v>
      </c>
      <c r="Q141">
        <v>33.799999999999997</v>
      </c>
      <c r="R141">
        <v>17.399999999999999</v>
      </c>
      <c r="S141">
        <v>1.7</v>
      </c>
      <c r="T141">
        <v>10.6</v>
      </c>
      <c r="U141">
        <v>134900</v>
      </c>
      <c r="V141" t="s">
        <v>108</v>
      </c>
      <c r="W141" t="s">
        <v>90</v>
      </c>
      <c r="Y141" t="s">
        <v>105</v>
      </c>
      <c r="Z141">
        <v>10357.8947368421</v>
      </c>
      <c r="AA141">
        <v>2012</v>
      </c>
      <c r="AB141">
        <v>1.0289277017381799</v>
      </c>
      <c r="AC141">
        <v>0.19</v>
      </c>
      <c r="AD141">
        <v>2.2995020325203299</v>
      </c>
    </row>
    <row r="142" spans="1:30" x14ac:dyDescent="0.3">
      <c r="A142">
        <v>2013</v>
      </c>
      <c r="B142">
        <v>165</v>
      </c>
      <c r="C142" t="s">
        <v>113</v>
      </c>
      <c r="D142">
        <v>56940</v>
      </c>
      <c r="E142">
        <v>-8.3000000000000007</v>
      </c>
      <c r="F142">
        <v>2372</v>
      </c>
      <c r="G142">
        <v>-32.1</v>
      </c>
      <c r="H142">
        <v>47540</v>
      </c>
      <c r="I142">
        <v>10680</v>
      </c>
      <c r="J142">
        <v>25037.7</v>
      </c>
      <c r="K142">
        <v>4.2</v>
      </c>
      <c r="L142">
        <v>4.9894999999999996</v>
      </c>
      <c r="M142">
        <v>22</v>
      </c>
      <c r="N142">
        <v>1.35</v>
      </c>
      <c r="O142">
        <v>-28.2</v>
      </c>
      <c r="P142">
        <v>0.6</v>
      </c>
      <c r="Q142">
        <v>5.4</v>
      </c>
      <c r="R142">
        <v>-30.1</v>
      </c>
      <c r="S142">
        <v>-16</v>
      </c>
      <c r="T142">
        <v>-9.1999999999999993</v>
      </c>
      <c r="U142">
        <v>110050</v>
      </c>
      <c r="V142" t="s">
        <v>114</v>
      </c>
      <c r="W142" t="s">
        <v>30</v>
      </c>
      <c r="Y142" t="s">
        <v>115</v>
      </c>
      <c r="Z142">
        <v>10781.8181818182</v>
      </c>
      <c r="AA142">
        <v>2012</v>
      </c>
      <c r="AB142">
        <v>1.19772822885991</v>
      </c>
      <c r="AC142">
        <v>0.22</v>
      </c>
      <c r="AD142">
        <v>4.40927487352445</v>
      </c>
    </row>
    <row r="143" spans="1:30" x14ac:dyDescent="0.3">
      <c r="A143">
        <v>2013</v>
      </c>
      <c r="B143">
        <v>110</v>
      </c>
      <c r="C143" t="s">
        <v>95</v>
      </c>
      <c r="D143">
        <v>73723</v>
      </c>
      <c r="E143">
        <v>5.4</v>
      </c>
      <c r="F143">
        <v>16978</v>
      </c>
      <c r="G143">
        <v>-26.7</v>
      </c>
      <c r="H143">
        <v>121271</v>
      </c>
      <c r="I143">
        <v>66363</v>
      </c>
      <c r="J143">
        <v>239602.5</v>
      </c>
      <c r="K143">
        <v>23</v>
      </c>
      <c r="L143">
        <v>14</v>
      </c>
      <c r="M143">
        <v>26</v>
      </c>
      <c r="N143">
        <v>2</v>
      </c>
      <c r="O143">
        <v>-25.7</v>
      </c>
      <c r="P143">
        <v>7.1</v>
      </c>
      <c r="Q143">
        <v>11</v>
      </c>
      <c r="R143">
        <v>5.8</v>
      </c>
      <c r="S143">
        <v>-3.4</v>
      </c>
      <c r="T143">
        <v>3.1</v>
      </c>
      <c r="U143">
        <v>94000</v>
      </c>
      <c r="V143" t="s">
        <v>111</v>
      </c>
      <c r="W143" t="s">
        <v>55</v>
      </c>
      <c r="Y143" t="s">
        <v>97</v>
      </c>
      <c r="Z143">
        <v>65300</v>
      </c>
      <c r="AA143">
        <v>2012</v>
      </c>
      <c r="AB143">
        <v>0.60791945312564399</v>
      </c>
      <c r="AC143">
        <v>0.26</v>
      </c>
      <c r="AD143">
        <v>1.85713629402757</v>
      </c>
    </row>
    <row r="144" spans="1:30" x14ac:dyDescent="0.3">
      <c r="A144">
        <v>2013</v>
      </c>
      <c r="B144">
        <v>34</v>
      </c>
      <c r="C144" t="s">
        <v>61</v>
      </c>
      <c r="D144">
        <v>127434</v>
      </c>
      <c r="E144">
        <v>0.6</v>
      </c>
      <c r="F144">
        <v>7264</v>
      </c>
      <c r="G144">
        <v>84.2</v>
      </c>
      <c r="H144">
        <v>272315</v>
      </c>
      <c r="I144">
        <v>92362</v>
      </c>
      <c r="J144">
        <v>201487.2</v>
      </c>
      <c r="K144">
        <v>5.7</v>
      </c>
      <c r="L144">
        <v>2.6675</v>
      </c>
      <c r="M144">
        <v>8</v>
      </c>
      <c r="N144">
        <v>1.25</v>
      </c>
      <c r="O144">
        <v>89.4</v>
      </c>
      <c r="P144">
        <v>-8.4</v>
      </c>
      <c r="Q144">
        <v>-3</v>
      </c>
      <c r="R144">
        <v>17.399999999999999</v>
      </c>
      <c r="S144">
        <v>1.5</v>
      </c>
      <c r="T144">
        <v>7.3</v>
      </c>
      <c r="U144">
        <v>241810</v>
      </c>
      <c r="V144" t="s">
        <v>112</v>
      </c>
      <c r="W144" t="s">
        <v>44</v>
      </c>
      <c r="Y144" t="s">
        <v>63</v>
      </c>
      <c r="Z144">
        <v>90800</v>
      </c>
      <c r="AA144">
        <v>2012</v>
      </c>
      <c r="AB144">
        <v>0.467965407707985</v>
      </c>
      <c r="AC144">
        <v>0.08</v>
      </c>
      <c r="AD144">
        <v>2.9990638766519799</v>
      </c>
    </row>
    <row r="145" spans="1:30" x14ac:dyDescent="0.3">
      <c r="A145">
        <v>2012</v>
      </c>
      <c r="B145">
        <v>260</v>
      </c>
      <c r="C145" t="s">
        <v>89</v>
      </c>
      <c r="D145">
        <v>39302</v>
      </c>
      <c r="E145">
        <v>1.9</v>
      </c>
      <c r="F145">
        <v>4809</v>
      </c>
      <c r="G145">
        <v>0.9</v>
      </c>
      <c r="H145">
        <v>54146</v>
      </c>
      <c r="I145">
        <v>19369</v>
      </c>
      <c r="J145">
        <v>94990.9</v>
      </c>
      <c r="K145">
        <v>12.2</v>
      </c>
      <c r="L145">
        <v>8.9</v>
      </c>
      <c r="M145">
        <v>24.8</v>
      </c>
      <c r="N145">
        <v>6.2</v>
      </c>
      <c r="O145">
        <v>2.6</v>
      </c>
      <c r="P145">
        <v>18.899999999999999</v>
      </c>
      <c r="Q145">
        <v>9.4</v>
      </c>
      <c r="R145">
        <v>14.9</v>
      </c>
      <c r="S145">
        <v>19</v>
      </c>
      <c r="T145">
        <v>12.6</v>
      </c>
      <c r="U145">
        <v>131000</v>
      </c>
      <c r="V145" t="s">
        <v>109</v>
      </c>
      <c r="W145" t="s">
        <v>90</v>
      </c>
      <c r="Y145" t="s">
        <v>92</v>
      </c>
      <c r="Z145">
        <v>19391.129032258101</v>
      </c>
      <c r="AA145">
        <v>2011</v>
      </c>
      <c r="AB145">
        <v>0.72585232519484399</v>
      </c>
      <c r="AC145">
        <v>0.248</v>
      </c>
      <c r="AD145">
        <v>2.79230775629029</v>
      </c>
    </row>
    <row r="146" spans="1:30" x14ac:dyDescent="0.3">
      <c r="A146">
        <v>2012</v>
      </c>
      <c r="B146">
        <v>79</v>
      </c>
      <c r="C146" t="s">
        <v>68</v>
      </c>
      <c r="D146">
        <v>80403</v>
      </c>
      <c r="E146">
        <v>7.9</v>
      </c>
      <c r="F146">
        <v>8695</v>
      </c>
      <c r="G146">
        <v>6.5</v>
      </c>
      <c r="H146">
        <v>180500</v>
      </c>
      <c r="I146">
        <v>53943</v>
      </c>
      <c r="J146">
        <v>178257.8</v>
      </c>
      <c r="K146">
        <v>10.8</v>
      </c>
      <c r="L146">
        <v>4.8</v>
      </c>
      <c r="M146">
        <v>16.100000000000001</v>
      </c>
      <c r="N146">
        <v>3.57</v>
      </c>
      <c r="O146">
        <v>10.199999999999999</v>
      </c>
      <c r="P146">
        <v>18.899999999999999</v>
      </c>
      <c r="Q146">
        <v>16.3</v>
      </c>
      <c r="R146">
        <v>24.5</v>
      </c>
      <c r="S146">
        <v>26</v>
      </c>
      <c r="T146">
        <v>11</v>
      </c>
      <c r="U146">
        <v>159000</v>
      </c>
      <c r="V146" t="s">
        <v>110</v>
      </c>
      <c r="W146" t="s">
        <v>44</v>
      </c>
      <c r="Y146" t="s">
        <v>94</v>
      </c>
      <c r="Z146">
        <v>54006.211180124199</v>
      </c>
      <c r="AA146">
        <v>2011</v>
      </c>
      <c r="AB146">
        <v>0.44544598337950098</v>
      </c>
      <c r="AC146">
        <v>0.161</v>
      </c>
      <c r="AD146">
        <v>3.3422081656124201</v>
      </c>
    </row>
    <row r="147" spans="1:30" x14ac:dyDescent="0.3">
      <c r="A147">
        <v>2012</v>
      </c>
      <c r="B147">
        <v>69</v>
      </c>
      <c r="C147" t="s">
        <v>95</v>
      </c>
      <c r="D147">
        <v>85320</v>
      </c>
      <c r="E147">
        <v>-8.8000000000000007</v>
      </c>
      <c r="F147">
        <v>16798</v>
      </c>
      <c r="G147">
        <v>37.799999999999997</v>
      </c>
      <c r="H147">
        <v>193694</v>
      </c>
      <c r="I147">
        <v>71997</v>
      </c>
      <c r="J147">
        <v>508935.1</v>
      </c>
      <c r="K147">
        <v>19.7</v>
      </c>
      <c r="L147">
        <v>8.6999999999999993</v>
      </c>
      <c r="M147">
        <v>23.3</v>
      </c>
      <c r="N147">
        <v>2.1</v>
      </c>
      <c r="O147">
        <v>41.9</v>
      </c>
      <c r="P147">
        <v>-4.8</v>
      </c>
      <c r="Q147">
        <v>5.8</v>
      </c>
      <c r="R147">
        <v>15</v>
      </c>
      <c r="S147">
        <v>22.4</v>
      </c>
      <c r="T147">
        <v>10.199999999999999</v>
      </c>
      <c r="U147">
        <v>114000</v>
      </c>
      <c r="V147" t="s">
        <v>111</v>
      </c>
      <c r="W147" t="s">
        <v>55</v>
      </c>
      <c r="Y147" t="s">
        <v>97</v>
      </c>
      <c r="Z147">
        <v>72094.420600858401</v>
      </c>
      <c r="AA147">
        <v>2011</v>
      </c>
      <c r="AB147">
        <v>0.44048860573894899</v>
      </c>
      <c r="AC147">
        <v>0.23300000000000001</v>
      </c>
      <c r="AD147">
        <v>2.6866711513275399</v>
      </c>
    </row>
    <row r="148" spans="1:30" x14ac:dyDescent="0.3">
      <c r="A148">
        <v>2012</v>
      </c>
      <c r="B148">
        <v>26</v>
      </c>
      <c r="C148" t="s">
        <v>64</v>
      </c>
      <c r="D148">
        <v>135987</v>
      </c>
      <c r="E148">
        <v>27.1</v>
      </c>
      <c r="F148">
        <v>2371</v>
      </c>
      <c r="G148">
        <v>297.8</v>
      </c>
      <c r="H148">
        <v>83402</v>
      </c>
      <c r="I148">
        <v>19285</v>
      </c>
      <c r="J148">
        <v>423030.8</v>
      </c>
      <c r="K148">
        <v>1.7</v>
      </c>
      <c r="L148">
        <v>2.8</v>
      </c>
      <c r="M148">
        <v>12.3</v>
      </c>
      <c r="N148">
        <v>4.9000000000000004</v>
      </c>
      <c r="O148">
        <v>292</v>
      </c>
      <c r="P148">
        <v>29</v>
      </c>
      <c r="Q148">
        <v>27</v>
      </c>
      <c r="R148">
        <v>10.9</v>
      </c>
      <c r="S148">
        <v>34.1</v>
      </c>
      <c r="T148">
        <v>34.200000000000003</v>
      </c>
      <c r="U148">
        <v>341400</v>
      </c>
      <c r="V148" t="s">
        <v>67</v>
      </c>
      <c r="W148" t="s">
        <v>34</v>
      </c>
      <c r="Y148" t="s">
        <v>66</v>
      </c>
      <c r="Z148">
        <v>19276.422764227598</v>
      </c>
      <c r="AA148">
        <v>2011</v>
      </c>
      <c r="AB148">
        <v>1.6305004676146899</v>
      </c>
      <c r="AC148">
        <v>0.123</v>
      </c>
      <c r="AD148">
        <v>4.3266326444538201</v>
      </c>
    </row>
    <row r="149" spans="1:30" x14ac:dyDescent="0.3">
      <c r="A149">
        <v>2012</v>
      </c>
      <c r="B149">
        <v>19</v>
      </c>
      <c r="C149" t="s">
        <v>61</v>
      </c>
      <c r="D149">
        <v>163786</v>
      </c>
      <c r="E149">
        <v>11.6</v>
      </c>
      <c r="F149">
        <v>12976</v>
      </c>
      <c r="G149">
        <v>-2.8</v>
      </c>
      <c r="H149">
        <v>403821</v>
      </c>
      <c r="I149">
        <v>123135</v>
      </c>
      <c r="J149">
        <v>255678.6</v>
      </c>
      <c r="K149">
        <v>7.9</v>
      </c>
      <c r="L149">
        <v>3.2</v>
      </c>
      <c r="M149">
        <v>10.5</v>
      </c>
      <c r="N149">
        <v>2.1</v>
      </c>
      <c r="O149">
        <v>-11.4</v>
      </c>
      <c r="P149">
        <v>26</v>
      </c>
      <c r="Q149">
        <v>1.1000000000000001</v>
      </c>
      <c r="R149">
        <v>29.9</v>
      </c>
      <c r="S149">
        <v>12.7</v>
      </c>
      <c r="T149">
        <v>7.3</v>
      </c>
      <c r="U149">
        <v>268540</v>
      </c>
      <c r="V149" t="s">
        <v>112</v>
      </c>
      <c r="W149" t="s">
        <v>44</v>
      </c>
      <c r="Y149" t="s">
        <v>63</v>
      </c>
      <c r="Z149">
        <v>123580.952380952</v>
      </c>
      <c r="AA149">
        <v>2011</v>
      </c>
      <c r="AB149">
        <v>0.40559059583330198</v>
      </c>
      <c r="AC149">
        <v>0.105</v>
      </c>
      <c r="AD149">
        <v>3.2676637638717598</v>
      </c>
    </row>
    <row r="150" spans="1:30" x14ac:dyDescent="0.3">
      <c r="A150">
        <v>2023</v>
      </c>
      <c r="B150">
        <v>477</v>
      </c>
      <c r="C150" t="s">
        <v>116</v>
      </c>
      <c r="D150">
        <v>31877</v>
      </c>
      <c r="E150">
        <v>82.6</v>
      </c>
      <c r="F150">
        <v>-9141</v>
      </c>
      <c r="G150">
        <v>0</v>
      </c>
      <c r="H150">
        <v>32109</v>
      </c>
      <c r="I150">
        <v>7340</v>
      </c>
      <c r="J150">
        <v>63839.7</v>
      </c>
      <c r="K150">
        <v>-28.7</v>
      </c>
      <c r="L150">
        <v>-28.5</v>
      </c>
      <c r="M150">
        <v>-124.5</v>
      </c>
      <c r="N150">
        <v>-4.6500000000000004</v>
      </c>
      <c r="O150">
        <v>0</v>
      </c>
      <c r="P150">
        <v>0</v>
      </c>
      <c r="Q150">
        <v>0</v>
      </c>
      <c r="R150">
        <v>-41</v>
      </c>
      <c r="S150">
        <v>0</v>
      </c>
      <c r="T150">
        <v>0</v>
      </c>
      <c r="U150">
        <v>32800</v>
      </c>
      <c r="V150" t="s">
        <v>117</v>
      </c>
      <c r="W150" t="s">
        <v>34</v>
      </c>
      <c r="Y150" t="s">
        <v>118</v>
      </c>
      <c r="Z150">
        <v>7342.1686746987998</v>
      </c>
      <c r="AA150">
        <v>2022</v>
      </c>
      <c r="AB150">
        <v>0.99277461147964696</v>
      </c>
      <c r="AC150">
        <v>-1.2450000000000001</v>
      </c>
      <c r="AD150">
        <v>4.3732310469314104</v>
      </c>
    </row>
    <row r="151" spans="1:30" x14ac:dyDescent="0.3">
      <c r="A151">
        <v>2022</v>
      </c>
      <c r="B151">
        <v>32</v>
      </c>
      <c r="C151" t="s">
        <v>61</v>
      </c>
      <c r="D151">
        <v>168864</v>
      </c>
      <c r="E151">
        <v>-1.7</v>
      </c>
      <c r="F151">
        <v>20081</v>
      </c>
      <c r="G151">
        <v>0</v>
      </c>
      <c r="H151">
        <v>551622</v>
      </c>
      <c r="I151">
        <v>166332</v>
      </c>
      <c r="J151">
        <v>169262.4</v>
      </c>
      <c r="K151">
        <v>11.9</v>
      </c>
      <c r="L151">
        <v>3.6</v>
      </c>
      <c r="M151">
        <v>12.1</v>
      </c>
      <c r="N151">
        <v>2.76</v>
      </c>
      <c r="O151">
        <v>0</v>
      </c>
      <c r="P151">
        <v>5.6</v>
      </c>
      <c r="Q151">
        <v>15.4</v>
      </c>
      <c r="R151">
        <v>-8</v>
      </c>
      <c r="S151">
        <v>-4.5999999999999996</v>
      </c>
      <c r="T151">
        <v>3.7</v>
      </c>
      <c r="U151">
        <v>202600</v>
      </c>
      <c r="V151" t="s">
        <v>62</v>
      </c>
      <c r="W151" t="s">
        <v>44</v>
      </c>
      <c r="Y151" t="s">
        <v>63</v>
      </c>
      <c r="Z151">
        <v>165958.67768595001</v>
      </c>
      <c r="AA151">
        <v>2021</v>
      </c>
      <c r="AB151">
        <v>0.306122670959461</v>
      </c>
      <c r="AC151">
        <v>0.121</v>
      </c>
      <c r="AD151">
        <v>3.32385150141925</v>
      </c>
    </row>
    <row r="152" spans="1:30" x14ac:dyDescent="0.3">
      <c r="A152">
        <v>2017</v>
      </c>
      <c r="B152">
        <v>376</v>
      </c>
      <c r="C152" t="s">
        <v>43</v>
      </c>
      <c r="D152">
        <v>29003</v>
      </c>
      <c r="E152">
        <v>197.3</v>
      </c>
      <c r="F152">
        <v>3522</v>
      </c>
      <c r="G152">
        <v>0</v>
      </c>
      <c r="H152">
        <v>149067</v>
      </c>
      <c r="I152">
        <v>40139</v>
      </c>
      <c r="J152">
        <v>100595.2</v>
      </c>
      <c r="K152">
        <v>12.1</v>
      </c>
      <c r="L152">
        <v>2.4</v>
      </c>
      <c r="M152">
        <v>8.8000000000000007</v>
      </c>
      <c r="N152">
        <v>15.94</v>
      </c>
      <c r="O152">
        <v>0</v>
      </c>
      <c r="P152">
        <v>0</v>
      </c>
      <c r="Q152">
        <v>0</v>
      </c>
      <c r="R152">
        <v>42.2</v>
      </c>
      <c r="S152">
        <v>35.5</v>
      </c>
      <c r="T152">
        <v>0</v>
      </c>
      <c r="U152">
        <v>91500</v>
      </c>
      <c r="V152" t="s">
        <v>45</v>
      </c>
      <c r="W152" t="s">
        <v>44</v>
      </c>
      <c r="Y152" t="s">
        <v>46</v>
      </c>
      <c r="Z152">
        <v>40022.727272727301</v>
      </c>
      <c r="AA152">
        <v>2016</v>
      </c>
      <c r="AB152">
        <v>0.19456351841789299</v>
      </c>
      <c r="AC152">
        <v>8.7999999999999995E-2</v>
      </c>
      <c r="AD152">
        <v>3.7245587734241901</v>
      </c>
    </row>
    <row r="153" spans="1:30" x14ac:dyDescent="0.3">
      <c r="A153">
        <v>2016</v>
      </c>
      <c r="B153">
        <v>44</v>
      </c>
      <c r="C153" t="s">
        <v>64</v>
      </c>
      <c r="D153">
        <v>107006</v>
      </c>
      <c r="E153">
        <v>20.2</v>
      </c>
      <c r="F153">
        <v>596</v>
      </c>
      <c r="G153">
        <v>0</v>
      </c>
      <c r="H153">
        <v>65444</v>
      </c>
      <c r="I153">
        <v>13384</v>
      </c>
      <c r="J153">
        <v>279510.7</v>
      </c>
      <c r="K153">
        <v>0.6</v>
      </c>
      <c r="L153">
        <v>0.9</v>
      </c>
      <c r="M153">
        <v>4.5</v>
      </c>
      <c r="N153">
        <v>1.25</v>
      </c>
      <c r="O153">
        <v>0</v>
      </c>
      <c r="P153">
        <v>-13.2</v>
      </c>
      <c r="Q153">
        <v>4.0999999999999996</v>
      </c>
      <c r="R153">
        <v>117.8</v>
      </c>
      <c r="S153">
        <v>30.3</v>
      </c>
      <c r="T153">
        <v>30.5</v>
      </c>
      <c r="U153">
        <v>230800</v>
      </c>
      <c r="V153" t="s">
        <v>65</v>
      </c>
      <c r="W153" t="s">
        <v>34</v>
      </c>
      <c r="Y153" t="s">
        <v>66</v>
      </c>
      <c r="Z153">
        <v>13244.4444444444</v>
      </c>
      <c r="AA153">
        <v>2015</v>
      </c>
      <c r="AB153">
        <v>1.6350773180123499</v>
      </c>
      <c r="AC153">
        <v>4.4999999999999998E-2</v>
      </c>
      <c r="AD153">
        <v>4.94124161073825</v>
      </c>
    </row>
    <row r="154" spans="1:30" x14ac:dyDescent="0.3">
      <c r="A154">
        <v>2014</v>
      </c>
      <c r="B154">
        <v>112</v>
      </c>
      <c r="C154" t="s">
        <v>64</v>
      </c>
      <c r="D154">
        <v>74452</v>
      </c>
      <c r="E154">
        <v>21.9</v>
      </c>
      <c r="F154">
        <v>274</v>
      </c>
      <c r="G154">
        <v>0</v>
      </c>
      <c r="H154">
        <v>40159</v>
      </c>
      <c r="I154">
        <v>9746.0018999999993</v>
      </c>
      <c r="J154">
        <v>154480.5019</v>
      </c>
      <c r="K154">
        <v>0.40189999999999998</v>
      </c>
      <c r="L154">
        <v>0.70189999999999997</v>
      </c>
      <c r="M154">
        <v>2.8018999999999998</v>
      </c>
      <c r="N154">
        <v>0.59</v>
      </c>
      <c r="O154">
        <v>0</v>
      </c>
      <c r="P154">
        <v>-16.900099999999998</v>
      </c>
      <c r="Q154">
        <v>22.101900000000001</v>
      </c>
      <c r="R154">
        <v>59.001899999999999</v>
      </c>
      <c r="S154">
        <v>50.701900000000002</v>
      </c>
      <c r="T154">
        <v>22.501899999999999</v>
      </c>
      <c r="U154">
        <v>117300</v>
      </c>
      <c r="V154" t="s">
        <v>67</v>
      </c>
      <c r="W154" t="s">
        <v>34</v>
      </c>
      <c r="Y154" t="s">
        <v>66</v>
      </c>
      <c r="Z154">
        <v>9779.0784824583297</v>
      </c>
      <c r="AA154">
        <v>2013</v>
      </c>
      <c r="AB154">
        <v>1.85393062576259</v>
      </c>
      <c r="AC154">
        <v>2.8000000000000001E-2</v>
      </c>
      <c r="AD154">
        <v>4.1066241642335797</v>
      </c>
    </row>
    <row r="155" spans="1:30" x14ac:dyDescent="0.3">
      <c r="A155">
        <v>2014</v>
      </c>
      <c r="B155">
        <v>50</v>
      </c>
      <c r="C155" t="s">
        <v>71</v>
      </c>
      <c r="D155">
        <v>112298</v>
      </c>
      <c r="E155">
        <v>-6.7</v>
      </c>
      <c r="F155">
        <v>5113</v>
      </c>
      <c r="G155">
        <v>0</v>
      </c>
      <c r="H155">
        <v>105676</v>
      </c>
      <c r="I155">
        <v>27269.001899999999</v>
      </c>
      <c r="J155">
        <v>61326.101900000001</v>
      </c>
      <c r="K155">
        <v>4.6018999999999997</v>
      </c>
      <c r="L155">
        <v>4.8018999999999998</v>
      </c>
      <c r="M155">
        <v>18.8019</v>
      </c>
      <c r="N155">
        <v>2.62</v>
      </c>
      <c r="O155">
        <v>0</v>
      </c>
      <c r="P155">
        <v>-4.2000999999999999</v>
      </c>
      <c r="Q155">
        <v>12.2019</v>
      </c>
      <c r="R155">
        <v>101.8019</v>
      </c>
      <c r="S155">
        <v>-3.5001000000000002</v>
      </c>
      <c r="T155">
        <v>3.3018999999999998</v>
      </c>
      <c r="U155">
        <v>317500</v>
      </c>
      <c r="V155" t="s">
        <v>72</v>
      </c>
      <c r="W155" t="s">
        <v>30</v>
      </c>
      <c r="Y155" t="s">
        <v>60</v>
      </c>
      <c r="Z155">
        <v>27194.060174769598</v>
      </c>
      <c r="AA155">
        <v>2013</v>
      </c>
      <c r="AB155">
        <v>1.06266323479314</v>
      </c>
      <c r="AC155">
        <v>0.188</v>
      </c>
      <c r="AD155">
        <v>3.8859956667318598</v>
      </c>
    </row>
    <row r="156" spans="1:30" x14ac:dyDescent="0.3">
      <c r="A156">
        <v>2013</v>
      </c>
      <c r="B156">
        <v>310</v>
      </c>
      <c r="C156" t="s">
        <v>119</v>
      </c>
      <c r="D156">
        <v>35345</v>
      </c>
      <c r="E156">
        <v>4.9000000000000004</v>
      </c>
      <c r="F156">
        <v>-4326</v>
      </c>
      <c r="G156">
        <v>0</v>
      </c>
      <c r="H156">
        <v>51570</v>
      </c>
      <c r="I156">
        <v>7087</v>
      </c>
      <c r="J156">
        <v>18696.900000000001</v>
      </c>
      <c r="K156">
        <v>-12.2</v>
      </c>
      <c r="L156">
        <v>-8.3886000000000003</v>
      </c>
      <c r="M156">
        <v>-61</v>
      </c>
      <c r="N156">
        <v>-1.44</v>
      </c>
      <c r="O156">
        <v>0</v>
      </c>
      <c r="P156">
        <v>0</v>
      </c>
      <c r="Q156">
        <v>0</v>
      </c>
      <c r="R156">
        <v>142.30000000000001</v>
      </c>
      <c r="S156">
        <v>-15.5</v>
      </c>
      <c r="T156">
        <v>-7.3</v>
      </c>
      <c r="U156">
        <v>39000</v>
      </c>
      <c r="V156" t="s">
        <v>120</v>
      </c>
      <c r="W156" t="s">
        <v>44</v>
      </c>
      <c r="Y156" t="s">
        <v>121</v>
      </c>
      <c r="Z156">
        <v>7091.8032786885296</v>
      </c>
      <c r="AA156">
        <v>2012</v>
      </c>
      <c r="AB156">
        <v>0.68537909637386096</v>
      </c>
      <c r="AC156">
        <v>-0.61</v>
      </c>
      <c r="AD156">
        <v>7.2717753120665698</v>
      </c>
    </row>
    <row r="157" spans="1:30" x14ac:dyDescent="0.3">
      <c r="A157">
        <v>2012</v>
      </c>
      <c r="B157">
        <v>376</v>
      </c>
      <c r="C157" t="s">
        <v>43</v>
      </c>
      <c r="D157">
        <v>29003</v>
      </c>
      <c r="E157">
        <v>197.3</v>
      </c>
      <c r="F157">
        <v>3522</v>
      </c>
      <c r="G157">
        <v>0</v>
      </c>
      <c r="H157">
        <v>149067</v>
      </c>
      <c r="I157">
        <v>40139</v>
      </c>
      <c r="J157">
        <v>100595.2</v>
      </c>
      <c r="K157">
        <v>12.1</v>
      </c>
      <c r="L157">
        <v>2.4</v>
      </c>
      <c r="M157">
        <v>8.8000000000000007</v>
      </c>
      <c r="N157">
        <v>15.94</v>
      </c>
      <c r="O157">
        <v>0</v>
      </c>
      <c r="P157">
        <v>0</v>
      </c>
      <c r="Q157">
        <v>0</v>
      </c>
      <c r="R157">
        <v>42.2</v>
      </c>
      <c r="S157">
        <v>35.5</v>
      </c>
      <c r="T157">
        <v>0</v>
      </c>
      <c r="U157">
        <v>91500</v>
      </c>
      <c r="V157" t="s">
        <v>122</v>
      </c>
      <c r="W157" t="s">
        <v>44</v>
      </c>
      <c r="Y157" t="s">
        <v>46</v>
      </c>
      <c r="Z157">
        <v>40022.727272727301</v>
      </c>
      <c r="AA157">
        <v>2011</v>
      </c>
      <c r="AB157">
        <v>0.19456351841789299</v>
      </c>
      <c r="AC157">
        <v>8.7999999999999995E-2</v>
      </c>
      <c r="AD157">
        <v>3.7245587734241901</v>
      </c>
    </row>
    <row r="158" spans="1:30" x14ac:dyDescent="0.3">
      <c r="A158">
        <v>2015</v>
      </c>
      <c r="B158">
        <v>53</v>
      </c>
      <c r="C158" t="s">
        <v>71</v>
      </c>
      <c r="D158">
        <v>111454</v>
      </c>
      <c r="E158">
        <v>-0.8</v>
      </c>
      <c r="F158">
        <v>5013</v>
      </c>
      <c r="G158">
        <v>-2</v>
      </c>
      <c r="H158">
        <v>103206</v>
      </c>
      <c r="I158">
        <v>26731</v>
      </c>
      <c r="J158">
        <v>56635.1</v>
      </c>
      <c r="K158">
        <v>4.4978197283184098</v>
      </c>
      <c r="L158">
        <v>4.8572757397825699</v>
      </c>
      <c r="M158">
        <v>18.753507163966901</v>
      </c>
      <c r="N158">
        <v>2.62</v>
      </c>
      <c r="O158">
        <v>0</v>
      </c>
      <c r="P158">
        <v>-3.6</v>
      </c>
      <c r="Q158">
        <v>8.6</v>
      </c>
      <c r="R158">
        <v>46.2</v>
      </c>
      <c r="S158">
        <v>-3.1</v>
      </c>
      <c r="T158">
        <v>8.1999999999999993</v>
      </c>
      <c r="U158">
        <v>302000</v>
      </c>
      <c r="W158" t="s">
        <v>30</v>
      </c>
      <c r="Y158" t="s">
        <v>60</v>
      </c>
      <c r="Z158">
        <v>26731</v>
      </c>
      <c r="AA158">
        <v>2014</v>
      </c>
      <c r="AB158">
        <v>1.07991783423444</v>
      </c>
      <c r="AC158">
        <v>0.1875</v>
      </c>
      <c r="AD158">
        <v>3.8609105532901902</v>
      </c>
    </row>
    <row r="159" spans="1:30" x14ac:dyDescent="0.3">
      <c r="A159">
        <v>2020</v>
      </c>
      <c r="B159">
        <v>84</v>
      </c>
      <c r="C159" t="s">
        <v>29</v>
      </c>
      <c r="D159">
        <v>90621</v>
      </c>
      <c r="E159">
        <v>15.2</v>
      </c>
      <c r="F159">
        <v>-2310</v>
      </c>
      <c r="G159">
        <v>0</v>
      </c>
      <c r="H159">
        <v>111820</v>
      </c>
      <c r="I159">
        <v>-5765</v>
      </c>
      <c r="J159">
        <v>42170.5</v>
      </c>
      <c r="K159">
        <v>-2.5</v>
      </c>
      <c r="L159">
        <v>-2.1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157000</v>
      </c>
      <c r="V159" t="s">
        <v>31</v>
      </c>
      <c r="W159" t="s">
        <v>30</v>
      </c>
      <c r="Y159" t="s">
        <v>32</v>
      </c>
      <c r="Z159" t="e" cm="1">
        <f t="array" ref="Z159">-∞</f>
        <v>#NAME?</v>
      </c>
      <c r="AA159">
        <v>2019</v>
      </c>
      <c r="AB159">
        <v>0.81041852978000395</v>
      </c>
      <c r="AC159">
        <v>0</v>
      </c>
      <c r="AD159">
        <v>0</v>
      </c>
    </row>
    <row r="160" spans="1:30" x14ac:dyDescent="0.3">
      <c r="A160">
        <v>2019</v>
      </c>
      <c r="B160">
        <v>84</v>
      </c>
      <c r="C160" t="s">
        <v>29</v>
      </c>
      <c r="D160">
        <v>90621</v>
      </c>
      <c r="E160">
        <v>15.2</v>
      </c>
      <c r="F160">
        <v>-2310</v>
      </c>
      <c r="G160">
        <v>0</v>
      </c>
      <c r="H160">
        <v>111820</v>
      </c>
      <c r="I160">
        <v>-5765</v>
      </c>
      <c r="J160">
        <v>42170.5</v>
      </c>
      <c r="K160">
        <v>-2.5</v>
      </c>
      <c r="L160">
        <v>-2.1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157000</v>
      </c>
      <c r="V160" t="s">
        <v>31</v>
      </c>
      <c r="W160" t="s">
        <v>30</v>
      </c>
      <c r="Y160" t="s">
        <v>32</v>
      </c>
      <c r="Z160" t="e" cm="1">
        <f t="array" ref="Z160">-∞</f>
        <v>#NAME?</v>
      </c>
      <c r="AA160">
        <v>2018</v>
      </c>
      <c r="AB160">
        <v>0.81041852978000395</v>
      </c>
      <c r="AC160">
        <v>0</v>
      </c>
      <c r="AD160">
        <v>0</v>
      </c>
    </row>
    <row r="161" spans="1:30" x14ac:dyDescent="0.3">
      <c r="A161">
        <v>2018</v>
      </c>
      <c r="B161">
        <v>84</v>
      </c>
      <c r="C161" t="s">
        <v>29</v>
      </c>
      <c r="D161">
        <v>90621</v>
      </c>
      <c r="E161">
        <v>15.2</v>
      </c>
      <c r="F161">
        <v>-2310</v>
      </c>
      <c r="G161">
        <v>0</v>
      </c>
      <c r="H161">
        <v>111820</v>
      </c>
      <c r="I161">
        <v>-5765</v>
      </c>
      <c r="J161">
        <v>42170.5</v>
      </c>
      <c r="K161">
        <v>-2.5</v>
      </c>
      <c r="L161">
        <v>-2.1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157000</v>
      </c>
      <c r="V161" t="s">
        <v>31</v>
      </c>
      <c r="W161" t="s">
        <v>30</v>
      </c>
      <c r="Y161" t="s">
        <v>32</v>
      </c>
      <c r="Z161" t="e" cm="1">
        <f t="array" ref="Z161">-∞</f>
        <v>#NAME?</v>
      </c>
      <c r="AA161">
        <v>2017</v>
      </c>
      <c r="AB161">
        <v>0.81041852978000395</v>
      </c>
      <c r="AC161">
        <v>0</v>
      </c>
      <c r="AD161">
        <v>0</v>
      </c>
    </row>
    <row r="162" spans="1:30" x14ac:dyDescent="0.3">
      <c r="A162">
        <v>2017</v>
      </c>
      <c r="B162">
        <v>124</v>
      </c>
      <c r="C162" t="s">
        <v>29</v>
      </c>
      <c r="D162">
        <v>64806</v>
      </c>
      <c r="E162">
        <v>18.100000000000001</v>
      </c>
      <c r="F162">
        <v>-1672</v>
      </c>
      <c r="G162">
        <v>0</v>
      </c>
      <c r="H162">
        <v>118206</v>
      </c>
      <c r="I162">
        <v>13243</v>
      </c>
      <c r="J162">
        <v>0</v>
      </c>
      <c r="K162">
        <v>-2.6</v>
      </c>
      <c r="L162">
        <v>-1.4</v>
      </c>
      <c r="M162">
        <v>-12.6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138000</v>
      </c>
      <c r="W162" t="s">
        <v>30</v>
      </c>
      <c r="Y162" t="s">
        <v>32</v>
      </c>
      <c r="Z162">
        <v>13269.841269841299</v>
      </c>
      <c r="AA162">
        <v>2016</v>
      </c>
      <c r="AB162">
        <v>0.54824628191462399</v>
      </c>
      <c r="AC162">
        <v>-0.126</v>
      </c>
      <c r="AD162">
        <v>8.9078684210526298</v>
      </c>
    </row>
    <row r="163" spans="1:30" x14ac:dyDescent="0.3">
      <c r="A163">
        <v>2012</v>
      </c>
      <c r="B163">
        <v>124</v>
      </c>
      <c r="C163" t="s">
        <v>29</v>
      </c>
      <c r="D163">
        <v>64806</v>
      </c>
      <c r="E163">
        <v>18.100000000000001</v>
      </c>
      <c r="F163">
        <v>-1672</v>
      </c>
      <c r="G163">
        <v>0</v>
      </c>
      <c r="H163">
        <v>118206</v>
      </c>
      <c r="I163">
        <v>13243</v>
      </c>
      <c r="J163">
        <v>0</v>
      </c>
      <c r="K163">
        <v>-2.6</v>
      </c>
      <c r="L163">
        <v>-1.4</v>
      </c>
      <c r="M163">
        <v>-12.6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138000</v>
      </c>
      <c r="W163" t="s">
        <v>30</v>
      </c>
      <c r="Y163" t="s">
        <v>32</v>
      </c>
      <c r="Z163">
        <v>13269.841269841299</v>
      </c>
      <c r="AA163">
        <v>2011</v>
      </c>
      <c r="AB163">
        <v>0.54824628191462399</v>
      </c>
      <c r="AC163">
        <v>-0.126</v>
      </c>
      <c r="AD163">
        <v>8.9078684210526298</v>
      </c>
    </row>
    <row r="164" spans="1:30" x14ac:dyDescent="0.3">
      <c r="A164">
        <v>2023</v>
      </c>
      <c r="B164">
        <v>467</v>
      </c>
      <c r="C164" t="s">
        <v>123</v>
      </c>
      <c r="D164">
        <v>32698.5</v>
      </c>
      <c r="E164">
        <v>17.7</v>
      </c>
      <c r="F164">
        <v>-994</v>
      </c>
      <c r="G164">
        <v>0</v>
      </c>
      <c r="H164">
        <v>35446.400000000001</v>
      </c>
      <c r="I164">
        <v>18668.7</v>
      </c>
      <c r="J164">
        <v>0</v>
      </c>
      <c r="K164">
        <v>-3</v>
      </c>
      <c r="L164">
        <v>-2.8</v>
      </c>
      <c r="M164">
        <v>-5.3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91932</v>
      </c>
      <c r="V164" t="s">
        <v>124</v>
      </c>
      <c r="W164" t="s">
        <v>34</v>
      </c>
      <c r="Y164" t="s">
        <v>125</v>
      </c>
      <c r="Z164">
        <v>18754.7169811321</v>
      </c>
      <c r="AA164">
        <v>2022</v>
      </c>
      <c r="AB164">
        <v>0.92247731786584797</v>
      </c>
      <c r="AC164">
        <v>-5.2999999999999999E-2</v>
      </c>
      <c r="AD164">
        <v>1.88999919517103</v>
      </c>
    </row>
    <row r="165" spans="1:30" x14ac:dyDescent="0.3">
      <c r="A165">
        <v>2023</v>
      </c>
      <c r="B165">
        <v>295</v>
      </c>
      <c r="C165" t="s">
        <v>126</v>
      </c>
      <c r="D165">
        <v>48541.599999999999</v>
      </c>
      <c r="E165">
        <v>-12.4</v>
      </c>
      <c r="F165">
        <v>-7167.3</v>
      </c>
      <c r="G165">
        <v>0</v>
      </c>
      <c r="H165">
        <v>330995.7</v>
      </c>
      <c r="I165">
        <v>68026.600000000006</v>
      </c>
      <c r="J165">
        <v>0</v>
      </c>
      <c r="K165">
        <v>-14.8</v>
      </c>
      <c r="L165">
        <v>-2.2000000000000002</v>
      </c>
      <c r="M165">
        <v>-10.5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63339</v>
      </c>
      <c r="V165" t="s">
        <v>127</v>
      </c>
      <c r="W165" t="s">
        <v>44</v>
      </c>
      <c r="Y165" t="s">
        <v>128</v>
      </c>
      <c r="Z165">
        <v>68260</v>
      </c>
      <c r="AA165">
        <v>2022</v>
      </c>
      <c r="AB165">
        <v>0.146653264679873</v>
      </c>
      <c r="AC165">
        <v>-0.105</v>
      </c>
      <c r="AD165">
        <v>4.8490433636097299</v>
      </c>
    </row>
    <row r="166" spans="1:30" x14ac:dyDescent="0.3">
      <c r="A166">
        <v>2023</v>
      </c>
      <c r="B166">
        <v>52</v>
      </c>
      <c r="C166" t="s">
        <v>129</v>
      </c>
      <c r="D166">
        <v>155533.29999999999</v>
      </c>
      <c r="E166">
        <v>5.4</v>
      </c>
      <c r="F166">
        <v>1543.1</v>
      </c>
      <c r="G166">
        <v>0</v>
      </c>
      <c r="H166">
        <v>86303.1</v>
      </c>
      <c r="I166">
        <v>30935.200000000001</v>
      </c>
      <c r="J166">
        <v>0</v>
      </c>
      <c r="K166">
        <v>1</v>
      </c>
      <c r="L166">
        <v>1.8</v>
      </c>
      <c r="M166">
        <v>5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450679</v>
      </c>
      <c r="V166" t="s">
        <v>130</v>
      </c>
      <c r="W166" t="s">
        <v>34</v>
      </c>
      <c r="Y166" t="s">
        <v>131</v>
      </c>
      <c r="Z166">
        <v>30862</v>
      </c>
      <c r="AA166">
        <v>2022</v>
      </c>
      <c r="AB166">
        <v>1.8021751246479001</v>
      </c>
      <c r="AC166">
        <v>0.05</v>
      </c>
      <c r="AD166">
        <v>2.7964195450716098</v>
      </c>
    </row>
    <row r="167" spans="1:30" x14ac:dyDescent="0.3">
      <c r="A167">
        <v>2021</v>
      </c>
      <c r="B167">
        <v>420</v>
      </c>
      <c r="C167" t="s">
        <v>132</v>
      </c>
      <c r="D167">
        <v>28812.6</v>
      </c>
      <c r="E167">
        <v>-7.6</v>
      </c>
      <c r="F167">
        <v>1075.2</v>
      </c>
      <c r="G167">
        <v>0</v>
      </c>
      <c r="H167">
        <v>31651.3</v>
      </c>
      <c r="I167">
        <v>10529.2</v>
      </c>
      <c r="J167">
        <v>0</v>
      </c>
      <c r="K167">
        <v>3.7</v>
      </c>
      <c r="L167">
        <v>3.4</v>
      </c>
      <c r="M167">
        <v>10.199999999999999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117300</v>
      </c>
      <c r="V167" t="s">
        <v>133</v>
      </c>
      <c r="W167" t="s">
        <v>90</v>
      </c>
      <c r="Y167" t="s">
        <v>134</v>
      </c>
      <c r="Z167">
        <v>10541.1764705882</v>
      </c>
      <c r="AA167">
        <v>2020</v>
      </c>
      <c r="AB167">
        <v>0.91031332046392999</v>
      </c>
      <c r="AC167">
        <v>0.10199999999999999</v>
      </c>
      <c r="AD167">
        <v>3.0026344866071399</v>
      </c>
    </row>
    <row r="168" spans="1:30" x14ac:dyDescent="0.3">
      <c r="A168">
        <v>2021</v>
      </c>
      <c r="B168">
        <v>209</v>
      </c>
      <c r="C168" t="s">
        <v>135</v>
      </c>
      <c r="D168">
        <v>51054.5</v>
      </c>
      <c r="E168">
        <v>2.2000000000000002</v>
      </c>
      <c r="F168">
        <v>130.5</v>
      </c>
      <c r="G168">
        <v>0</v>
      </c>
      <c r="H168">
        <v>182044</v>
      </c>
      <c r="I168">
        <v>65513.9</v>
      </c>
      <c r="J168">
        <v>0</v>
      </c>
      <c r="K168">
        <v>0.3</v>
      </c>
      <c r="L168">
        <v>0.1</v>
      </c>
      <c r="M168">
        <v>0.2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96506</v>
      </c>
      <c r="V168" t="s">
        <v>136</v>
      </c>
      <c r="W168" t="s">
        <v>44</v>
      </c>
      <c r="Y168" t="s">
        <v>137</v>
      </c>
      <c r="Z168">
        <v>65250</v>
      </c>
      <c r="AA168">
        <v>2020</v>
      </c>
      <c r="AB168">
        <v>0.28045142932477901</v>
      </c>
      <c r="AC168">
        <v>2E-3</v>
      </c>
      <c r="AD168">
        <v>2.7899463601532601</v>
      </c>
    </row>
    <row r="169" spans="1:30" x14ac:dyDescent="0.3">
      <c r="A169">
        <v>2021</v>
      </c>
      <c r="B169">
        <v>184</v>
      </c>
      <c r="C169" t="s">
        <v>126</v>
      </c>
      <c r="D169">
        <v>56213.599999999999</v>
      </c>
      <c r="E169">
        <v>-35.700000000000003</v>
      </c>
      <c r="F169">
        <v>47052.6</v>
      </c>
      <c r="G169">
        <v>0</v>
      </c>
      <c r="H169">
        <v>413656.9</v>
      </c>
      <c r="I169">
        <v>92342.6</v>
      </c>
      <c r="J169">
        <v>0</v>
      </c>
      <c r="K169">
        <v>83.7</v>
      </c>
      <c r="L169">
        <v>11.4</v>
      </c>
      <c r="M169">
        <v>51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58786</v>
      </c>
      <c r="V169" t="s">
        <v>127</v>
      </c>
      <c r="W169" t="s">
        <v>44</v>
      </c>
      <c r="Y169" t="s">
        <v>128</v>
      </c>
      <c r="Z169">
        <v>92260</v>
      </c>
      <c r="AA169">
        <v>2020</v>
      </c>
      <c r="AB169">
        <v>0.135894264062802</v>
      </c>
      <c r="AC169">
        <v>0.51</v>
      </c>
      <c r="AD169">
        <v>4.4835996097984001</v>
      </c>
    </row>
    <row r="170" spans="1:30" x14ac:dyDescent="0.3">
      <c r="A170">
        <v>2020</v>
      </c>
      <c r="B170">
        <v>468</v>
      </c>
      <c r="C170" t="s">
        <v>138</v>
      </c>
      <c r="D170">
        <v>26443.5</v>
      </c>
      <c r="E170">
        <v>55.9</v>
      </c>
      <c r="F170">
        <v>2049.1</v>
      </c>
      <c r="G170">
        <v>0</v>
      </c>
      <c r="H170">
        <v>21152.7</v>
      </c>
      <c r="I170">
        <v>10388.299999999999</v>
      </c>
      <c r="J170">
        <v>0</v>
      </c>
      <c r="K170">
        <v>7.7</v>
      </c>
      <c r="L170">
        <v>9.6999999999999993</v>
      </c>
      <c r="M170">
        <v>19.7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16683</v>
      </c>
      <c r="V170" t="s">
        <v>139</v>
      </c>
      <c r="W170" t="s">
        <v>34</v>
      </c>
      <c r="Y170" t="s">
        <v>140</v>
      </c>
      <c r="Z170">
        <v>10401.522842639601</v>
      </c>
      <c r="AA170">
        <v>2019</v>
      </c>
      <c r="AB170">
        <v>1.25012409763293</v>
      </c>
      <c r="AC170">
        <v>0.19700000000000001</v>
      </c>
      <c r="AD170">
        <v>2.0336156849348499</v>
      </c>
    </row>
    <row r="171" spans="1:30" x14ac:dyDescent="0.3">
      <c r="A171">
        <v>2020</v>
      </c>
      <c r="B171">
        <v>212</v>
      </c>
      <c r="C171" t="s">
        <v>141</v>
      </c>
      <c r="D171">
        <v>51037.9</v>
      </c>
      <c r="E171">
        <v>12.5</v>
      </c>
      <c r="F171">
        <v>596.29999999999995</v>
      </c>
      <c r="G171">
        <v>0</v>
      </c>
      <c r="H171">
        <v>29988.5</v>
      </c>
      <c r="I171">
        <v>3396.5</v>
      </c>
      <c r="J171">
        <v>0</v>
      </c>
      <c r="K171">
        <v>1.2</v>
      </c>
      <c r="L171">
        <v>2</v>
      </c>
      <c r="M171">
        <v>17.600000000000001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57000</v>
      </c>
      <c r="V171" t="s">
        <v>142</v>
      </c>
      <c r="W171" t="s">
        <v>30</v>
      </c>
      <c r="Y171" t="s">
        <v>143</v>
      </c>
      <c r="Z171">
        <v>3388.0681818181802</v>
      </c>
      <c r="AA171">
        <v>2019</v>
      </c>
      <c r="AB171">
        <v>1.7019157343648399</v>
      </c>
      <c r="AC171">
        <v>0.17599999999999999</v>
      </c>
      <c r="AD171">
        <v>8.8512091229247005</v>
      </c>
    </row>
    <row r="172" spans="1:30" x14ac:dyDescent="0.3">
      <c r="A172">
        <v>2020</v>
      </c>
      <c r="B172">
        <v>139</v>
      </c>
      <c r="C172" t="s">
        <v>129</v>
      </c>
      <c r="D172">
        <v>69847.600000000006</v>
      </c>
      <c r="E172">
        <v>29.4</v>
      </c>
      <c r="F172">
        <v>-376.7</v>
      </c>
      <c r="G172">
        <v>0</v>
      </c>
      <c r="H172">
        <v>30465.200000000001</v>
      </c>
      <c r="I172">
        <v>8705.7000000000007</v>
      </c>
      <c r="J172">
        <v>0</v>
      </c>
      <c r="K172">
        <v>-0.5</v>
      </c>
      <c r="L172">
        <v>-1.2</v>
      </c>
      <c r="M172">
        <v>-4.3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178927</v>
      </c>
      <c r="V172" t="s">
        <v>130</v>
      </c>
      <c r="W172" t="s">
        <v>34</v>
      </c>
      <c r="Y172" t="s">
        <v>131</v>
      </c>
      <c r="Z172">
        <v>8760.4651162790706</v>
      </c>
      <c r="AA172">
        <v>2019</v>
      </c>
      <c r="AB172">
        <v>2.2927011803631698</v>
      </c>
      <c r="AC172">
        <v>-4.2999999999999997E-2</v>
      </c>
      <c r="AD172">
        <v>3.4775779134589899</v>
      </c>
    </row>
    <row r="173" spans="1:30" x14ac:dyDescent="0.3">
      <c r="A173">
        <v>2019</v>
      </c>
      <c r="B173">
        <v>468</v>
      </c>
      <c r="C173" t="s">
        <v>138</v>
      </c>
      <c r="D173">
        <v>26443.5</v>
      </c>
      <c r="E173">
        <v>55.9</v>
      </c>
      <c r="F173">
        <v>2049.1</v>
      </c>
      <c r="G173">
        <v>0</v>
      </c>
      <c r="H173">
        <v>21152.7</v>
      </c>
      <c r="I173">
        <v>10388.299999999999</v>
      </c>
      <c r="J173">
        <v>0</v>
      </c>
      <c r="K173">
        <v>7.7</v>
      </c>
      <c r="L173">
        <v>9.6999999999999993</v>
      </c>
      <c r="M173">
        <v>19.7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16683</v>
      </c>
      <c r="V173" t="s">
        <v>139</v>
      </c>
      <c r="W173" t="s">
        <v>34</v>
      </c>
      <c r="Y173" t="s">
        <v>140</v>
      </c>
      <c r="Z173">
        <v>10401.522842639601</v>
      </c>
      <c r="AA173">
        <v>2018</v>
      </c>
      <c r="AB173">
        <v>1.25012409763293</v>
      </c>
      <c r="AC173">
        <v>0.19700000000000001</v>
      </c>
      <c r="AD173">
        <v>2.0336156849348499</v>
      </c>
    </row>
    <row r="174" spans="1:30" x14ac:dyDescent="0.3">
      <c r="A174">
        <v>2019</v>
      </c>
      <c r="B174">
        <v>212</v>
      </c>
      <c r="C174" t="s">
        <v>141</v>
      </c>
      <c r="D174">
        <v>51037.9</v>
      </c>
      <c r="E174">
        <v>12.5</v>
      </c>
      <c r="F174">
        <v>596.29999999999995</v>
      </c>
      <c r="G174">
        <v>0</v>
      </c>
      <c r="H174">
        <v>29988.5</v>
      </c>
      <c r="I174">
        <v>3396.5</v>
      </c>
      <c r="J174">
        <v>0</v>
      </c>
      <c r="K174">
        <v>1.2</v>
      </c>
      <c r="L174">
        <v>2</v>
      </c>
      <c r="M174">
        <v>17.600000000000001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57000</v>
      </c>
      <c r="V174" t="s">
        <v>142</v>
      </c>
      <c r="W174" t="s">
        <v>30</v>
      </c>
      <c r="Y174" t="s">
        <v>143</v>
      </c>
      <c r="Z174">
        <v>3388.0681818181802</v>
      </c>
      <c r="AA174">
        <v>2018</v>
      </c>
      <c r="AB174">
        <v>1.7019157343648399</v>
      </c>
      <c r="AC174">
        <v>0.17599999999999999</v>
      </c>
      <c r="AD174">
        <v>8.8512091229247005</v>
      </c>
    </row>
    <row r="175" spans="1:30" x14ac:dyDescent="0.3">
      <c r="A175">
        <v>2019</v>
      </c>
      <c r="B175">
        <v>139</v>
      </c>
      <c r="C175" t="s">
        <v>129</v>
      </c>
      <c r="D175">
        <v>69847.600000000006</v>
      </c>
      <c r="E175">
        <v>29.4</v>
      </c>
      <c r="F175">
        <v>-376.7</v>
      </c>
      <c r="G175">
        <v>0</v>
      </c>
      <c r="H175">
        <v>30465.200000000001</v>
      </c>
      <c r="I175">
        <v>8705.7000000000007</v>
      </c>
      <c r="J175">
        <v>0</v>
      </c>
      <c r="K175">
        <v>-0.5</v>
      </c>
      <c r="L175">
        <v>-1.2</v>
      </c>
      <c r="M175">
        <v>-4.3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178927</v>
      </c>
      <c r="V175" t="s">
        <v>130</v>
      </c>
      <c r="W175" t="s">
        <v>34</v>
      </c>
      <c r="Y175" t="s">
        <v>131</v>
      </c>
      <c r="Z175">
        <v>8760.4651162790706</v>
      </c>
      <c r="AA175">
        <v>2018</v>
      </c>
      <c r="AB175">
        <v>2.2927011803631698</v>
      </c>
      <c r="AC175">
        <v>-4.2999999999999997E-2</v>
      </c>
      <c r="AD175">
        <v>3.4775779134589899</v>
      </c>
    </row>
    <row r="176" spans="1:30" x14ac:dyDescent="0.3">
      <c r="A176">
        <v>2018</v>
      </c>
      <c r="B176">
        <v>468</v>
      </c>
      <c r="C176" t="s">
        <v>138</v>
      </c>
      <c r="D176">
        <v>26443.5</v>
      </c>
      <c r="E176">
        <v>55.9</v>
      </c>
      <c r="F176">
        <v>2049.1</v>
      </c>
      <c r="G176">
        <v>0</v>
      </c>
      <c r="H176">
        <v>21152.7</v>
      </c>
      <c r="I176">
        <v>10388.299999999999</v>
      </c>
      <c r="J176">
        <v>0</v>
      </c>
      <c r="K176">
        <v>7.7</v>
      </c>
      <c r="L176">
        <v>9.6999999999999993</v>
      </c>
      <c r="M176">
        <v>19.7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16683</v>
      </c>
      <c r="V176" t="s">
        <v>139</v>
      </c>
      <c r="W176" t="s">
        <v>34</v>
      </c>
      <c r="Y176" t="s">
        <v>140</v>
      </c>
      <c r="Z176">
        <v>10401.522842639601</v>
      </c>
      <c r="AA176">
        <v>2017</v>
      </c>
      <c r="AB176">
        <v>1.25012409763293</v>
      </c>
      <c r="AC176">
        <v>0.19700000000000001</v>
      </c>
      <c r="AD176">
        <v>2.0336156849348499</v>
      </c>
    </row>
    <row r="177" spans="1:30" x14ac:dyDescent="0.3">
      <c r="A177">
        <v>2018</v>
      </c>
      <c r="B177">
        <v>212</v>
      </c>
      <c r="C177" t="s">
        <v>141</v>
      </c>
      <c r="D177">
        <v>51037.9</v>
      </c>
      <c r="E177">
        <v>12.5</v>
      </c>
      <c r="F177">
        <v>596.29999999999995</v>
      </c>
      <c r="G177">
        <v>0</v>
      </c>
      <c r="H177">
        <v>29988.5</v>
      </c>
      <c r="I177">
        <v>3396.5</v>
      </c>
      <c r="J177">
        <v>0</v>
      </c>
      <c r="K177">
        <v>1.2</v>
      </c>
      <c r="L177">
        <v>2</v>
      </c>
      <c r="M177">
        <v>17.600000000000001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57000</v>
      </c>
      <c r="V177" t="s">
        <v>142</v>
      </c>
      <c r="W177" t="s">
        <v>30</v>
      </c>
      <c r="Y177" t="s">
        <v>143</v>
      </c>
      <c r="Z177">
        <v>3388.0681818181802</v>
      </c>
      <c r="AA177">
        <v>2017</v>
      </c>
      <c r="AB177">
        <v>1.7019157343648399</v>
      </c>
      <c r="AC177">
        <v>0.17599999999999999</v>
      </c>
      <c r="AD177">
        <v>8.8512091229247005</v>
      </c>
    </row>
    <row r="178" spans="1:30" x14ac:dyDescent="0.3">
      <c r="A178">
        <v>2018</v>
      </c>
      <c r="B178">
        <v>139</v>
      </c>
      <c r="C178" t="s">
        <v>129</v>
      </c>
      <c r="D178">
        <v>69847.600000000006</v>
      </c>
      <c r="E178">
        <v>29.4</v>
      </c>
      <c r="F178">
        <v>-376.7</v>
      </c>
      <c r="G178">
        <v>0</v>
      </c>
      <c r="H178">
        <v>30465.200000000001</v>
      </c>
      <c r="I178">
        <v>8705.7000000000007</v>
      </c>
      <c r="J178">
        <v>0</v>
      </c>
      <c r="K178">
        <v>-0.5</v>
      </c>
      <c r="L178">
        <v>-1.2</v>
      </c>
      <c r="M178">
        <v>-4.3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178927</v>
      </c>
      <c r="V178" t="s">
        <v>130</v>
      </c>
      <c r="W178" t="s">
        <v>34</v>
      </c>
      <c r="Y178" t="s">
        <v>131</v>
      </c>
      <c r="Z178">
        <v>8760.4651162790706</v>
      </c>
      <c r="AA178">
        <v>2017</v>
      </c>
      <c r="AB178">
        <v>2.2927011803631698</v>
      </c>
      <c r="AC178">
        <v>-4.2999999999999997E-2</v>
      </c>
      <c r="AD178">
        <v>3.4775779134589899</v>
      </c>
    </row>
    <row r="179" spans="1:30" x14ac:dyDescent="0.3">
      <c r="A179">
        <v>2017</v>
      </c>
      <c r="B179">
        <v>493</v>
      </c>
      <c r="C179" t="s">
        <v>144</v>
      </c>
      <c r="D179">
        <v>21941.1</v>
      </c>
      <c r="E179">
        <v>-17.399999999999999</v>
      </c>
      <c r="F179">
        <v>1999.4</v>
      </c>
      <c r="G179">
        <v>0</v>
      </c>
      <c r="H179">
        <v>74294.5</v>
      </c>
      <c r="I179">
        <v>22365.5</v>
      </c>
      <c r="J179">
        <v>0</v>
      </c>
      <c r="K179">
        <v>9.1</v>
      </c>
      <c r="L179">
        <v>2.7</v>
      </c>
      <c r="M179">
        <v>8.9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61227</v>
      </c>
      <c r="V179" t="s">
        <v>145</v>
      </c>
      <c r="W179" t="s">
        <v>44</v>
      </c>
      <c r="Y179" t="s">
        <v>146</v>
      </c>
      <c r="Z179">
        <v>22465.168539325801</v>
      </c>
      <c r="AA179">
        <v>2016</v>
      </c>
      <c r="AB179">
        <v>0.29532603355564702</v>
      </c>
      <c r="AC179">
        <v>8.8999999999999996E-2</v>
      </c>
      <c r="AD179">
        <v>3.3070973792137601</v>
      </c>
    </row>
    <row r="180" spans="1:30" x14ac:dyDescent="0.3">
      <c r="A180">
        <v>2017</v>
      </c>
      <c r="B180">
        <v>473</v>
      </c>
      <c r="C180" t="s">
        <v>147</v>
      </c>
      <c r="D180">
        <v>22952.6</v>
      </c>
      <c r="E180">
        <v>42.2</v>
      </c>
      <c r="F180">
        <v>-1722.5</v>
      </c>
      <c r="G180">
        <v>0</v>
      </c>
      <c r="H180">
        <v>84805.2</v>
      </c>
      <c r="I180">
        <v>-2668</v>
      </c>
      <c r="J180">
        <v>0</v>
      </c>
      <c r="K180">
        <v>-7.5</v>
      </c>
      <c r="L180">
        <v>-2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49732</v>
      </c>
      <c r="V180" t="s">
        <v>148</v>
      </c>
      <c r="W180" t="s">
        <v>44</v>
      </c>
      <c r="Y180" t="s">
        <v>149</v>
      </c>
      <c r="Z180" t="e" cm="1">
        <f t="array" ref="Z180">-∞</f>
        <v>#NAME?</v>
      </c>
      <c r="AA180">
        <v>2016</v>
      </c>
      <c r="AB180">
        <v>0.27065085631541502</v>
      </c>
      <c r="AC180">
        <v>0</v>
      </c>
      <c r="AD180">
        <v>0</v>
      </c>
    </row>
    <row r="181" spans="1:30" x14ac:dyDescent="0.3">
      <c r="A181">
        <v>2017</v>
      </c>
      <c r="B181">
        <v>261</v>
      </c>
      <c r="C181" t="s">
        <v>129</v>
      </c>
      <c r="D181">
        <v>39155.300000000003</v>
      </c>
      <c r="E181">
        <v>35.700000000000003</v>
      </c>
      <c r="F181">
        <v>-573</v>
      </c>
      <c r="G181">
        <v>0</v>
      </c>
      <c r="H181">
        <v>23077</v>
      </c>
      <c r="I181">
        <v>4877</v>
      </c>
      <c r="J181">
        <v>0</v>
      </c>
      <c r="K181">
        <v>-1.5</v>
      </c>
      <c r="L181">
        <v>-2.5</v>
      </c>
      <c r="M181">
        <v>-11.7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120622</v>
      </c>
      <c r="V181" t="s">
        <v>130</v>
      </c>
      <c r="W181" t="s">
        <v>34</v>
      </c>
      <c r="Y181" t="s">
        <v>131</v>
      </c>
      <c r="Z181">
        <v>4897.4358974359002</v>
      </c>
      <c r="AA181">
        <v>2016</v>
      </c>
      <c r="AB181">
        <v>1.6967240109199599</v>
      </c>
      <c r="AC181">
        <v>-0.11700000000000001</v>
      </c>
      <c r="AD181">
        <v>4.7120575916230401</v>
      </c>
    </row>
    <row r="182" spans="1:30" x14ac:dyDescent="0.3">
      <c r="A182">
        <v>2017</v>
      </c>
      <c r="B182">
        <v>226</v>
      </c>
      <c r="C182" t="s">
        <v>141</v>
      </c>
      <c r="D182">
        <v>43034.7</v>
      </c>
      <c r="E182">
        <v>-4.2</v>
      </c>
      <c r="F182">
        <v>535.1</v>
      </c>
      <c r="G182">
        <v>0</v>
      </c>
      <c r="H182">
        <v>27186</v>
      </c>
      <c r="I182">
        <v>3223.6</v>
      </c>
      <c r="J182">
        <v>0</v>
      </c>
      <c r="K182">
        <v>1.2</v>
      </c>
      <c r="L182">
        <v>2</v>
      </c>
      <c r="M182">
        <v>16.600000000000001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52000</v>
      </c>
      <c r="V182" t="s">
        <v>142</v>
      </c>
      <c r="W182" t="s">
        <v>30</v>
      </c>
      <c r="Y182" t="s">
        <v>143</v>
      </c>
      <c r="Z182">
        <v>3223.4939759036101</v>
      </c>
      <c r="AA182">
        <v>2016</v>
      </c>
      <c r="AB182">
        <v>1.5829728536746901</v>
      </c>
      <c r="AC182">
        <v>0.16600000000000001</v>
      </c>
      <c r="AD182">
        <v>8.4337058493739505</v>
      </c>
    </row>
    <row r="183" spans="1:30" x14ac:dyDescent="0.3">
      <c r="A183">
        <v>2017</v>
      </c>
      <c r="B183">
        <v>149</v>
      </c>
      <c r="C183" t="s">
        <v>135</v>
      </c>
      <c r="D183">
        <v>58611.4</v>
      </c>
      <c r="E183">
        <v>-5</v>
      </c>
      <c r="F183">
        <v>-6904</v>
      </c>
      <c r="G183">
        <v>0</v>
      </c>
      <c r="H183">
        <v>165419.70000000001</v>
      </c>
      <c r="I183">
        <v>77211</v>
      </c>
      <c r="J183">
        <v>0</v>
      </c>
      <c r="K183">
        <v>-11.8</v>
      </c>
      <c r="L183">
        <v>-4.2</v>
      </c>
      <c r="M183">
        <v>-8.9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111556</v>
      </c>
      <c r="V183" t="s">
        <v>136</v>
      </c>
      <c r="W183" t="s">
        <v>44</v>
      </c>
      <c r="Y183" t="s">
        <v>137</v>
      </c>
      <c r="Z183">
        <v>77573.033707865194</v>
      </c>
      <c r="AA183">
        <v>2016</v>
      </c>
      <c r="AB183">
        <v>0.35431934648654301</v>
      </c>
      <c r="AC183">
        <v>-8.8999999999999996E-2</v>
      </c>
      <c r="AD183">
        <v>2.1324381952491298</v>
      </c>
    </row>
    <row r="184" spans="1:30" x14ac:dyDescent="0.3">
      <c r="A184">
        <v>2016</v>
      </c>
      <c r="B184">
        <v>366</v>
      </c>
      <c r="C184" t="s">
        <v>129</v>
      </c>
      <c r="D184">
        <v>28847.1</v>
      </c>
      <c r="E184">
        <v>54.6</v>
      </c>
      <c r="F184">
        <v>-1492.3</v>
      </c>
      <c r="G184">
        <v>0</v>
      </c>
      <c r="H184">
        <v>13115.4</v>
      </c>
      <c r="I184">
        <v>4703.2</v>
      </c>
      <c r="J184">
        <v>0</v>
      </c>
      <c r="K184">
        <v>-5.2</v>
      </c>
      <c r="L184">
        <v>-11.4</v>
      </c>
      <c r="M184">
        <v>-31.7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105963</v>
      </c>
      <c r="V184" t="s">
        <v>130</v>
      </c>
      <c r="W184" t="s">
        <v>34</v>
      </c>
      <c r="Y184" t="s">
        <v>131</v>
      </c>
      <c r="Z184">
        <v>4707.5709779179797</v>
      </c>
      <c r="AA184">
        <v>2015</v>
      </c>
      <c r="AB184">
        <v>2.1994830504597598</v>
      </c>
      <c r="AC184">
        <v>-0.317</v>
      </c>
      <c r="AD184">
        <v>2.7860227836226001</v>
      </c>
    </row>
    <row r="185" spans="1:30" x14ac:dyDescent="0.3">
      <c r="A185">
        <v>2016</v>
      </c>
      <c r="B185">
        <v>169</v>
      </c>
      <c r="C185" t="s">
        <v>132</v>
      </c>
      <c r="D185">
        <v>52031.9</v>
      </c>
      <c r="E185">
        <v>-14</v>
      </c>
      <c r="F185">
        <v>-3831.8</v>
      </c>
      <c r="G185">
        <v>0</v>
      </c>
      <c r="H185">
        <v>48347.9</v>
      </c>
      <c r="I185">
        <v>2926.4</v>
      </c>
      <c r="J185">
        <v>0</v>
      </c>
      <c r="K185">
        <v>-7.4</v>
      </c>
      <c r="L185">
        <v>-7.9</v>
      </c>
      <c r="M185">
        <v>-130.9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188000</v>
      </c>
      <c r="V185" t="s">
        <v>133</v>
      </c>
      <c r="W185" t="s">
        <v>90</v>
      </c>
      <c r="Y185" t="s">
        <v>134</v>
      </c>
      <c r="Z185">
        <v>2927.2727272727302</v>
      </c>
      <c r="AA185">
        <v>2015</v>
      </c>
      <c r="AB185">
        <v>1.0761977252372901</v>
      </c>
      <c r="AC185">
        <v>-1.3089999999999999</v>
      </c>
      <c r="AD185">
        <v>16.516363354037299</v>
      </c>
    </row>
    <row r="186" spans="1:30" x14ac:dyDescent="0.3">
      <c r="A186">
        <v>2016</v>
      </c>
      <c r="B186">
        <v>113</v>
      </c>
      <c r="C186" t="s">
        <v>150</v>
      </c>
      <c r="D186">
        <v>67518.8</v>
      </c>
      <c r="E186">
        <v>-9.6</v>
      </c>
      <c r="F186">
        <v>1231.0999999999999</v>
      </c>
      <c r="G186">
        <v>0</v>
      </c>
      <c r="H186">
        <v>148366.20000000001</v>
      </c>
      <c r="I186">
        <v>21919.7</v>
      </c>
      <c r="J186">
        <v>0</v>
      </c>
      <c r="K186">
        <v>1.8</v>
      </c>
      <c r="L186">
        <v>0.8</v>
      </c>
      <c r="M186">
        <v>5.6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125300</v>
      </c>
      <c r="V186" t="s">
        <v>151</v>
      </c>
      <c r="W186" t="s">
        <v>90</v>
      </c>
      <c r="Y186" t="s">
        <v>152</v>
      </c>
      <c r="Z186">
        <v>21983.928571428602</v>
      </c>
      <c r="AA186">
        <v>2015</v>
      </c>
      <c r="AB186">
        <v>0.45508208742961698</v>
      </c>
      <c r="AC186">
        <v>5.6000000000000001E-2</v>
      </c>
      <c r="AD186">
        <v>6.7488483470067404</v>
      </c>
    </row>
    <row r="187" spans="1:30" x14ac:dyDescent="0.3">
      <c r="A187">
        <v>2014</v>
      </c>
      <c r="B187">
        <v>417</v>
      </c>
      <c r="C187" t="s">
        <v>153</v>
      </c>
      <c r="D187">
        <v>29219</v>
      </c>
      <c r="E187">
        <v>-2.1</v>
      </c>
      <c r="F187">
        <v>115.4</v>
      </c>
      <c r="G187">
        <v>0</v>
      </c>
      <c r="H187">
        <v>21187.5</v>
      </c>
      <c r="I187">
        <v>3292.6019000000001</v>
      </c>
      <c r="J187">
        <v>0</v>
      </c>
      <c r="K187">
        <v>0.40189999999999998</v>
      </c>
      <c r="L187">
        <v>0.50190000000000001</v>
      </c>
      <c r="M187">
        <v>3.5019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50253</v>
      </c>
      <c r="V187" t="s">
        <v>154</v>
      </c>
      <c r="W187" t="s">
        <v>90</v>
      </c>
      <c r="Y187" t="s">
        <v>155</v>
      </c>
      <c r="Z187">
        <v>3295.3539507124701</v>
      </c>
      <c r="AA187">
        <v>2013</v>
      </c>
      <c r="AB187">
        <v>1.37906784660767</v>
      </c>
      <c r="AC187">
        <v>3.5000000000000003E-2</v>
      </c>
      <c r="AD187">
        <v>6.4295066074523399</v>
      </c>
    </row>
    <row r="188" spans="1:30" x14ac:dyDescent="0.3">
      <c r="A188">
        <v>2014</v>
      </c>
      <c r="B188">
        <v>319</v>
      </c>
      <c r="C188" t="s">
        <v>144</v>
      </c>
      <c r="D188">
        <v>36493.4</v>
      </c>
      <c r="E188">
        <v>-4.7</v>
      </c>
      <c r="F188">
        <v>-894.8</v>
      </c>
      <c r="G188">
        <v>0</v>
      </c>
      <c r="H188">
        <v>96749.1</v>
      </c>
      <c r="I188">
        <v>23506.601900000001</v>
      </c>
      <c r="J188">
        <v>0</v>
      </c>
      <c r="K188">
        <v>-2.5001000000000002</v>
      </c>
      <c r="L188">
        <v>-0.90010000000000001</v>
      </c>
      <c r="M188">
        <v>-3.8001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82196</v>
      </c>
      <c r="V188" t="s">
        <v>156</v>
      </c>
      <c r="W188" t="s">
        <v>44</v>
      </c>
      <c r="Y188" t="s">
        <v>146</v>
      </c>
      <c r="Z188">
        <v>23546.748769769201</v>
      </c>
      <c r="AA188">
        <v>2013</v>
      </c>
      <c r="AB188">
        <v>0.37719627366042702</v>
      </c>
      <c r="AC188">
        <v>-3.7999999999999999E-2</v>
      </c>
      <c r="AD188">
        <v>4.1088092859856999</v>
      </c>
    </row>
    <row r="189" spans="1:30" x14ac:dyDescent="0.3">
      <c r="A189">
        <v>2014</v>
      </c>
      <c r="B189">
        <v>222</v>
      </c>
      <c r="C189" t="s">
        <v>157</v>
      </c>
      <c r="D189">
        <v>47538.400000000001</v>
      </c>
      <c r="E189">
        <v>-9.9</v>
      </c>
      <c r="F189">
        <v>485.2</v>
      </c>
      <c r="G189">
        <v>0</v>
      </c>
      <c r="H189">
        <v>29907.1</v>
      </c>
      <c r="I189">
        <v>8490.1018999999997</v>
      </c>
      <c r="J189">
        <v>0</v>
      </c>
      <c r="K189">
        <v>1.0019</v>
      </c>
      <c r="L189">
        <v>1.6019000000000001</v>
      </c>
      <c r="M189">
        <v>5.7019000000000002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162393</v>
      </c>
      <c r="V189" t="s">
        <v>158</v>
      </c>
      <c r="W189" t="s">
        <v>30</v>
      </c>
      <c r="Y189" t="s">
        <v>159</v>
      </c>
      <c r="Z189">
        <v>8509.4442203475992</v>
      </c>
      <c r="AA189">
        <v>2013</v>
      </c>
      <c r="AB189">
        <v>1.58953559522655</v>
      </c>
      <c r="AC189">
        <v>5.7000000000000002E-2</v>
      </c>
      <c r="AD189">
        <v>3.5145773596455099</v>
      </c>
    </row>
    <row r="190" spans="1:30" x14ac:dyDescent="0.3">
      <c r="A190">
        <v>2014</v>
      </c>
      <c r="B190">
        <v>106</v>
      </c>
      <c r="C190" t="s">
        <v>160</v>
      </c>
      <c r="D190">
        <v>77225.600000000006</v>
      </c>
      <c r="E190">
        <v>-12.2</v>
      </c>
      <c r="F190">
        <v>1202.2</v>
      </c>
      <c r="G190">
        <v>0</v>
      </c>
      <c r="H190">
        <v>50626.3</v>
      </c>
      <c r="I190">
        <v>15035.001899999999</v>
      </c>
      <c r="J190">
        <v>0</v>
      </c>
      <c r="K190">
        <v>1.6019000000000001</v>
      </c>
      <c r="L190">
        <v>2.4018999999999999</v>
      </c>
      <c r="M190">
        <v>8.0018999999999991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271789</v>
      </c>
      <c r="V190" t="s">
        <v>161</v>
      </c>
      <c r="W190" t="s">
        <v>90</v>
      </c>
      <c r="Y190" t="s">
        <v>162</v>
      </c>
      <c r="Z190">
        <v>15023.931816193701</v>
      </c>
      <c r="AA190">
        <v>2013</v>
      </c>
      <c r="AB190">
        <v>1.5254047797291099</v>
      </c>
      <c r="AC190">
        <v>0.08</v>
      </c>
      <c r="AD190">
        <v>3.3697104472633499</v>
      </c>
    </row>
    <row r="191" spans="1:30" x14ac:dyDescent="0.3">
      <c r="A191">
        <v>2014</v>
      </c>
      <c r="B191">
        <v>99</v>
      </c>
      <c r="C191" t="s">
        <v>163</v>
      </c>
      <c r="D191">
        <v>79829</v>
      </c>
      <c r="E191">
        <v>6.8</v>
      </c>
      <c r="F191">
        <v>1234.5999999999999</v>
      </c>
      <c r="G191">
        <v>0</v>
      </c>
      <c r="H191">
        <v>162784.29999999999</v>
      </c>
      <c r="I191">
        <v>32900.501900000003</v>
      </c>
      <c r="J191">
        <v>0</v>
      </c>
      <c r="K191">
        <v>1.5019</v>
      </c>
      <c r="L191">
        <v>0.80189999999999995</v>
      </c>
      <c r="M191">
        <v>3.8018999999999998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230000</v>
      </c>
      <c r="V191" t="s">
        <v>164</v>
      </c>
      <c r="W191" t="s">
        <v>44</v>
      </c>
      <c r="Y191" t="s">
        <v>165</v>
      </c>
      <c r="Z191">
        <v>32473.237065677698</v>
      </c>
      <c r="AA191">
        <v>2013</v>
      </c>
      <c r="AB191">
        <v>0.49039741547557097</v>
      </c>
      <c r="AC191">
        <v>3.7999999999999999E-2</v>
      </c>
      <c r="AD191">
        <v>5.0128756696095902</v>
      </c>
    </row>
    <row r="192" spans="1:30" x14ac:dyDescent="0.3">
      <c r="A192">
        <v>2013</v>
      </c>
      <c r="B192">
        <v>500</v>
      </c>
      <c r="C192" t="s">
        <v>166</v>
      </c>
      <c r="D192">
        <v>23175.200000000001</v>
      </c>
      <c r="E192">
        <v>-3.9</v>
      </c>
      <c r="F192">
        <v>391</v>
      </c>
      <c r="G192">
        <v>0</v>
      </c>
      <c r="H192">
        <v>25113.8</v>
      </c>
      <c r="I192">
        <v>9553.1</v>
      </c>
      <c r="J192">
        <v>0</v>
      </c>
      <c r="K192">
        <v>1.7</v>
      </c>
      <c r="L192">
        <v>1.5568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107431</v>
      </c>
      <c r="V192" t="s">
        <v>167</v>
      </c>
      <c r="W192" t="s">
        <v>30</v>
      </c>
      <c r="Y192" t="s">
        <v>168</v>
      </c>
      <c r="Z192" t="s">
        <v>329</v>
      </c>
      <c r="AA192">
        <v>2012</v>
      </c>
      <c r="AB192">
        <v>0.92280738080258695</v>
      </c>
      <c r="AC192">
        <v>0</v>
      </c>
      <c r="AD192">
        <v>0</v>
      </c>
    </row>
    <row r="193" spans="1:30" x14ac:dyDescent="0.3">
      <c r="A193">
        <v>2013</v>
      </c>
      <c r="B193">
        <v>447</v>
      </c>
      <c r="C193" t="s">
        <v>169</v>
      </c>
      <c r="D193">
        <v>26129.9</v>
      </c>
      <c r="E193">
        <v>19.2</v>
      </c>
      <c r="F193">
        <v>207.1</v>
      </c>
      <c r="G193">
        <v>0</v>
      </c>
      <c r="H193">
        <v>22846</v>
      </c>
      <c r="I193">
        <v>9537.9</v>
      </c>
      <c r="J193">
        <v>0</v>
      </c>
      <c r="K193">
        <v>0.8</v>
      </c>
      <c r="L193">
        <v>0.90629999999999999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55621</v>
      </c>
      <c r="V193" t="s">
        <v>170</v>
      </c>
      <c r="W193" t="s">
        <v>90</v>
      </c>
      <c r="Y193" t="s">
        <v>171</v>
      </c>
      <c r="Z193" t="s">
        <v>329</v>
      </c>
      <c r="AA193">
        <v>2012</v>
      </c>
      <c r="AB193">
        <v>1.14374069859056</v>
      </c>
      <c r="AC193">
        <v>0</v>
      </c>
      <c r="AD193">
        <v>0</v>
      </c>
    </row>
    <row r="194" spans="1:30" x14ac:dyDescent="0.3">
      <c r="A194">
        <v>2013</v>
      </c>
      <c r="B194">
        <v>383</v>
      </c>
      <c r="C194" t="s">
        <v>153</v>
      </c>
      <c r="D194">
        <v>29847.7</v>
      </c>
      <c r="E194">
        <v>-4</v>
      </c>
      <c r="F194">
        <v>-6567.2</v>
      </c>
      <c r="G194">
        <v>0</v>
      </c>
      <c r="H194">
        <v>22210.2</v>
      </c>
      <c r="I194">
        <v>1954.6</v>
      </c>
      <c r="J194">
        <v>0</v>
      </c>
      <c r="K194">
        <v>-22</v>
      </c>
      <c r="L194">
        <v>-29.568300000000001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50647</v>
      </c>
      <c r="V194" t="s">
        <v>154</v>
      </c>
      <c r="W194" t="s">
        <v>90</v>
      </c>
      <c r="Y194" t="s">
        <v>155</v>
      </c>
      <c r="Z194" t="e" cm="1">
        <f t="array" ref="Z194">-∞</f>
        <v>#NAME?</v>
      </c>
      <c r="AA194">
        <v>2012</v>
      </c>
      <c r="AB194">
        <v>1.34387353558275</v>
      </c>
      <c r="AC194">
        <v>0</v>
      </c>
      <c r="AD194">
        <v>0</v>
      </c>
    </row>
    <row r="195" spans="1:30" x14ac:dyDescent="0.3">
      <c r="A195">
        <v>2013</v>
      </c>
      <c r="B195">
        <v>347</v>
      </c>
      <c r="C195" t="s">
        <v>172</v>
      </c>
      <c r="D195">
        <v>32579.3</v>
      </c>
      <c r="E195">
        <v>-7.3</v>
      </c>
      <c r="F195">
        <v>290.39999999999998</v>
      </c>
      <c r="G195">
        <v>0</v>
      </c>
      <c r="H195">
        <v>38331.9</v>
      </c>
      <c r="I195">
        <v>14684.7</v>
      </c>
      <c r="J195">
        <v>0</v>
      </c>
      <c r="K195">
        <v>0.9</v>
      </c>
      <c r="L195">
        <v>0.75770000000000004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118087</v>
      </c>
      <c r="V195" t="s">
        <v>173</v>
      </c>
      <c r="W195" t="s">
        <v>90</v>
      </c>
      <c r="Y195" t="s">
        <v>174</v>
      </c>
      <c r="Z195" t="s">
        <v>329</v>
      </c>
      <c r="AA195">
        <v>2012</v>
      </c>
      <c r="AB195">
        <v>0.84992656247146603</v>
      </c>
      <c r="AC195">
        <v>0</v>
      </c>
      <c r="AD195">
        <v>0</v>
      </c>
    </row>
    <row r="196" spans="1:30" x14ac:dyDescent="0.3">
      <c r="A196">
        <v>2013</v>
      </c>
      <c r="B196">
        <v>281</v>
      </c>
      <c r="C196" t="s">
        <v>144</v>
      </c>
      <c r="D196">
        <v>38298.1</v>
      </c>
      <c r="E196">
        <v>-9</v>
      </c>
      <c r="F196">
        <v>-2090.9</v>
      </c>
      <c r="G196">
        <v>0</v>
      </c>
      <c r="H196">
        <v>102232.9</v>
      </c>
      <c r="I196">
        <v>25544.1</v>
      </c>
      <c r="J196">
        <v>0</v>
      </c>
      <c r="K196">
        <v>-5.5</v>
      </c>
      <c r="L196">
        <v>-2.0451999999999999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83162</v>
      </c>
      <c r="V196" t="s">
        <v>156</v>
      </c>
      <c r="W196" t="s">
        <v>44</v>
      </c>
      <c r="Y196" t="s">
        <v>146</v>
      </c>
      <c r="Z196" t="e" cm="1">
        <f t="array" ref="Z196">-∞</f>
        <v>#NAME?</v>
      </c>
      <c r="AA196">
        <v>2012</v>
      </c>
      <c r="AB196">
        <v>0.37461619498224202</v>
      </c>
      <c r="AC196">
        <v>0</v>
      </c>
      <c r="AD196">
        <v>0</v>
      </c>
    </row>
    <row r="197" spans="1:30" x14ac:dyDescent="0.3">
      <c r="A197">
        <v>2013</v>
      </c>
      <c r="B197">
        <v>126</v>
      </c>
      <c r="C197" t="s">
        <v>132</v>
      </c>
      <c r="D197">
        <v>69848.2</v>
      </c>
      <c r="E197">
        <v>-9.6</v>
      </c>
      <c r="F197">
        <v>933.7</v>
      </c>
      <c r="G197">
        <v>0</v>
      </c>
      <c r="H197">
        <v>64965.2</v>
      </c>
      <c r="I197">
        <v>11004.9</v>
      </c>
      <c r="J197">
        <v>0</v>
      </c>
      <c r="K197">
        <v>1.3</v>
      </c>
      <c r="L197">
        <v>1.4372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206000</v>
      </c>
      <c r="V197" t="s">
        <v>175</v>
      </c>
      <c r="W197" t="s">
        <v>90</v>
      </c>
      <c r="Y197" t="s">
        <v>176</v>
      </c>
      <c r="Z197" t="s">
        <v>329</v>
      </c>
      <c r="AA197">
        <v>2012</v>
      </c>
      <c r="AB197">
        <v>1.0751633182072899</v>
      </c>
      <c r="AC197">
        <v>0</v>
      </c>
      <c r="AD197">
        <v>0</v>
      </c>
    </row>
    <row r="198" spans="1:30" x14ac:dyDescent="0.3">
      <c r="A198">
        <v>2013</v>
      </c>
      <c r="B198">
        <v>94</v>
      </c>
      <c r="C198" t="s">
        <v>150</v>
      </c>
      <c r="D198">
        <v>81897.3</v>
      </c>
      <c r="E198">
        <v>-0.4</v>
      </c>
      <c r="F198">
        <v>518.20000000000005</v>
      </c>
      <c r="G198">
        <v>0</v>
      </c>
      <c r="H198">
        <v>151130.79999999999</v>
      </c>
      <c r="I198">
        <v>23380.5</v>
      </c>
      <c r="J198">
        <v>0</v>
      </c>
      <c r="K198">
        <v>0.6</v>
      </c>
      <c r="L198">
        <v>0.34289999999999998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146300</v>
      </c>
      <c r="V198" t="s">
        <v>177</v>
      </c>
      <c r="W198" t="s">
        <v>90</v>
      </c>
      <c r="Y198" t="s">
        <v>152</v>
      </c>
      <c r="Z198" t="s">
        <v>329</v>
      </c>
      <c r="AA198">
        <v>2012</v>
      </c>
      <c r="AB198">
        <v>0.54189682050250498</v>
      </c>
      <c r="AC198">
        <v>0</v>
      </c>
      <c r="AD198">
        <v>0</v>
      </c>
    </row>
    <row r="199" spans="1:30" x14ac:dyDescent="0.3">
      <c r="A199">
        <v>2013</v>
      </c>
      <c r="B199">
        <v>83</v>
      </c>
      <c r="C199" t="s">
        <v>160</v>
      </c>
      <c r="D199">
        <v>87944.8</v>
      </c>
      <c r="E199">
        <v>-11.5</v>
      </c>
      <c r="F199">
        <v>-9082.7999999999993</v>
      </c>
      <c r="G199">
        <v>0</v>
      </c>
      <c r="H199">
        <v>57423.5</v>
      </c>
      <c r="I199">
        <v>13447.1</v>
      </c>
      <c r="J199">
        <v>0</v>
      </c>
      <c r="K199">
        <v>-10.3</v>
      </c>
      <c r="L199">
        <v>-15.817299999999999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293742</v>
      </c>
      <c r="V199" t="s">
        <v>161</v>
      </c>
      <c r="W199" t="s">
        <v>90</v>
      </c>
      <c r="Y199" t="s">
        <v>162</v>
      </c>
      <c r="Z199" t="e" cm="1">
        <f t="array" ref="Z199">-∞</f>
        <v>#NAME?</v>
      </c>
      <c r="AA199">
        <v>2012</v>
      </c>
      <c r="AB199">
        <v>1.5315123599223299</v>
      </c>
      <c r="AC199">
        <v>0</v>
      </c>
      <c r="AD199">
        <v>0</v>
      </c>
    </row>
    <row r="200" spans="1:30" x14ac:dyDescent="0.3">
      <c r="A200">
        <v>2012</v>
      </c>
      <c r="B200">
        <v>493</v>
      </c>
      <c r="C200" t="s">
        <v>144</v>
      </c>
      <c r="D200">
        <v>21941.1</v>
      </c>
      <c r="E200">
        <v>-17.399999999999999</v>
      </c>
      <c r="F200">
        <v>1999.4</v>
      </c>
      <c r="G200">
        <v>0</v>
      </c>
      <c r="H200">
        <v>74294.5</v>
      </c>
      <c r="I200">
        <v>22365.5</v>
      </c>
      <c r="J200">
        <v>0</v>
      </c>
      <c r="K200">
        <v>9.1</v>
      </c>
      <c r="L200">
        <v>2.7</v>
      </c>
      <c r="M200">
        <v>8.9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61227</v>
      </c>
      <c r="V200" t="s">
        <v>156</v>
      </c>
      <c r="W200" t="s">
        <v>44</v>
      </c>
      <c r="Y200" t="s">
        <v>146</v>
      </c>
      <c r="Z200">
        <v>22465.168539325801</v>
      </c>
      <c r="AA200">
        <v>2011</v>
      </c>
      <c r="AB200">
        <v>0.29532603355564702</v>
      </c>
      <c r="AC200">
        <v>8.8999999999999996E-2</v>
      </c>
      <c r="AD200">
        <v>3.3070973792137601</v>
      </c>
    </row>
    <row r="201" spans="1:30" x14ac:dyDescent="0.3">
      <c r="A201">
        <v>2012</v>
      </c>
      <c r="B201">
        <v>473</v>
      </c>
      <c r="C201" t="s">
        <v>147</v>
      </c>
      <c r="D201">
        <v>22952.6</v>
      </c>
      <c r="E201">
        <v>42.2</v>
      </c>
      <c r="F201">
        <v>-1722.5</v>
      </c>
      <c r="G201">
        <v>0</v>
      </c>
      <c r="H201">
        <v>84805.2</v>
      </c>
      <c r="I201">
        <v>-2668</v>
      </c>
      <c r="J201">
        <v>0</v>
      </c>
      <c r="K201">
        <v>-7.5</v>
      </c>
      <c r="L201">
        <v>-2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49732</v>
      </c>
      <c r="V201" t="s">
        <v>178</v>
      </c>
      <c r="W201" t="s">
        <v>44</v>
      </c>
      <c r="Y201" t="s">
        <v>149</v>
      </c>
      <c r="Z201" t="e" cm="1">
        <f t="array" ref="Z201">-∞</f>
        <v>#NAME?</v>
      </c>
      <c r="AA201">
        <v>2011</v>
      </c>
      <c r="AB201">
        <v>0.27065085631541502</v>
      </c>
      <c r="AC201">
        <v>0</v>
      </c>
      <c r="AD201">
        <v>0</v>
      </c>
    </row>
    <row r="202" spans="1:30" x14ac:dyDescent="0.3">
      <c r="A202">
        <v>2012</v>
      </c>
      <c r="B202">
        <v>261</v>
      </c>
      <c r="C202" t="s">
        <v>129</v>
      </c>
      <c r="D202">
        <v>39155.300000000003</v>
      </c>
      <c r="E202">
        <v>35.700000000000003</v>
      </c>
      <c r="F202">
        <v>-573</v>
      </c>
      <c r="G202">
        <v>0</v>
      </c>
      <c r="H202">
        <v>23077</v>
      </c>
      <c r="I202">
        <v>4877</v>
      </c>
      <c r="J202">
        <v>0</v>
      </c>
      <c r="K202">
        <v>-1.5</v>
      </c>
      <c r="L202">
        <v>-2.5</v>
      </c>
      <c r="M202">
        <v>-11.7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120622</v>
      </c>
      <c r="V202" t="s">
        <v>179</v>
      </c>
      <c r="W202" t="s">
        <v>34</v>
      </c>
      <c r="Y202" t="s">
        <v>131</v>
      </c>
      <c r="Z202">
        <v>4897.4358974359002</v>
      </c>
      <c r="AA202">
        <v>2011</v>
      </c>
      <c r="AB202">
        <v>1.6967240109199599</v>
      </c>
      <c r="AC202">
        <v>-0.11700000000000001</v>
      </c>
      <c r="AD202">
        <v>4.7120575916230401</v>
      </c>
    </row>
    <row r="203" spans="1:30" x14ac:dyDescent="0.3">
      <c r="A203">
        <v>2012</v>
      </c>
      <c r="B203">
        <v>226</v>
      </c>
      <c r="C203" t="s">
        <v>141</v>
      </c>
      <c r="D203">
        <v>43034.7</v>
      </c>
      <c r="E203">
        <v>-4.2</v>
      </c>
      <c r="F203">
        <v>535.1</v>
      </c>
      <c r="G203">
        <v>0</v>
      </c>
      <c r="H203">
        <v>27186</v>
      </c>
      <c r="I203">
        <v>3223.6</v>
      </c>
      <c r="J203">
        <v>0</v>
      </c>
      <c r="K203">
        <v>1.2</v>
      </c>
      <c r="L203">
        <v>2</v>
      </c>
      <c r="M203">
        <v>16.600000000000001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52000</v>
      </c>
      <c r="V203" t="s">
        <v>180</v>
      </c>
      <c r="W203" t="s">
        <v>30</v>
      </c>
      <c r="Y203" t="s">
        <v>143</v>
      </c>
      <c r="Z203">
        <v>3223.4939759036101</v>
      </c>
      <c r="AA203">
        <v>2011</v>
      </c>
      <c r="AB203">
        <v>1.5829728536746901</v>
      </c>
      <c r="AC203">
        <v>0.16600000000000001</v>
      </c>
      <c r="AD203">
        <v>8.4337058493739505</v>
      </c>
    </row>
    <row r="204" spans="1:30" x14ac:dyDescent="0.3">
      <c r="A204">
        <v>2012</v>
      </c>
      <c r="B204">
        <v>149</v>
      </c>
      <c r="C204" t="s">
        <v>135</v>
      </c>
      <c r="D204">
        <v>58611.4</v>
      </c>
      <c r="E204">
        <v>-5</v>
      </c>
      <c r="F204">
        <v>-6904</v>
      </c>
      <c r="G204">
        <v>0</v>
      </c>
      <c r="H204">
        <v>165419.70000000001</v>
      </c>
      <c r="I204">
        <v>77211</v>
      </c>
      <c r="J204">
        <v>0</v>
      </c>
      <c r="K204">
        <v>-11.8</v>
      </c>
      <c r="L204">
        <v>-4.2</v>
      </c>
      <c r="M204">
        <v>-8.9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111556</v>
      </c>
      <c r="V204" t="s">
        <v>181</v>
      </c>
      <c r="W204" t="s">
        <v>44</v>
      </c>
      <c r="Y204" t="s">
        <v>137</v>
      </c>
      <c r="Z204">
        <v>77573.033707865194</v>
      </c>
      <c r="AA204">
        <v>2011</v>
      </c>
      <c r="AB204">
        <v>0.35431934648654301</v>
      </c>
      <c r="AC204">
        <v>-8.8999999999999996E-2</v>
      </c>
      <c r="AD204">
        <v>2.1324381952491298</v>
      </c>
    </row>
    <row r="205" spans="1:30" x14ac:dyDescent="0.3">
      <c r="A205">
        <v>2023</v>
      </c>
      <c r="B205">
        <v>407</v>
      </c>
      <c r="C205" t="s">
        <v>182</v>
      </c>
      <c r="D205">
        <v>36966.699999999997</v>
      </c>
      <c r="E205">
        <v>-7.2</v>
      </c>
      <c r="F205">
        <v>1580.3</v>
      </c>
      <c r="G205">
        <v>-12.8</v>
      </c>
      <c r="H205">
        <v>42056</v>
      </c>
      <c r="I205">
        <v>24401.3</v>
      </c>
      <c r="J205">
        <v>0</v>
      </c>
      <c r="K205">
        <v>4.3</v>
      </c>
      <c r="L205">
        <v>3.8</v>
      </c>
      <c r="M205">
        <v>6.5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149655</v>
      </c>
      <c r="V205" t="s">
        <v>183</v>
      </c>
      <c r="W205" t="s">
        <v>90</v>
      </c>
      <c r="Y205" t="s">
        <v>184</v>
      </c>
      <c r="Z205">
        <v>24312.307692307699</v>
      </c>
      <c r="AA205">
        <v>2022</v>
      </c>
      <c r="AB205">
        <v>0.87898754042229399</v>
      </c>
      <c r="AC205">
        <v>6.5000000000000002E-2</v>
      </c>
      <c r="AD205">
        <v>1.7298234512434301</v>
      </c>
    </row>
    <row r="206" spans="1:30" x14ac:dyDescent="0.3">
      <c r="A206">
        <v>2023</v>
      </c>
      <c r="B206">
        <v>357</v>
      </c>
      <c r="C206" t="s">
        <v>185</v>
      </c>
      <c r="D206">
        <v>41902.300000000003</v>
      </c>
      <c r="E206">
        <v>-13.6</v>
      </c>
      <c r="F206">
        <v>5005.1000000000004</v>
      </c>
      <c r="G206">
        <v>-16.399999999999999</v>
      </c>
      <c r="H206">
        <v>89781.9</v>
      </c>
      <c r="I206">
        <v>38589.800000000003</v>
      </c>
      <c r="J206">
        <v>0</v>
      </c>
      <c r="K206">
        <v>11.9</v>
      </c>
      <c r="L206">
        <v>5.6</v>
      </c>
      <c r="M206">
        <v>13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49659</v>
      </c>
      <c r="V206" t="s">
        <v>186</v>
      </c>
      <c r="W206" t="s">
        <v>44</v>
      </c>
      <c r="Y206" t="s">
        <v>187</v>
      </c>
      <c r="Z206">
        <v>38500.769230769198</v>
      </c>
      <c r="AA206">
        <v>2022</v>
      </c>
      <c r="AB206">
        <v>0.46671211012464697</v>
      </c>
      <c r="AC206">
        <v>0.13</v>
      </c>
      <c r="AD206">
        <v>2.3319508101736202</v>
      </c>
    </row>
    <row r="207" spans="1:30" x14ac:dyDescent="0.3">
      <c r="A207">
        <v>2023</v>
      </c>
      <c r="B207">
        <v>153</v>
      </c>
      <c r="C207" t="s">
        <v>188</v>
      </c>
      <c r="D207">
        <v>80388.600000000006</v>
      </c>
      <c r="E207">
        <v>-12</v>
      </c>
      <c r="F207">
        <v>4795.6000000000004</v>
      </c>
      <c r="G207">
        <v>-7.7</v>
      </c>
      <c r="H207">
        <v>94179.7</v>
      </c>
      <c r="I207">
        <v>37237.1</v>
      </c>
      <c r="J207">
        <v>0</v>
      </c>
      <c r="K207">
        <v>6</v>
      </c>
      <c r="L207">
        <v>5.0999999999999996</v>
      </c>
      <c r="M207">
        <v>12.9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322525</v>
      </c>
      <c r="V207" t="s">
        <v>189</v>
      </c>
      <c r="W207" t="s">
        <v>90</v>
      </c>
      <c r="Y207" t="s">
        <v>190</v>
      </c>
      <c r="Z207">
        <v>37175.193798449603</v>
      </c>
      <c r="AA207">
        <v>2022</v>
      </c>
      <c r="AB207">
        <v>0.853566108195291</v>
      </c>
      <c r="AC207">
        <v>0.129</v>
      </c>
      <c r="AD207">
        <v>2.5334017224122101</v>
      </c>
    </row>
    <row r="208" spans="1:30" x14ac:dyDescent="0.3">
      <c r="A208">
        <v>2023</v>
      </c>
      <c r="B208">
        <v>140</v>
      </c>
      <c r="C208" t="s">
        <v>150</v>
      </c>
      <c r="D208">
        <v>85254.9</v>
      </c>
      <c r="E208">
        <v>-3.5</v>
      </c>
      <c r="F208">
        <v>6923.4</v>
      </c>
      <c r="G208">
        <v>-11.8</v>
      </c>
      <c r="H208">
        <v>241383.3</v>
      </c>
      <c r="I208">
        <v>54465.2</v>
      </c>
      <c r="J208">
        <v>0</v>
      </c>
      <c r="K208">
        <v>8.1</v>
      </c>
      <c r="L208">
        <v>2.9</v>
      </c>
      <c r="M208">
        <v>12.7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112994</v>
      </c>
      <c r="V208" t="s">
        <v>191</v>
      </c>
      <c r="W208" t="s">
        <v>90</v>
      </c>
      <c r="Y208" t="s">
        <v>152</v>
      </c>
      <c r="Z208">
        <v>54514.960629921297</v>
      </c>
      <c r="AA208">
        <v>2022</v>
      </c>
      <c r="AB208">
        <v>0.35319303365228699</v>
      </c>
      <c r="AC208">
        <v>0.127</v>
      </c>
      <c r="AD208">
        <v>4.4278359043244704</v>
      </c>
    </row>
    <row r="209" spans="1:30" x14ac:dyDescent="0.3">
      <c r="A209">
        <v>2023</v>
      </c>
      <c r="B209">
        <v>109</v>
      </c>
      <c r="C209" t="s">
        <v>192</v>
      </c>
      <c r="D209">
        <v>97048.6</v>
      </c>
      <c r="E209">
        <v>-10.3</v>
      </c>
      <c r="F209">
        <v>8962.4</v>
      </c>
      <c r="G209">
        <v>-14.8</v>
      </c>
      <c r="H209">
        <v>190664.8</v>
      </c>
      <c r="I209">
        <v>64497.2</v>
      </c>
      <c r="J209">
        <v>0</v>
      </c>
      <c r="K209">
        <v>9.1999999999999993</v>
      </c>
      <c r="L209">
        <v>4.7</v>
      </c>
      <c r="M209">
        <v>13.9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338651</v>
      </c>
      <c r="V209" t="s">
        <v>193</v>
      </c>
      <c r="W209" t="s">
        <v>44</v>
      </c>
      <c r="Y209" t="s">
        <v>194</v>
      </c>
      <c r="Z209">
        <v>64477.6978417266</v>
      </c>
      <c r="AA209">
        <v>2022</v>
      </c>
      <c r="AB209">
        <v>0.50900113707406902</v>
      </c>
      <c r="AC209">
        <v>0.13900000000000001</v>
      </c>
      <c r="AD209">
        <v>2.9570658752119998</v>
      </c>
    </row>
    <row r="210" spans="1:30" x14ac:dyDescent="0.3">
      <c r="A210">
        <v>2022</v>
      </c>
      <c r="B210">
        <v>234</v>
      </c>
      <c r="C210" t="s">
        <v>126</v>
      </c>
      <c r="D210">
        <v>55383.6</v>
      </c>
      <c r="E210">
        <v>-1.5</v>
      </c>
      <c r="F210">
        <v>-15204.7</v>
      </c>
      <c r="G210">
        <v>-132.30000000000001</v>
      </c>
      <c r="H210">
        <v>391604.2</v>
      </c>
      <c r="I210">
        <v>82165.2</v>
      </c>
      <c r="J210">
        <v>0</v>
      </c>
      <c r="K210">
        <v>-27.5</v>
      </c>
      <c r="L210">
        <v>-3.9</v>
      </c>
      <c r="M210">
        <v>-18.5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59721</v>
      </c>
      <c r="V210" t="s">
        <v>127</v>
      </c>
      <c r="W210" t="s">
        <v>44</v>
      </c>
      <c r="Y210" t="s">
        <v>128</v>
      </c>
      <c r="Z210">
        <v>82187.567567567603</v>
      </c>
      <c r="AA210">
        <v>2021</v>
      </c>
      <c r="AB210">
        <v>0.14142749235069499</v>
      </c>
      <c r="AC210">
        <v>-0.185</v>
      </c>
      <c r="AD210">
        <v>4.7647620143771299</v>
      </c>
    </row>
    <row r="211" spans="1:30" x14ac:dyDescent="0.3">
      <c r="A211">
        <v>2022</v>
      </c>
      <c r="B211">
        <v>480</v>
      </c>
      <c r="C211" t="s">
        <v>132</v>
      </c>
      <c r="D211">
        <v>29705.4</v>
      </c>
      <c r="E211">
        <v>3.1</v>
      </c>
      <c r="F211">
        <v>1732.8</v>
      </c>
      <c r="G211">
        <v>61.2</v>
      </c>
      <c r="H211">
        <v>30759.599999999999</v>
      </c>
      <c r="I211">
        <v>9938.5</v>
      </c>
      <c r="J211">
        <v>0</v>
      </c>
      <c r="K211">
        <v>5.8</v>
      </c>
      <c r="L211">
        <v>5.6</v>
      </c>
      <c r="M211">
        <v>17.399999999999999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116224</v>
      </c>
      <c r="V211" t="s">
        <v>133</v>
      </c>
      <c r="W211" t="s">
        <v>90</v>
      </c>
      <c r="Y211" t="s">
        <v>134</v>
      </c>
      <c r="Z211">
        <v>9958.6206896551703</v>
      </c>
      <c r="AA211">
        <v>2021</v>
      </c>
      <c r="AB211">
        <v>0.96572777279288402</v>
      </c>
      <c r="AC211">
        <v>0.17399999999999999</v>
      </c>
      <c r="AD211">
        <v>3.08874099722992</v>
      </c>
    </row>
    <row r="212" spans="1:30" x14ac:dyDescent="0.3">
      <c r="A212">
        <v>2022</v>
      </c>
      <c r="B212">
        <v>351</v>
      </c>
      <c r="C212" t="s">
        <v>182</v>
      </c>
      <c r="D212">
        <v>39851.699999999997</v>
      </c>
      <c r="E212">
        <v>0.8</v>
      </c>
      <c r="F212">
        <v>1811.4</v>
      </c>
      <c r="G212">
        <v>-0.6</v>
      </c>
      <c r="H212">
        <v>42072.1</v>
      </c>
      <c r="I212">
        <v>24511.5</v>
      </c>
      <c r="J212">
        <v>0</v>
      </c>
      <c r="K212">
        <v>4.5</v>
      </c>
      <c r="L212">
        <v>4.3</v>
      </c>
      <c r="M212">
        <v>7.4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145696</v>
      </c>
      <c r="V212" t="s">
        <v>183</v>
      </c>
      <c r="W212" t="s">
        <v>90</v>
      </c>
      <c r="Y212" t="s">
        <v>184</v>
      </c>
      <c r="Z212">
        <v>24478.378378378398</v>
      </c>
      <c r="AA212">
        <v>2021</v>
      </c>
      <c r="AB212">
        <v>0.94722393224963797</v>
      </c>
      <c r="AC212">
        <v>7.3999999999999996E-2</v>
      </c>
      <c r="AD212">
        <v>1.7187453903058401</v>
      </c>
    </row>
    <row r="213" spans="1:30" x14ac:dyDescent="0.3">
      <c r="A213">
        <v>2022</v>
      </c>
      <c r="B213">
        <v>444</v>
      </c>
      <c r="C213" t="s">
        <v>195</v>
      </c>
      <c r="D213">
        <v>32005.200000000001</v>
      </c>
      <c r="E213">
        <v>8.1</v>
      </c>
      <c r="F213">
        <v>1956</v>
      </c>
      <c r="G213">
        <v>150.69999999999999</v>
      </c>
      <c r="H213">
        <v>41265.4</v>
      </c>
      <c r="I213">
        <v>24961.1</v>
      </c>
      <c r="J213">
        <v>0</v>
      </c>
      <c r="K213">
        <v>6.1</v>
      </c>
      <c r="L213">
        <v>4.7</v>
      </c>
      <c r="M213">
        <v>7.8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184034</v>
      </c>
      <c r="V213" t="s">
        <v>196</v>
      </c>
      <c r="W213" t="s">
        <v>30</v>
      </c>
      <c r="Y213" t="s">
        <v>197</v>
      </c>
      <c r="Z213">
        <v>25076.9230769231</v>
      </c>
      <c r="AA213">
        <v>2021</v>
      </c>
      <c r="AB213">
        <v>0.77559408123997298</v>
      </c>
      <c r="AC213">
        <v>7.8E-2</v>
      </c>
      <c r="AD213">
        <v>1.6455527607361999</v>
      </c>
    </row>
    <row r="214" spans="1:30" x14ac:dyDescent="0.3">
      <c r="A214">
        <v>2022</v>
      </c>
      <c r="B214">
        <v>113</v>
      </c>
      <c r="C214" t="s">
        <v>188</v>
      </c>
      <c r="D214">
        <v>91374.6</v>
      </c>
      <c r="E214">
        <v>11</v>
      </c>
      <c r="F214">
        <v>5194</v>
      </c>
      <c r="G214">
        <v>9.8000000000000007</v>
      </c>
      <c r="H214">
        <v>114385.2</v>
      </c>
      <c r="I214">
        <v>35761.800000000003</v>
      </c>
      <c r="J214">
        <v>0</v>
      </c>
      <c r="K214">
        <v>5.7</v>
      </c>
      <c r="L214">
        <v>4.5</v>
      </c>
      <c r="M214">
        <v>14.5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368247</v>
      </c>
      <c r="V214" t="s">
        <v>189</v>
      </c>
      <c r="W214" t="s">
        <v>90</v>
      </c>
      <c r="Y214" t="s">
        <v>190</v>
      </c>
      <c r="Z214">
        <v>35820.689655172398</v>
      </c>
      <c r="AA214">
        <v>2021</v>
      </c>
      <c r="AB214">
        <v>0.79883236642502697</v>
      </c>
      <c r="AC214">
        <v>0.14499999999999999</v>
      </c>
      <c r="AD214">
        <v>3.1932718521370802</v>
      </c>
    </row>
    <row r="215" spans="1:30" x14ac:dyDescent="0.3">
      <c r="A215">
        <v>2022</v>
      </c>
      <c r="B215">
        <v>281</v>
      </c>
      <c r="C215" t="s">
        <v>185</v>
      </c>
      <c r="D215">
        <v>48486.1</v>
      </c>
      <c r="E215">
        <v>-3.3</v>
      </c>
      <c r="F215">
        <v>5986.4</v>
      </c>
      <c r="G215">
        <v>-2.6</v>
      </c>
      <c r="H215">
        <v>91297.1</v>
      </c>
      <c r="I215">
        <v>41039.300000000003</v>
      </c>
      <c r="J215">
        <v>0</v>
      </c>
      <c r="K215">
        <v>12.3</v>
      </c>
      <c r="L215">
        <v>6.6</v>
      </c>
      <c r="M215">
        <v>14.6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48829</v>
      </c>
      <c r="V215" t="s">
        <v>186</v>
      </c>
      <c r="W215" t="s">
        <v>44</v>
      </c>
      <c r="Y215" t="s">
        <v>187</v>
      </c>
      <c r="Z215">
        <v>41002.739726027401</v>
      </c>
      <c r="AA215">
        <v>2021</v>
      </c>
      <c r="AB215">
        <v>0.53108039576284505</v>
      </c>
      <c r="AC215">
        <v>0.14599999999999999</v>
      </c>
      <c r="AD215">
        <v>2.2266097487638601</v>
      </c>
    </row>
    <row r="216" spans="1:30" x14ac:dyDescent="0.3">
      <c r="A216">
        <v>2022</v>
      </c>
      <c r="B216">
        <v>116</v>
      </c>
      <c r="C216" t="s">
        <v>150</v>
      </c>
      <c r="D216">
        <v>88320.5</v>
      </c>
      <c r="E216">
        <v>4</v>
      </c>
      <c r="F216">
        <v>7853.1</v>
      </c>
      <c r="G216">
        <v>-19.100000000000001</v>
      </c>
      <c r="H216">
        <v>251058.1</v>
      </c>
      <c r="I216">
        <v>58845.8</v>
      </c>
      <c r="J216">
        <v>0</v>
      </c>
      <c r="K216">
        <v>8.9</v>
      </c>
      <c r="L216">
        <v>3.1</v>
      </c>
      <c r="M216">
        <v>13.3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108900</v>
      </c>
      <c r="V216" t="s">
        <v>191</v>
      </c>
      <c r="W216" t="s">
        <v>90</v>
      </c>
      <c r="Y216" t="s">
        <v>152</v>
      </c>
      <c r="Z216">
        <v>59045.864661654101</v>
      </c>
      <c r="AA216">
        <v>2021</v>
      </c>
      <c r="AB216">
        <v>0.35179307100627299</v>
      </c>
      <c r="AC216">
        <v>0.13300000000000001</v>
      </c>
      <c r="AD216">
        <v>4.2519167335192503</v>
      </c>
    </row>
    <row r="217" spans="1:30" x14ac:dyDescent="0.3">
      <c r="A217">
        <v>2022</v>
      </c>
      <c r="B217">
        <v>83</v>
      </c>
      <c r="C217" t="s">
        <v>192</v>
      </c>
      <c r="D217">
        <v>108215.6</v>
      </c>
      <c r="E217">
        <v>-4</v>
      </c>
      <c r="F217">
        <v>10513.9</v>
      </c>
      <c r="G217">
        <v>21.7</v>
      </c>
      <c r="H217">
        <v>196542.6</v>
      </c>
      <c r="I217">
        <v>68218.899999999994</v>
      </c>
      <c r="J217">
        <v>0</v>
      </c>
      <c r="K217">
        <v>9.6999999999999993</v>
      </c>
      <c r="L217">
        <v>5.3</v>
      </c>
      <c r="M217">
        <v>15.4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333840</v>
      </c>
      <c r="V217" t="s">
        <v>193</v>
      </c>
      <c r="W217" t="s">
        <v>44</v>
      </c>
      <c r="Y217" t="s">
        <v>194</v>
      </c>
      <c r="Z217">
        <v>68272.077922077893</v>
      </c>
      <c r="AA217">
        <v>2021</v>
      </c>
      <c r="AB217">
        <v>0.55059615574435306</v>
      </c>
      <c r="AC217">
        <v>0.154</v>
      </c>
      <c r="AD217">
        <v>2.87881379887577</v>
      </c>
    </row>
    <row r="218" spans="1:30" x14ac:dyDescent="0.3">
      <c r="A218">
        <v>2021</v>
      </c>
      <c r="B218">
        <v>414</v>
      </c>
      <c r="C218" t="s">
        <v>195</v>
      </c>
      <c r="D218">
        <v>29598.9</v>
      </c>
      <c r="E218">
        <v>-10.199999999999999</v>
      </c>
      <c r="F218">
        <v>780.4</v>
      </c>
      <c r="G218">
        <v>-32</v>
      </c>
      <c r="H218">
        <v>44813.2</v>
      </c>
      <c r="I218">
        <v>24947</v>
      </c>
      <c r="J218">
        <v>0</v>
      </c>
      <c r="K218">
        <v>2.6</v>
      </c>
      <c r="L218">
        <v>1.7</v>
      </c>
      <c r="M218">
        <v>3.1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181897</v>
      </c>
      <c r="V218" t="s">
        <v>196</v>
      </c>
      <c r="W218" t="s">
        <v>30</v>
      </c>
      <c r="Y218" t="s">
        <v>197</v>
      </c>
      <c r="Z218">
        <v>25174.193548387098</v>
      </c>
      <c r="AA218">
        <v>2020</v>
      </c>
      <c r="AB218">
        <v>0.66049512197298998</v>
      </c>
      <c r="AC218">
        <v>3.1E-2</v>
      </c>
      <c r="AD218">
        <v>1.7801245515120501</v>
      </c>
    </row>
    <row r="219" spans="1:30" x14ac:dyDescent="0.3">
      <c r="A219">
        <v>2021</v>
      </c>
      <c r="B219">
        <v>300</v>
      </c>
      <c r="C219" t="s">
        <v>182</v>
      </c>
      <c r="D219">
        <v>39538.800000000003</v>
      </c>
      <c r="E219">
        <v>-3.7</v>
      </c>
      <c r="F219">
        <v>1821.9</v>
      </c>
      <c r="G219">
        <v>-10.7</v>
      </c>
      <c r="H219">
        <v>43380.800000000003</v>
      </c>
      <c r="I219">
        <v>24903.200000000001</v>
      </c>
      <c r="J219">
        <v>0</v>
      </c>
      <c r="K219">
        <v>4.5999999999999996</v>
      </c>
      <c r="L219">
        <v>4.2</v>
      </c>
      <c r="M219">
        <v>7.3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145653</v>
      </c>
      <c r="V219" t="s">
        <v>183</v>
      </c>
      <c r="W219" t="s">
        <v>90</v>
      </c>
      <c r="Y219" t="s">
        <v>184</v>
      </c>
      <c r="Z219">
        <v>24957.534246575298</v>
      </c>
      <c r="AA219">
        <v>2020</v>
      </c>
      <c r="AB219">
        <v>0.91143547375797596</v>
      </c>
      <c r="AC219">
        <v>7.2999999999999995E-2</v>
      </c>
      <c r="AD219">
        <v>1.7381845326307701</v>
      </c>
    </row>
    <row r="220" spans="1:30" x14ac:dyDescent="0.3">
      <c r="A220">
        <v>2021</v>
      </c>
      <c r="B220">
        <v>217</v>
      </c>
      <c r="C220" t="s">
        <v>185</v>
      </c>
      <c r="D220">
        <v>50115</v>
      </c>
      <c r="E220">
        <v>4</v>
      </c>
      <c r="F220">
        <v>6145.7</v>
      </c>
      <c r="G220">
        <v>4.4000000000000004</v>
      </c>
      <c r="H220">
        <v>95256.1</v>
      </c>
      <c r="I220">
        <v>43035.4</v>
      </c>
      <c r="J220">
        <v>0</v>
      </c>
      <c r="K220">
        <v>12.3</v>
      </c>
      <c r="L220">
        <v>6.5</v>
      </c>
      <c r="M220">
        <v>14.3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47320</v>
      </c>
      <c r="V220" t="s">
        <v>186</v>
      </c>
      <c r="W220" t="s">
        <v>44</v>
      </c>
      <c r="Y220" t="s">
        <v>187</v>
      </c>
      <c r="Z220">
        <v>42976.9230769231</v>
      </c>
      <c r="AA220">
        <v>2020</v>
      </c>
      <c r="AB220">
        <v>0.52610803927517502</v>
      </c>
      <c r="AC220">
        <v>0.14299999999999999</v>
      </c>
      <c r="AD220">
        <v>2.2164476463218201</v>
      </c>
    </row>
    <row r="221" spans="1:30" x14ac:dyDescent="0.3">
      <c r="A221">
        <v>2021</v>
      </c>
      <c r="B221">
        <v>95</v>
      </c>
      <c r="C221" t="s">
        <v>188</v>
      </c>
      <c r="D221">
        <v>82344.600000000006</v>
      </c>
      <c r="E221">
        <v>2.1</v>
      </c>
      <c r="F221">
        <v>4731.8</v>
      </c>
      <c r="G221">
        <v>487.3</v>
      </c>
      <c r="H221">
        <v>107168.7</v>
      </c>
      <c r="I221">
        <v>31876.1</v>
      </c>
      <c r="J221">
        <v>0</v>
      </c>
      <c r="K221">
        <v>5.7</v>
      </c>
      <c r="L221">
        <v>4.4000000000000004</v>
      </c>
      <c r="M221">
        <v>14.8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350864</v>
      </c>
      <c r="V221" t="s">
        <v>189</v>
      </c>
      <c r="W221" t="s">
        <v>90</v>
      </c>
      <c r="Y221" t="s">
        <v>190</v>
      </c>
      <c r="Z221">
        <v>31971.621621621602</v>
      </c>
      <c r="AA221">
        <v>2020</v>
      </c>
      <c r="AB221">
        <v>0.76836427053794598</v>
      </c>
      <c r="AC221">
        <v>0.14799999999999999</v>
      </c>
      <c r="AD221">
        <v>3.3519945052622702</v>
      </c>
    </row>
    <row r="222" spans="1:30" x14ac:dyDescent="0.3">
      <c r="A222">
        <v>2021</v>
      </c>
      <c r="B222">
        <v>88</v>
      </c>
      <c r="C222" t="s">
        <v>150</v>
      </c>
      <c r="D222">
        <v>84893.1</v>
      </c>
      <c r="E222">
        <v>11.7</v>
      </c>
      <c r="F222">
        <v>11053.6</v>
      </c>
      <c r="G222">
        <v>106.4</v>
      </c>
      <c r="H222">
        <v>238289.7</v>
      </c>
      <c r="I222">
        <v>50414.5</v>
      </c>
      <c r="J222">
        <v>0</v>
      </c>
      <c r="K222">
        <v>13</v>
      </c>
      <c r="L222">
        <v>4.5999999999999996</v>
      </c>
      <c r="M222">
        <v>21.9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109700</v>
      </c>
      <c r="V222" t="s">
        <v>191</v>
      </c>
      <c r="W222" t="s">
        <v>90</v>
      </c>
      <c r="Y222" t="s">
        <v>152</v>
      </c>
      <c r="Z222">
        <v>50473.0593607306</v>
      </c>
      <c r="AA222">
        <v>2020</v>
      </c>
      <c r="AB222">
        <v>0.35626004816825901</v>
      </c>
      <c r="AC222">
        <v>0.219</v>
      </c>
      <c r="AD222">
        <v>4.7211265379604797</v>
      </c>
    </row>
    <row r="223" spans="1:30" x14ac:dyDescent="0.3">
      <c r="A223">
        <v>2021</v>
      </c>
      <c r="B223">
        <v>55</v>
      </c>
      <c r="C223" t="s">
        <v>192</v>
      </c>
      <c r="D223">
        <v>112670.3</v>
      </c>
      <c r="E223">
        <v>2.9</v>
      </c>
      <c r="F223">
        <v>8642.6</v>
      </c>
      <c r="G223">
        <v>9.9</v>
      </c>
      <c r="H223">
        <v>207644.6</v>
      </c>
      <c r="I223">
        <v>68378.899999999994</v>
      </c>
      <c r="J223">
        <v>0</v>
      </c>
      <c r="K223">
        <v>7.7</v>
      </c>
      <c r="L223">
        <v>4.2</v>
      </c>
      <c r="M223">
        <v>12.6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324667</v>
      </c>
      <c r="V223" t="s">
        <v>193</v>
      </c>
      <c r="W223" t="s">
        <v>44</v>
      </c>
      <c r="Y223" t="s">
        <v>194</v>
      </c>
      <c r="Z223">
        <v>68592.063492063506</v>
      </c>
      <c r="AA223">
        <v>2020</v>
      </c>
      <c r="AB223">
        <v>0.54261126944789295</v>
      </c>
      <c r="AC223">
        <v>0.126</v>
      </c>
      <c r="AD223">
        <v>3.02723944183463</v>
      </c>
    </row>
    <row r="224" spans="1:30" x14ac:dyDescent="0.3">
      <c r="A224">
        <v>2020</v>
      </c>
      <c r="B224">
        <v>371</v>
      </c>
      <c r="C224" t="s">
        <v>132</v>
      </c>
      <c r="D224">
        <v>33312.800000000003</v>
      </c>
      <c r="E224">
        <v>-6.5</v>
      </c>
      <c r="F224">
        <v>9138.7999999999993</v>
      </c>
      <c r="G224">
        <v>25.9</v>
      </c>
      <c r="H224">
        <v>38830.300000000003</v>
      </c>
      <c r="I224">
        <v>13162.2</v>
      </c>
      <c r="J224">
        <v>0</v>
      </c>
      <c r="K224">
        <v>27.4</v>
      </c>
      <c r="L224">
        <v>23.5</v>
      </c>
      <c r="M224">
        <v>69.400000000000006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128697</v>
      </c>
      <c r="V224" t="s">
        <v>133</v>
      </c>
      <c r="W224" t="s">
        <v>90</v>
      </c>
      <c r="Y224" t="s">
        <v>134</v>
      </c>
      <c r="Z224">
        <v>13168.2997118156</v>
      </c>
      <c r="AA224">
        <v>2019</v>
      </c>
      <c r="AB224">
        <v>0.85790735585354705</v>
      </c>
      <c r="AC224">
        <v>0.69399999999999995</v>
      </c>
      <c r="AD224">
        <v>2.9487709764958199</v>
      </c>
    </row>
    <row r="225" spans="1:30" x14ac:dyDescent="0.3">
      <c r="A225">
        <v>2020</v>
      </c>
      <c r="B225">
        <v>345</v>
      </c>
      <c r="C225" t="s">
        <v>195</v>
      </c>
      <c r="D225">
        <v>35796.9</v>
      </c>
      <c r="E225">
        <v>-1.6</v>
      </c>
      <c r="F225">
        <v>2289.5</v>
      </c>
      <c r="G225">
        <v>6.1</v>
      </c>
      <c r="H225">
        <v>44662.400000000001</v>
      </c>
      <c r="I225">
        <v>25775.8</v>
      </c>
      <c r="J225">
        <v>0</v>
      </c>
      <c r="K225">
        <v>6.4</v>
      </c>
      <c r="L225">
        <v>5.0999999999999996</v>
      </c>
      <c r="M225">
        <v>8.9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195056</v>
      </c>
      <c r="V225" t="s">
        <v>196</v>
      </c>
      <c r="W225" t="s">
        <v>30</v>
      </c>
      <c r="Y225" t="s">
        <v>198</v>
      </c>
      <c r="Z225">
        <v>25724.719101123599</v>
      </c>
      <c r="AA225">
        <v>2019</v>
      </c>
      <c r="AB225">
        <v>0.80149969549330102</v>
      </c>
      <c r="AC225">
        <v>8.8999999999999996E-2</v>
      </c>
      <c r="AD225">
        <v>1.73616667394628</v>
      </c>
    </row>
    <row r="226" spans="1:30" x14ac:dyDescent="0.3">
      <c r="A226">
        <v>2020</v>
      </c>
      <c r="B226">
        <v>300</v>
      </c>
      <c r="C226" t="s">
        <v>182</v>
      </c>
      <c r="D226">
        <v>40766.1</v>
      </c>
      <c r="E226">
        <v>1.9</v>
      </c>
      <c r="F226">
        <v>2044.2</v>
      </c>
      <c r="G226">
        <v>-16.7</v>
      </c>
      <c r="H226">
        <v>39362.199999999997</v>
      </c>
      <c r="I226">
        <v>21685.599999999999</v>
      </c>
      <c r="J226">
        <v>0</v>
      </c>
      <c r="K226">
        <v>5</v>
      </c>
      <c r="L226">
        <v>5.2</v>
      </c>
      <c r="M226">
        <v>9.4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145817</v>
      </c>
      <c r="V226" t="s">
        <v>183</v>
      </c>
      <c r="W226" t="s">
        <v>90</v>
      </c>
      <c r="Y226" t="s">
        <v>184</v>
      </c>
      <c r="Z226">
        <v>21746.808510638301</v>
      </c>
      <c r="AA226">
        <v>2019</v>
      </c>
      <c r="AB226">
        <v>1.0356661975194501</v>
      </c>
      <c r="AC226">
        <v>9.4E-2</v>
      </c>
      <c r="AD226">
        <v>1.81002191566383</v>
      </c>
    </row>
    <row r="227" spans="1:30" x14ac:dyDescent="0.3">
      <c r="A227">
        <v>2020</v>
      </c>
      <c r="B227">
        <v>245</v>
      </c>
      <c r="C227" t="s">
        <v>185</v>
      </c>
      <c r="D227">
        <v>45820.800000000003</v>
      </c>
      <c r="E227">
        <v>0.7</v>
      </c>
      <c r="F227">
        <v>5570.9</v>
      </c>
      <c r="G227">
        <v>7.8</v>
      </c>
      <c r="H227">
        <v>66236.7</v>
      </c>
      <c r="I227">
        <v>37801.5</v>
      </c>
      <c r="J227">
        <v>0</v>
      </c>
      <c r="K227">
        <v>12.2</v>
      </c>
      <c r="L227">
        <v>8.4</v>
      </c>
      <c r="M227">
        <v>14.7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41996</v>
      </c>
      <c r="V227" t="s">
        <v>186</v>
      </c>
      <c r="W227" t="s">
        <v>44</v>
      </c>
      <c r="Y227" t="s">
        <v>187</v>
      </c>
      <c r="Z227">
        <v>37897.278911564601</v>
      </c>
      <c r="AA227">
        <v>2019</v>
      </c>
      <c r="AB227">
        <v>0.69177359379316905</v>
      </c>
      <c r="AC227">
        <v>0.14699999999999999</v>
      </c>
      <c r="AD227">
        <v>1.7477956703584701</v>
      </c>
    </row>
    <row r="228" spans="1:30" x14ac:dyDescent="0.3">
      <c r="A228">
        <v>2020</v>
      </c>
      <c r="B228">
        <v>116</v>
      </c>
      <c r="C228" t="s">
        <v>150</v>
      </c>
      <c r="D228">
        <v>78157.7</v>
      </c>
      <c r="E228">
        <v>1.4</v>
      </c>
      <c r="F228">
        <v>8264</v>
      </c>
      <c r="G228">
        <v>86.6</v>
      </c>
      <c r="H228">
        <v>189586.9</v>
      </c>
      <c r="I228">
        <v>33851.800000000003</v>
      </c>
      <c r="J228">
        <v>0</v>
      </c>
      <c r="K228">
        <v>10.6</v>
      </c>
      <c r="L228">
        <v>4.4000000000000004</v>
      </c>
      <c r="M228">
        <v>24.4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114400</v>
      </c>
      <c r="V228" t="s">
        <v>151</v>
      </c>
      <c r="W228" t="s">
        <v>90</v>
      </c>
      <c r="Y228" t="s">
        <v>152</v>
      </c>
      <c r="Z228">
        <v>33868.852459016402</v>
      </c>
      <c r="AA228">
        <v>2019</v>
      </c>
      <c r="AB228">
        <v>0.41225263981846799</v>
      </c>
      <c r="AC228">
        <v>0.24399999999999999</v>
      </c>
      <c r="AD228">
        <v>5.59767710551791</v>
      </c>
    </row>
    <row r="229" spans="1:30" x14ac:dyDescent="0.3">
      <c r="A229">
        <v>2020</v>
      </c>
      <c r="B229">
        <v>102</v>
      </c>
      <c r="C229" t="s">
        <v>188</v>
      </c>
      <c r="D229">
        <v>85507.8</v>
      </c>
      <c r="E229">
        <v>1.1000000000000001</v>
      </c>
      <c r="F229">
        <v>2007.2</v>
      </c>
      <c r="G229">
        <v>-38.700000000000003</v>
      </c>
      <c r="H229">
        <v>86984.7</v>
      </c>
      <c r="I229">
        <v>29480.5</v>
      </c>
      <c r="J229">
        <v>0</v>
      </c>
      <c r="K229">
        <v>2.2999999999999998</v>
      </c>
      <c r="L229">
        <v>2.2999999999999998</v>
      </c>
      <c r="M229">
        <v>6.8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295941</v>
      </c>
      <c r="V229" t="s">
        <v>189</v>
      </c>
      <c r="W229" t="s">
        <v>90</v>
      </c>
      <c r="Y229" t="s">
        <v>190</v>
      </c>
      <c r="Z229">
        <v>29517.647058823499</v>
      </c>
      <c r="AA229">
        <v>2019</v>
      </c>
      <c r="AB229">
        <v>0.98302115199569595</v>
      </c>
      <c r="AC229">
        <v>6.8000000000000005E-2</v>
      </c>
      <c r="AD229">
        <v>2.9468710641689899</v>
      </c>
    </row>
    <row r="230" spans="1:30" x14ac:dyDescent="0.3">
      <c r="A230">
        <v>2020</v>
      </c>
      <c r="B230">
        <v>98</v>
      </c>
      <c r="C230" t="s">
        <v>126</v>
      </c>
      <c r="D230">
        <v>86604.7</v>
      </c>
      <c r="E230">
        <v>4.8</v>
      </c>
      <c r="F230">
        <v>12727.9</v>
      </c>
      <c r="G230">
        <v>35.700000000000003</v>
      </c>
      <c r="H230">
        <v>326163.20000000001</v>
      </c>
      <c r="I230">
        <v>68866.7</v>
      </c>
      <c r="J230">
        <v>0</v>
      </c>
      <c r="K230">
        <v>14.7</v>
      </c>
      <c r="L230">
        <v>3.9</v>
      </c>
      <c r="M230">
        <v>18.5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76866</v>
      </c>
      <c r="V230" t="s">
        <v>127</v>
      </c>
      <c r="W230" t="s">
        <v>44</v>
      </c>
      <c r="Y230" t="s">
        <v>128</v>
      </c>
      <c r="Z230">
        <v>68799.459459459496</v>
      </c>
      <c r="AA230">
        <v>2019</v>
      </c>
      <c r="AB230">
        <v>0.26552566322626198</v>
      </c>
      <c r="AC230">
        <v>0.185</v>
      </c>
      <c r="AD230">
        <v>4.7407814329150897</v>
      </c>
    </row>
    <row r="231" spans="1:30" x14ac:dyDescent="0.3">
      <c r="A231">
        <v>2020</v>
      </c>
      <c r="B231">
        <v>64</v>
      </c>
      <c r="C231" t="s">
        <v>199</v>
      </c>
      <c r="D231">
        <v>107146.9</v>
      </c>
      <c r="E231">
        <v>0.6</v>
      </c>
      <c r="F231">
        <v>7707.5</v>
      </c>
      <c r="G231">
        <v>-6.1</v>
      </c>
      <c r="H231">
        <v>201456.1</v>
      </c>
      <c r="I231">
        <v>83716.600000000006</v>
      </c>
      <c r="J231">
        <v>0</v>
      </c>
      <c r="K231">
        <v>7.2</v>
      </c>
      <c r="L231">
        <v>3.8</v>
      </c>
      <c r="M231">
        <v>9.1999999999999993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303351</v>
      </c>
      <c r="V231" t="s">
        <v>193</v>
      </c>
      <c r="W231" t="s">
        <v>44</v>
      </c>
      <c r="Y231" t="s">
        <v>200</v>
      </c>
      <c r="Z231">
        <v>83777.173913043502</v>
      </c>
      <c r="AA231">
        <v>2019</v>
      </c>
      <c r="AB231">
        <v>0.53186227669452502</v>
      </c>
      <c r="AC231">
        <v>9.1999999999999998E-2</v>
      </c>
      <c r="AD231">
        <v>2.4046657411612098</v>
      </c>
    </row>
    <row r="232" spans="1:30" x14ac:dyDescent="0.3">
      <c r="A232">
        <v>2019</v>
      </c>
      <c r="B232">
        <v>371</v>
      </c>
      <c r="C232" t="s">
        <v>132</v>
      </c>
      <c r="D232">
        <v>33312.800000000003</v>
      </c>
      <c r="E232">
        <v>-6.5</v>
      </c>
      <c r="F232">
        <v>9138.7999999999993</v>
      </c>
      <c r="G232">
        <v>25.9</v>
      </c>
      <c r="H232">
        <v>38830.300000000003</v>
      </c>
      <c r="I232">
        <v>13162.2</v>
      </c>
      <c r="J232">
        <v>0</v>
      </c>
      <c r="K232">
        <v>27.4</v>
      </c>
      <c r="L232">
        <v>23.5</v>
      </c>
      <c r="M232">
        <v>69.400000000000006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128697</v>
      </c>
      <c r="V232" t="s">
        <v>133</v>
      </c>
      <c r="W232" t="s">
        <v>90</v>
      </c>
      <c r="Y232" t="s">
        <v>134</v>
      </c>
      <c r="Z232">
        <v>13168.2997118156</v>
      </c>
      <c r="AA232">
        <v>2018</v>
      </c>
      <c r="AB232">
        <v>0.85790735585354705</v>
      </c>
      <c r="AC232">
        <v>0.69399999999999995</v>
      </c>
      <c r="AD232">
        <v>2.9487709764958199</v>
      </c>
    </row>
    <row r="233" spans="1:30" x14ac:dyDescent="0.3">
      <c r="A233">
        <v>2019</v>
      </c>
      <c r="B233">
        <v>345</v>
      </c>
      <c r="C233" t="s">
        <v>195</v>
      </c>
      <c r="D233">
        <v>35796.9</v>
      </c>
      <c r="E233">
        <v>-1.6</v>
      </c>
      <c r="F233">
        <v>2289.5</v>
      </c>
      <c r="G233">
        <v>6.1</v>
      </c>
      <c r="H233">
        <v>44662.400000000001</v>
      </c>
      <c r="I233">
        <v>25775.8</v>
      </c>
      <c r="J233">
        <v>0</v>
      </c>
      <c r="K233">
        <v>6.4</v>
      </c>
      <c r="L233">
        <v>5.0999999999999996</v>
      </c>
      <c r="M233">
        <v>8.9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195056</v>
      </c>
      <c r="V233" t="s">
        <v>196</v>
      </c>
      <c r="W233" t="s">
        <v>30</v>
      </c>
      <c r="Y233" t="s">
        <v>198</v>
      </c>
      <c r="Z233">
        <v>25724.719101123599</v>
      </c>
      <c r="AA233">
        <v>2018</v>
      </c>
      <c r="AB233">
        <v>0.80149969549330102</v>
      </c>
      <c r="AC233">
        <v>8.8999999999999996E-2</v>
      </c>
      <c r="AD233">
        <v>1.73616667394628</v>
      </c>
    </row>
    <row r="234" spans="1:30" x14ac:dyDescent="0.3">
      <c r="A234">
        <v>2019</v>
      </c>
      <c r="B234">
        <v>300</v>
      </c>
      <c r="C234" t="s">
        <v>182</v>
      </c>
      <c r="D234">
        <v>40766.1</v>
      </c>
      <c r="E234">
        <v>1.9</v>
      </c>
      <c r="F234">
        <v>2044.2</v>
      </c>
      <c r="G234">
        <v>-16.7</v>
      </c>
      <c r="H234">
        <v>39362.199999999997</v>
      </c>
      <c r="I234">
        <v>21685.599999999999</v>
      </c>
      <c r="J234">
        <v>0</v>
      </c>
      <c r="K234">
        <v>5</v>
      </c>
      <c r="L234">
        <v>5.2</v>
      </c>
      <c r="M234">
        <v>9.4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145817</v>
      </c>
      <c r="V234" t="s">
        <v>183</v>
      </c>
      <c r="W234" t="s">
        <v>90</v>
      </c>
      <c r="Y234" t="s">
        <v>184</v>
      </c>
      <c r="Z234">
        <v>21746.808510638301</v>
      </c>
      <c r="AA234">
        <v>2018</v>
      </c>
      <c r="AB234">
        <v>1.0356661975194501</v>
      </c>
      <c r="AC234">
        <v>9.4E-2</v>
      </c>
      <c r="AD234">
        <v>1.81002191566383</v>
      </c>
    </row>
    <row r="235" spans="1:30" x14ac:dyDescent="0.3">
      <c r="A235">
        <v>2019</v>
      </c>
      <c r="B235">
        <v>245</v>
      </c>
      <c r="C235" t="s">
        <v>185</v>
      </c>
      <c r="D235">
        <v>45820.800000000003</v>
      </c>
      <c r="E235">
        <v>0.7</v>
      </c>
      <c r="F235">
        <v>5570.9</v>
      </c>
      <c r="G235">
        <v>7.8</v>
      </c>
      <c r="H235">
        <v>66236.7</v>
      </c>
      <c r="I235">
        <v>37801.5</v>
      </c>
      <c r="J235">
        <v>0</v>
      </c>
      <c r="K235">
        <v>12.2</v>
      </c>
      <c r="L235">
        <v>8.4</v>
      </c>
      <c r="M235">
        <v>14.7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41996</v>
      </c>
      <c r="V235" t="s">
        <v>186</v>
      </c>
      <c r="W235" t="s">
        <v>44</v>
      </c>
      <c r="Y235" t="s">
        <v>187</v>
      </c>
      <c r="Z235">
        <v>37897.278911564601</v>
      </c>
      <c r="AA235">
        <v>2018</v>
      </c>
      <c r="AB235">
        <v>0.69177359379316905</v>
      </c>
      <c r="AC235">
        <v>0.14699999999999999</v>
      </c>
      <c r="AD235">
        <v>1.7477956703584701</v>
      </c>
    </row>
    <row r="236" spans="1:30" x14ac:dyDescent="0.3">
      <c r="A236">
        <v>2019</v>
      </c>
      <c r="B236">
        <v>116</v>
      </c>
      <c r="C236" t="s">
        <v>150</v>
      </c>
      <c r="D236">
        <v>78157.7</v>
      </c>
      <c r="E236">
        <v>1.4</v>
      </c>
      <c r="F236">
        <v>8264</v>
      </c>
      <c r="G236">
        <v>86.6</v>
      </c>
      <c r="H236">
        <v>189586.9</v>
      </c>
      <c r="I236">
        <v>33851.800000000003</v>
      </c>
      <c r="J236">
        <v>0</v>
      </c>
      <c r="K236">
        <v>10.6</v>
      </c>
      <c r="L236">
        <v>4.4000000000000004</v>
      </c>
      <c r="M236">
        <v>24.4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114400</v>
      </c>
      <c r="V236" t="s">
        <v>151</v>
      </c>
      <c r="W236" t="s">
        <v>90</v>
      </c>
      <c r="Y236" t="s">
        <v>152</v>
      </c>
      <c r="Z236">
        <v>33868.852459016402</v>
      </c>
      <c r="AA236">
        <v>2018</v>
      </c>
      <c r="AB236">
        <v>0.41225263981846799</v>
      </c>
      <c r="AC236">
        <v>0.24399999999999999</v>
      </c>
      <c r="AD236">
        <v>5.59767710551791</v>
      </c>
    </row>
    <row r="237" spans="1:30" x14ac:dyDescent="0.3">
      <c r="A237">
        <v>2019</v>
      </c>
      <c r="B237">
        <v>102</v>
      </c>
      <c r="C237" t="s">
        <v>188</v>
      </c>
      <c r="D237">
        <v>85507.8</v>
      </c>
      <c r="E237">
        <v>1.1000000000000001</v>
      </c>
      <c r="F237">
        <v>2007.2</v>
      </c>
      <c r="G237">
        <v>-38.700000000000003</v>
      </c>
      <c r="H237">
        <v>86984.7</v>
      </c>
      <c r="I237">
        <v>29480.5</v>
      </c>
      <c r="J237">
        <v>0</v>
      </c>
      <c r="K237">
        <v>2.2999999999999998</v>
      </c>
      <c r="L237">
        <v>2.2999999999999998</v>
      </c>
      <c r="M237">
        <v>6.8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295941</v>
      </c>
      <c r="V237" t="s">
        <v>189</v>
      </c>
      <c r="W237" t="s">
        <v>90</v>
      </c>
      <c r="Y237" t="s">
        <v>190</v>
      </c>
      <c r="Z237">
        <v>29517.647058823499</v>
      </c>
      <c r="AA237">
        <v>2018</v>
      </c>
      <c r="AB237">
        <v>0.98302115199569595</v>
      </c>
      <c r="AC237">
        <v>6.8000000000000005E-2</v>
      </c>
      <c r="AD237">
        <v>2.9468710641689899</v>
      </c>
    </row>
    <row r="238" spans="1:30" x14ac:dyDescent="0.3">
      <c r="A238">
        <v>2019</v>
      </c>
      <c r="B238">
        <v>98</v>
      </c>
      <c r="C238" t="s">
        <v>126</v>
      </c>
      <c r="D238">
        <v>86604.7</v>
      </c>
      <c r="E238">
        <v>4.8</v>
      </c>
      <c r="F238">
        <v>12727.9</v>
      </c>
      <c r="G238">
        <v>35.700000000000003</v>
      </c>
      <c r="H238">
        <v>326163.20000000001</v>
      </c>
      <c r="I238">
        <v>68866.7</v>
      </c>
      <c r="J238">
        <v>0</v>
      </c>
      <c r="K238">
        <v>14.7</v>
      </c>
      <c r="L238">
        <v>3.9</v>
      </c>
      <c r="M238">
        <v>18.5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76866</v>
      </c>
      <c r="V238" t="s">
        <v>127</v>
      </c>
      <c r="W238" t="s">
        <v>44</v>
      </c>
      <c r="Y238" t="s">
        <v>128</v>
      </c>
      <c r="Z238">
        <v>68799.459459459496</v>
      </c>
      <c r="AA238">
        <v>2018</v>
      </c>
      <c r="AB238">
        <v>0.26552566322626198</v>
      </c>
      <c r="AC238">
        <v>0.185</v>
      </c>
      <c r="AD238">
        <v>4.7407814329150897</v>
      </c>
    </row>
    <row r="239" spans="1:30" x14ac:dyDescent="0.3">
      <c r="A239">
        <v>2019</v>
      </c>
      <c r="B239">
        <v>64</v>
      </c>
      <c r="C239" t="s">
        <v>199</v>
      </c>
      <c r="D239">
        <v>107146.9</v>
      </c>
      <c r="E239">
        <v>0.6</v>
      </c>
      <c r="F239">
        <v>7707.5</v>
      </c>
      <c r="G239">
        <v>-6.1</v>
      </c>
      <c r="H239">
        <v>201456.1</v>
      </c>
      <c r="I239">
        <v>83716.600000000006</v>
      </c>
      <c r="J239">
        <v>0</v>
      </c>
      <c r="K239">
        <v>7.2</v>
      </c>
      <c r="L239">
        <v>3.8</v>
      </c>
      <c r="M239">
        <v>9.1999999999999993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303351</v>
      </c>
      <c r="V239" t="s">
        <v>193</v>
      </c>
      <c r="W239" t="s">
        <v>44</v>
      </c>
      <c r="Y239" t="s">
        <v>200</v>
      </c>
      <c r="Z239">
        <v>83777.173913043502</v>
      </c>
      <c r="AA239">
        <v>2018</v>
      </c>
      <c r="AB239">
        <v>0.53186227669452502</v>
      </c>
      <c r="AC239">
        <v>9.1999999999999998E-2</v>
      </c>
      <c r="AD239">
        <v>2.4046657411612098</v>
      </c>
    </row>
    <row r="240" spans="1:30" x14ac:dyDescent="0.3">
      <c r="A240">
        <v>2018</v>
      </c>
      <c r="B240">
        <v>371</v>
      </c>
      <c r="C240" t="s">
        <v>132</v>
      </c>
      <c r="D240">
        <v>33312.800000000003</v>
      </c>
      <c r="E240">
        <v>-6.5</v>
      </c>
      <c r="F240">
        <v>9138.7999999999993</v>
      </c>
      <c r="G240">
        <v>25.9</v>
      </c>
      <c r="H240">
        <v>38830.300000000003</v>
      </c>
      <c r="I240">
        <v>13162.2</v>
      </c>
      <c r="J240">
        <v>0</v>
      </c>
      <c r="K240">
        <v>27.4</v>
      </c>
      <c r="L240">
        <v>23.5</v>
      </c>
      <c r="M240">
        <v>69.400000000000006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128697</v>
      </c>
      <c r="V240" t="s">
        <v>133</v>
      </c>
      <c r="W240" t="s">
        <v>90</v>
      </c>
      <c r="Y240" t="s">
        <v>134</v>
      </c>
      <c r="Z240">
        <v>13168.2997118156</v>
      </c>
      <c r="AA240">
        <v>2017</v>
      </c>
      <c r="AB240">
        <v>0.85790735585354705</v>
      </c>
      <c r="AC240">
        <v>0.69399999999999995</v>
      </c>
      <c r="AD240">
        <v>2.9487709764958199</v>
      </c>
    </row>
    <row r="241" spans="1:30" x14ac:dyDescent="0.3">
      <c r="A241">
        <v>2018</v>
      </c>
      <c r="B241">
        <v>345</v>
      </c>
      <c r="C241" t="s">
        <v>195</v>
      </c>
      <c r="D241">
        <v>35796.9</v>
      </c>
      <c r="E241">
        <v>-1.6</v>
      </c>
      <c r="F241">
        <v>2289.5</v>
      </c>
      <c r="G241">
        <v>6.1</v>
      </c>
      <c r="H241">
        <v>44662.400000000001</v>
      </c>
      <c r="I241">
        <v>25775.8</v>
      </c>
      <c r="J241">
        <v>0</v>
      </c>
      <c r="K241">
        <v>6.4</v>
      </c>
      <c r="L241">
        <v>5.0999999999999996</v>
      </c>
      <c r="M241">
        <v>8.9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195056</v>
      </c>
      <c r="V241" t="s">
        <v>196</v>
      </c>
      <c r="W241" t="s">
        <v>30</v>
      </c>
      <c r="Y241" t="s">
        <v>198</v>
      </c>
      <c r="Z241">
        <v>25724.719101123599</v>
      </c>
      <c r="AA241">
        <v>2017</v>
      </c>
      <c r="AB241">
        <v>0.80149969549330102</v>
      </c>
      <c r="AC241">
        <v>8.8999999999999996E-2</v>
      </c>
      <c r="AD241">
        <v>1.73616667394628</v>
      </c>
    </row>
    <row r="242" spans="1:30" x14ac:dyDescent="0.3">
      <c r="A242">
        <v>2018</v>
      </c>
      <c r="B242">
        <v>300</v>
      </c>
      <c r="C242" t="s">
        <v>182</v>
      </c>
      <c r="D242">
        <v>40766.1</v>
      </c>
      <c r="E242">
        <v>1.9</v>
      </c>
      <c r="F242">
        <v>2044.2</v>
      </c>
      <c r="G242">
        <v>-16.7</v>
      </c>
      <c r="H242">
        <v>39362.199999999997</v>
      </c>
      <c r="I242">
        <v>21685.599999999999</v>
      </c>
      <c r="J242">
        <v>0</v>
      </c>
      <c r="K242">
        <v>5</v>
      </c>
      <c r="L242">
        <v>5.2</v>
      </c>
      <c r="M242">
        <v>9.4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145817</v>
      </c>
      <c r="V242" t="s">
        <v>183</v>
      </c>
      <c r="W242" t="s">
        <v>90</v>
      </c>
      <c r="Y242" t="s">
        <v>184</v>
      </c>
      <c r="Z242">
        <v>21746.808510638301</v>
      </c>
      <c r="AA242">
        <v>2017</v>
      </c>
      <c r="AB242">
        <v>1.0356661975194501</v>
      </c>
      <c r="AC242">
        <v>9.4E-2</v>
      </c>
      <c r="AD242">
        <v>1.81002191566383</v>
      </c>
    </row>
    <row r="243" spans="1:30" x14ac:dyDescent="0.3">
      <c r="A243">
        <v>2018</v>
      </c>
      <c r="B243">
        <v>245</v>
      </c>
      <c r="C243" t="s">
        <v>185</v>
      </c>
      <c r="D243">
        <v>45820.800000000003</v>
      </c>
      <c r="E243">
        <v>0.7</v>
      </c>
      <c r="F243">
        <v>5570.9</v>
      </c>
      <c r="G243">
        <v>7.8</v>
      </c>
      <c r="H243">
        <v>66236.7</v>
      </c>
      <c r="I243">
        <v>37801.5</v>
      </c>
      <c r="J243">
        <v>0</v>
      </c>
      <c r="K243">
        <v>12.2</v>
      </c>
      <c r="L243">
        <v>8.4</v>
      </c>
      <c r="M243">
        <v>14.7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41996</v>
      </c>
      <c r="V243" t="s">
        <v>186</v>
      </c>
      <c r="W243" t="s">
        <v>44</v>
      </c>
      <c r="Y243" t="s">
        <v>187</v>
      </c>
      <c r="Z243">
        <v>37897.278911564601</v>
      </c>
      <c r="AA243">
        <v>2017</v>
      </c>
      <c r="AB243">
        <v>0.69177359379316905</v>
      </c>
      <c r="AC243">
        <v>0.14699999999999999</v>
      </c>
      <c r="AD243">
        <v>1.7477956703584701</v>
      </c>
    </row>
    <row r="244" spans="1:30" x14ac:dyDescent="0.3">
      <c r="A244">
        <v>2018</v>
      </c>
      <c r="B244">
        <v>116</v>
      </c>
      <c r="C244" t="s">
        <v>150</v>
      </c>
      <c r="D244">
        <v>78157.7</v>
      </c>
      <c r="E244">
        <v>1.4</v>
      </c>
      <c r="F244">
        <v>8264</v>
      </c>
      <c r="G244">
        <v>86.6</v>
      </c>
      <c r="H244">
        <v>189586.9</v>
      </c>
      <c r="I244">
        <v>33851.800000000003</v>
      </c>
      <c r="J244">
        <v>0</v>
      </c>
      <c r="K244">
        <v>10.6</v>
      </c>
      <c r="L244">
        <v>4.4000000000000004</v>
      </c>
      <c r="M244">
        <v>24.4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114400</v>
      </c>
      <c r="V244" t="s">
        <v>151</v>
      </c>
      <c r="W244" t="s">
        <v>90</v>
      </c>
      <c r="Y244" t="s">
        <v>152</v>
      </c>
      <c r="Z244">
        <v>33868.852459016402</v>
      </c>
      <c r="AA244">
        <v>2017</v>
      </c>
      <c r="AB244">
        <v>0.41225263981846799</v>
      </c>
      <c r="AC244">
        <v>0.24399999999999999</v>
      </c>
      <c r="AD244">
        <v>5.59767710551791</v>
      </c>
    </row>
    <row r="245" spans="1:30" x14ac:dyDescent="0.3">
      <c r="A245">
        <v>2018</v>
      </c>
      <c r="B245">
        <v>102</v>
      </c>
      <c r="C245" t="s">
        <v>188</v>
      </c>
      <c r="D245">
        <v>85507.8</v>
      </c>
      <c r="E245">
        <v>1.1000000000000001</v>
      </c>
      <c r="F245">
        <v>2007.2</v>
      </c>
      <c r="G245">
        <v>-38.700000000000003</v>
      </c>
      <c r="H245">
        <v>86984.7</v>
      </c>
      <c r="I245">
        <v>29480.5</v>
      </c>
      <c r="J245">
        <v>0</v>
      </c>
      <c r="K245">
        <v>2.2999999999999998</v>
      </c>
      <c r="L245">
        <v>2.2999999999999998</v>
      </c>
      <c r="M245">
        <v>6.8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295941</v>
      </c>
      <c r="V245" t="s">
        <v>189</v>
      </c>
      <c r="W245" t="s">
        <v>90</v>
      </c>
      <c r="Y245" t="s">
        <v>190</v>
      </c>
      <c r="Z245">
        <v>29517.647058823499</v>
      </c>
      <c r="AA245">
        <v>2017</v>
      </c>
      <c r="AB245">
        <v>0.98302115199569595</v>
      </c>
      <c r="AC245">
        <v>6.8000000000000005E-2</v>
      </c>
      <c r="AD245">
        <v>2.9468710641689899</v>
      </c>
    </row>
    <row r="246" spans="1:30" x14ac:dyDescent="0.3">
      <c r="A246">
        <v>2018</v>
      </c>
      <c r="B246">
        <v>98</v>
      </c>
      <c r="C246" t="s">
        <v>126</v>
      </c>
      <c r="D246">
        <v>86604.7</v>
      </c>
      <c r="E246">
        <v>4.8</v>
      </c>
      <c r="F246">
        <v>12727.9</v>
      </c>
      <c r="G246">
        <v>35.700000000000003</v>
      </c>
      <c r="H246">
        <v>326163.20000000001</v>
      </c>
      <c r="I246">
        <v>68866.7</v>
      </c>
      <c r="J246">
        <v>0</v>
      </c>
      <c r="K246">
        <v>14.7</v>
      </c>
      <c r="L246">
        <v>3.9</v>
      </c>
      <c r="M246">
        <v>18.5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76866</v>
      </c>
      <c r="V246" t="s">
        <v>127</v>
      </c>
      <c r="W246" t="s">
        <v>44</v>
      </c>
      <c r="Y246" t="s">
        <v>128</v>
      </c>
      <c r="Z246">
        <v>68799.459459459496</v>
      </c>
      <c r="AA246">
        <v>2017</v>
      </c>
      <c r="AB246">
        <v>0.26552566322626198</v>
      </c>
      <c r="AC246">
        <v>0.185</v>
      </c>
      <c r="AD246">
        <v>4.7407814329150897</v>
      </c>
    </row>
    <row r="247" spans="1:30" x14ac:dyDescent="0.3">
      <c r="A247">
        <v>2018</v>
      </c>
      <c r="B247">
        <v>64</v>
      </c>
      <c r="C247" t="s">
        <v>199</v>
      </c>
      <c r="D247">
        <v>107146.9</v>
      </c>
      <c r="E247">
        <v>0.6</v>
      </c>
      <c r="F247">
        <v>7707.5</v>
      </c>
      <c r="G247">
        <v>-6.1</v>
      </c>
      <c r="H247">
        <v>201456.1</v>
      </c>
      <c r="I247">
        <v>83716.600000000006</v>
      </c>
      <c r="J247">
        <v>0</v>
      </c>
      <c r="K247">
        <v>7.2</v>
      </c>
      <c r="L247">
        <v>3.8</v>
      </c>
      <c r="M247">
        <v>9.1999999999999993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303351</v>
      </c>
      <c r="V247" t="s">
        <v>193</v>
      </c>
      <c r="W247" t="s">
        <v>44</v>
      </c>
      <c r="Y247" t="s">
        <v>200</v>
      </c>
      <c r="Z247">
        <v>83777.173913043502</v>
      </c>
      <c r="AA247">
        <v>2017</v>
      </c>
      <c r="AB247">
        <v>0.53186227669452502</v>
      </c>
      <c r="AC247">
        <v>9.1999999999999998E-2</v>
      </c>
      <c r="AD247">
        <v>2.4046657411612098</v>
      </c>
    </row>
    <row r="248" spans="1:30" x14ac:dyDescent="0.3">
      <c r="A248">
        <v>2017</v>
      </c>
      <c r="B248">
        <v>347</v>
      </c>
      <c r="C248" t="s">
        <v>195</v>
      </c>
      <c r="D248">
        <v>31271</v>
      </c>
      <c r="E248">
        <v>-0.4</v>
      </c>
      <c r="F248">
        <v>1385</v>
      </c>
      <c r="G248">
        <v>-23.9</v>
      </c>
      <c r="H248">
        <v>44062.2</v>
      </c>
      <c r="I248">
        <v>23864.9</v>
      </c>
      <c r="J248">
        <v>0</v>
      </c>
      <c r="K248">
        <v>4.4000000000000004</v>
      </c>
      <c r="L248">
        <v>3.1</v>
      </c>
      <c r="M248">
        <v>5.8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197673</v>
      </c>
      <c r="V248" t="s">
        <v>196</v>
      </c>
      <c r="W248" t="s">
        <v>30</v>
      </c>
      <c r="Y248" t="s">
        <v>198</v>
      </c>
      <c r="Z248">
        <v>23879.310344827602</v>
      </c>
      <c r="AA248">
        <v>2016</v>
      </c>
      <c r="AB248">
        <v>0.70970128590946402</v>
      </c>
      <c r="AC248">
        <v>5.8000000000000003E-2</v>
      </c>
      <c r="AD248">
        <v>1.8452040433212999</v>
      </c>
    </row>
    <row r="249" spans="1:30" x14ac:dyDescent="0.3">
      <c r="A249">
        <v>2017</v>
      </c>
      <c r="B249">
        <v>262</v>
      </c>
      <c r="C249" t="s">
        <v>182</v>
      </c>
      <c r="D249">
        <v>39118.6</v>
      </c>
      <c r="E249">
        <v>6.9</v>
      </c>
      <c r="F249">
        <v>1942.6</v>
      </c>
      <c r="G249">
        <v>2.1</v>
      </c>
      <c r="H249">
        <v>37519.300000000003</v>
      </c>
      <c r="I249">
        <v>18307.400000000001</v>
      </c>
      <c r="J249">
        <v>0</v>
      </c>
      <c r="K249">
        <v>5</v>
      </c>
      <c r="L249">
        <v>5.2</v>
      </c>
      <c r="M249">
        <v>10.6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138700</v>
      </c>
      <c r="V249" t="s">
        <v>183</v>
      </c>
      <c r="W249" t="s">
        <v>90</v>
      </c>
      <c r="Y249" t="s">
        <v>184</v>
      </c>
      <c r="Z249">
        <v>18326.415094339602</v>
      </c>
      <c r="AA249">
        <v>2016</v>
      </c>
      <c r="AB249">
        <v>1.0426260617868699</v>
      </c>
      <c r="AC249">
        <v>0.106</v>
      </c>
      <c r="AD249">
        <v>2.0472798311541198</v>
      </c>
    </row>
    <row r="250" spans="1:30" x14ac:dyDescent="0.3">
      <c r="A250">
        <v>2017</v>
      </c>
      <c r="B250">
        <v>219</v>
      </c>
      <c r="C250" t="s">
        <v>185</v>
      </c>
      <c r="D250">
        <v>43821.599999999999</v>
      </c>
      <c r="E250">
        <v>17.8</v>
      </c>
      <c r="F250">
        <v>5045.1000000000004</v>
      </c>
      <c r="G250">
        <v>22.5</v>
      </c>
      <c r="H250">
        <v>56223.199999999997</v>
      </c>
      <c r="I250">
        <v>31904</v>
      </c>
      <c r="J250">
        <v>0</v>
      </c>
      <c r="K250">
        <v>11.5</v>
      </c>
      <c r="L250">
        <v>9</v>
      </c>
      <c r="M250">
        <v>15.8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35032</v>
      </c>
      <c r="V250" t="s">
        <v>186</v>
      </c>
      <c r="W250" t="s">
        <v>44</v>
      </c>
      <c r="Y250" t="s">
        <v>187</v>
      </c>
      <c r="Z250">
        <v>31931.012658227799</v>
      </c>
      <c r="AA250">
        <v>2016</v>
      </c>
      <c r="AB250">
        <v>0.77942201795699995</v>
      </c>
      <c r="AC250">
        <v>0.158</v>
      </c>
      <c r="AD250">
        <v>1.76077096588769</v>
      </c>
    </row>
    <row r="251" spans="1:30" x14ac:dyDescent="0.3">
      <c r="A251">
        <v>2017</v>
      </c>
      <c r="B251">
        <v>105</v>
      </c>
      <c r="C251" t="s">
        <v>150</v>
      </c>
      <c r="D251">
        <v>70170.3</v>
      </c>
      <c r="E251">
        <v>3.9</v>
      </c>
      <c r="F251">
        <v>676.4</v>
      </c>
      <c r="G251">
        <v>-45.1</v>
      </c>
      <c r="H251">
        <v>158518.6</v>
      </c>
      <c r="I251">
        <v>22414.9</v>
      </c>
      <c r="J251">
        <v>0</v>
      </c>
      <c r="K251">
        <v>1</v>
      </c>
      <c r="L251">
        <v>0.4</v>
      </c>
      <c r="M251">
        <v>3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128400</v>
      </c>
      <c r="V251" t="s">
        <v>151</v>
      </c>
      <c r="W251" t="s">
        <v>90</v>
      </c>
      <c r="Y251" t="s">
        <v>152</v>
      </c>
      <c r="Z251">
        <v>22546.666666666701</v>
      </c>
      <c r="AA251">
        <v>2016</v>
      </c>
      <c r="AB251">
        <v>0.44266287993964099</v>
      </c>
      <c r="AC251">
        <v>0.03</v>
      </c>
      <c r="AD251">
        <v>7.03068894145476</v>
      </c>
    </row>
    <row r="252" spans="1:30" x14ac:dyDescent="0.3">
      <c r="A252">
        <v>2017</v>
      </c>
      <c r="B252">
        <v>72</v>
      </c>
      <c r="C252" t="s">
        <v>126</v>
      </c>
      <c r="D252">
        <v>82892.3</v>
      </c>
      <c r="E252">
        <v>8.4</v>
      </c>
      <c r="F252">
        <v>13163.4</v>
      </c>
      <c r="G252">
        <v>233.3</v>
      </c>
      <c r="H252">
        <v>221113.1</v>
      </c>
      <c r="I252">
        <v>32190.6</v>
      </c>
      <c r="J252">
        <v>0</v>
      </c>
      <c r="K252">
        <v>15.9</v>
      </c>
      <c r="L252">
        <v>6</v>
      </c>
      <c r="M252">
        <v>40.9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68402</v>
      </c>
      <c r="V252" t="s">
        <v>127</v>
      </c>
      <c r="W252" t="s">
        <v>44</v>
      </c>
      <c r="Y252" t="s">
        <v>201</v>
      </c>
      <c r="Z252">
        <v>32184.352078239601</v>
      </c>
      <c r="AA252">
        <v>2016</v>
      </c>
      <c r="AB252">
        <v>0.374886426900984</v>
      </c>
      <c r="AC252">
        <v>0.40899999999999997</v>
      </c>
      <c r="AD252">
        <v>6.87020510658341</v>
      </c>
    </row>
    <row r="253" spans="1:30" x14ac:dyDescent="0.3">
      <c r="A253">
        <v>2017</v>
      </c>
      <c r="B253">
        <v>71</v>
      </c>
      <c r="C253" t="s">
        <v>188</v>
      </c>
      <c r="D253">
        <v>84558.399999999994</v>
      </c>
      <c r="E253">
        <v>1.2</v>
      </c>
      <c r="F253">
        <v>2134.3000000000002</v>
      </c>
      <c r="G253">
        <v>48.8</v>
      </c>
      <c r="H253">
        <v>86741.9</v>
      </c>
      <c r="I253">
        <v>26632.1</v>
      </c>
      <c r="J253">
        <v>0</v>
      </c>
      <c r="K253">
        <v>2.5</v>
      </c>
      <c r="L253">
        <v>2.5</v>
      </c>
      <c r="M253">
        <v>8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303887</v>
      </c>
      <c r="V253" t="s">
        <v>189</v>
      </c>
      <c r="W253" t="s">
        <v>90</v>
      </c>
      <c r="Y253" t="s">
        <v>190</v>
      </c>
      <c r="Z253">
        <v>26678.75</v>
      </c>
      <c r="AA253">
        <v>2016</v>
      </c>
      <c r="AB253">
        <v>0.97482762079225804</v>
      </c>
      <c r="AC253">
        <v>0.08</v>
      </c>
      <c r="AD253">
        <v>3.2513479829452301</v>
      </c>
    </row>
    <row r="254" spans="1:30" x14ac:dyDescent="0.3">
      <c r="A254">
        <v>2017</v>
      </c>
      <c r="B254">
        <v>50</v>
      </c>
      <c r="C254" t="s">
        <v>199</v>
      </c>
      <c r="D254">
        <v>105127.5</v>
      </c>
      <c r="E254">
        <v>9.4</v>
      </c>
      <c r="F254">
        <v>7384.4</v>
      </c>
      <c r="G254">
        <v>20.2</v>
      </c>
      <c r="H254">
        <v>190739.8</v>
      </c>
      <c r="I254">
        <v>81253.7</v>
      </c>
      <c r="J254">
        <v>0</v>
      </c>
      <c r="K254">
        <v>7</v>
      </c>
      <c r="L254">
        <v>3.9</v>
      </c>
      <c r="M254">
        <v>9.1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274844</v>
      </c>
      <c r="V254" t="s">
        <v>193</v>
      </c>
      <c r="W254" t="s">
        <v>44</v>
      </c>
      <c r="Y254" t="s">
        <v>200</v>
      </c>
      <c r="Z254">
        <v>81147.2527472527</v>
      </c>
      <c r="AA254">
        <v>2016</v>
      </c>
      <c r="AB254">
        <v>0.55115660182090997</v>
      </c>
      <c r="AC254">
        <v>9.0999999999999998E-2</v>
      </c>
      <c r="AD254">
        <v>2.3505392178105202</v>
      </c>
    </row>
    <row r="255" spans="1:30" x14ac:dyDescent="0.3">
      <c r="A255">
        <v>2016</v>
      </c>
      <c r="B255">
        <v>332</v>
      </c>
      <c r="C255" t="s">
        <v>195</v>
      </c>
      <c r="D255">
        <v>31400.9</v>
      </c>
      <c r="E255">
        <v>-10.8</v>
      </c>
      <c r="F255">
        <v>1819.5</v>
      </c>
      <c r="G255">
        <v>-24.4</v>
      </c>
      <c r="H255">
        <v>36812.199999999997</v>
      </c>
      <c r="I255">
        <v>24662.6</v>
      </c>
      <c r="J255">
        <v>0</v>
      </c>
      <c r="K255">
        <v>5.8</v>
      </c>
      <c r="L255">
        <v>4.9000000000000004</v>
      </c>
      <c r="M255">
        <v>7.4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189571</v>
      </c>
      <c r="V255" t="s">
        <v>196</v>
      </c>
      <c r="W255" t="s">
        <v>30</v>
      </c>
      <c r="Y255" t="s">
        <v>198</v>
      </c>
      <c r="Z255">
        <v>24587.8378378378</v>
      </c>
      <c r="AA255">
        <v>2015</v>
      </c>
      <c r="AB255">
        <v>0.85300253720234098</v>
      </c>
      <c r="AC255">
        <v>7.3999999999999996E-2</v>
      </c>
      <c r="AD255">
        <v>1.4971710909590501</v>
      </c>
    </row>
    <row r="256" spans="1:30" x14ac:dyDescent="0.3">
      <c r="A256">
        <v>2016</v>
      </c>
      <c r="B256">
        <v>276</v>
      </c>
      <c r="C256" t="s">
        <v>182</v>
      </c>
      <c r="D256">
        <v>36604</v>
      </c>
      <c r="E256">
        <v>-6.9</v>
      </c>
      <c r="F256">
        <v>1903.3</v>
      </c>
      <c r="G256">
        <v>-10.8</v>
      </c>
      <c r="H256">
        <v>36126.9</v>
      </c>
      <c r="I256">
        <v>16362.1</v>
      </c>
      <c r="J256">
        <v>0</v>
      </c>
      <c r="K256">
        <v>5.2</v>
      </c>
      <c r="L256">
        <v>5.3</v>
      </c>
      <c r="M256">
        <v>11.6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135160</v>
      </c>
      <c r="V256" t="s">
        <v>183</v>
      </c>
      <c r="W256" t="s">
        <v>90</v>
      </c>
      <c r="Y256" t="s">
        <v>184</v>
      </c>
      <c r="Z256">
        <v>16407.758620689699</v>
      </c>
      <c r="AA256">
        <v>2015</v>
      </c>
      <c r="AB256">
        <v>1.01320622583172</v>
      </c>
      <c r="AC256">
        <v>0.11600000000000001</v>
      </c>
      <c r="AD256">
        <v>2.2018181053958901</v>
      </c>
    </row>
    <row r="257" spans="1:30" x14ac:dyDescent="0.3">
      <c r="A257">
        <v>2016</v>
      </c>
      <c r="B257">
        <v>271</v>
      </c>
      <c r="C257" t="s">
        <v>185</v>
      </c>
      <c r="D257">
        <v>37201.9</v>
      </c>
      <c r="E257">
        <v>-4.2</v>
      </c>
      <c r="F257">
        <v>4118.8</v>
      </c>
      <c r="G257">
        <v>14.4</v>
      </c>
      <c r="H257">
        <v>51675.1</v>
      </c>
      <c r="I257">
        <v>29437.9</v>
      </c>
      <c r="J257">
        <v>0</v>
      </c>
      <c r="K257">
        <v>11.1</v>
      </c>
      <c r="L257">
        <v>8</v>
      </c>
      <c r="M257">
        <v>14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31834</v>
      </c>
      <c r="V257" t="s">
        <v>186</v>
      </c>
      <c r="W257" t="s">
        <v>44</v>
      </c>
      <c r="Y257" t="s">
        <v>187</v>
      </c>
      <c r="Z257">
        <v>29420</v>
      </c>
      <c r="AA257">
        <v>2015</v>
      </c>
      <c r="AB257">
        <v>0.71991926479097301</v>
      </c>
      <c r="AC257">
        <v>0.14000000000000001</v>
      </c>
      <c r="AD257">
        <v>1.75646159075459</v>
      </c>
    </row>
    <row r="258" spans="1:30" x14ac:dyDescent="0.3">
      <c r="A258">
        <v>2016</v>
      </c>
      <c r="B258">
        <v>92</v>
      </c>
      <c r="C258" t="s">
        <v>126</v>
      </c>
      <c r="D258">
        <v>76468.600000000006</v>
      </c>
      <c r="E258">
        <v>-3</v>
      </c>
      <c r="F258">
        <v>3949.7</v>
      </c>
      <c r="G258">
        <v>-35</v>
      </c>
      <c r="H258">
        <v>184260.5</v>
      </c>
      <c r="I258">
        <v>23256.9</v>
      </c>
      <c r="J258">
        <v>0</v>
      </c>
      <c r="K258">
        <v>5.2</v>
      </c>
      <c r="L258">
        <v>2.1</v>
      </c>
      <c r="M258">
        <v>17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63591</v>
      </c>
      <c r="V258" t="s">
        <v>127</v>
      </c>
      <c r="W258" t="s">
        <v>44</v>
      </c>
      <c r="Y258" t="s">
        <v>201</v>
      </c>
      <c r="Z258">
        <v>23233.529411764699</v>
      </c>
      <c r="AA258">
        <v>2015</v>
      </c>
      <c r="AB258">
        <v>0.41500267284632397</v>
      </c>
      <c r="AC258">
        <v>0.17</v>
      </c>
      <c r="AD258">
        <v>7.93080107349925</v>
      </c>
    </row>
    <row r="259" spans="1:30" x14ac:dyDescent="0.3">
      <c r="A259">
        <v>2016</v>
      </c>
      <c r="B259">
        <v>79</v>
      </c>
      <c r="C259" t="s">
        <v>188</v>
      </c>
      <c r="D259">
        <v>83583.5</v>
      </c>
      <c r="E259">
        <v>-6</v>
      </c>
      <c r="F259">
        <v>1434</v>
      </c>
      <c r="G259">
        <v>-27.5</v>
      </c>
      <c r="H259">
        <v>111683.6</v>
      </c>
      <c r="I259">
        <v>24337.8</v>
      </c>
      <c r="J259">
        <v>0</v>
      </c>
      <c r="K259">
        <v>1.7</v>
      </c>
      <c r="L259">
        <v>1.3</v>
      </c>
      <c r="M259">
        <v>5.9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335244</v>
      </c>
      <c r="V259" t="s">
        <v>189</v>
      </c>
      <c r="W259" t="s">
        <v>90</v>
      </c>
      <c r="Y259" t="s">
        <v>190</v>
      </c>
      <c r="Z259">
        <v>24305.084745762699</v>
      </c>
      <c r="AA259">
        <v>2015</v>
      </c>
      <c r="AB259">
        <v>0.74839546719482497</v>
      </c>
      <c r="AC259">
        <v>5.8999999999999997E-2</v>
      </c>
      <c r="AD259">
        <v>4.59507140864714</v>
      </c>
    </row>
    <row r="260" spans="1:30" x14ac:dyDescent="0.3">
      <c r="A260">
        <v>2016</v>
      </c>
      <c r="B260">
        <v>60</v>
      </c>
      <c r="C260" t="s">
        <v>199</v>
      </c>
      <c r="D260">
        <v>96133.9</v>
      </c>
      <c r="E260">
        <v>-4.7</v>
      </c>
      <c r="F260">
        <v>6145.2</v>
      </c>
      <c r="G260">
        <v>30.4</v>
      </c>
      <c r="H260">
        <v>187185.7</v>
      </c>
      <c r="I260">
        <v>78606.600000000006</v>
      </c>
      <c r="J260">
        <v>0</v>
      </c>
      <c r="K260">
        <v>6.4</v>
      </c>
      <c r="L260">
        <v>3.3</v>
      </c>
      <c r="M260">
        <v>7.8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241450</v>
      </c>
      <c r="V260" t="s">
        <v>202</v>
      </c>
      <c r="W260" t="s">
        <v>44</v>
      </c>
      <c r="Y260" t="s">
        <v>200</v>
      </c>
      <c r="Z260">
        <v>78784.615384615405</v>
      </c>
      <c r="AA260">
        <v>2015</v>
      </c>
      <c r="AB260">
        <v>0.51357502202358396</v>
      </c>
      <c r="AC260">
        <v>7.8E-2</v>
      </c>
      <c r="AD260">
        <v>2.3759169107596199</v>
      </c>
    </row>
    <row r="261" spans="1:30" x14ac:dyDescent="0.3">
      <c r="A261">
        <v>2014</v>
      </c>
      <c r="B261">
        <v>292</v>
      </c>
      <c r="C261" t="s">
        <v>195</v>
      </c>
      <c r="D261">
        <v>38247.199999999997</v>
      </c>
      <c r="E261">
        <v>-12.3</v>
      </c>
      <c r="F261">
        <v>2362.5</v>
      </c>
      <c r="G261">
        <v>-16</v>
      </c>
      <c r="H261">
        <v>40372.199999999997</v>
      </c>
      <c r="I261">
        <v>27693.001899999999</v>
      </c>
      <c r="J261">
        <v>0</v>
      </c>
      <c r="K261">
        <v>6.2019000000000002</v>
      </c>
      <c r="L261">
        <v>5.9019000000000004</v>
      </c>
      <c r="M261">
        <v>8.5018999999999991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194151</v>
      </c>
      <c r="V261" t="s">
        <v>203</v>
      </c>
      <c r="W261" t="s">
        <v>30</v>
      </c>
      <c r="Y261" t="s">
        <v>198</v>
      </c>
      <c r="Z261">
        <v>27787.906232724501</v>
      </c>
      <c r="AA261">
        <v>2013</v>
      </c>
      <c r="AB261">
        <v>0.94736477080763504</v>
      </c>
      <c r="AC261">
        <v>8.5000000000000006E-2</v>
      </c>
      <c r="AD261">
        <v>1.4528694483809499</v>
      </c>
    </row>
    <row r="262" spans="1:30" x14ac:dyDescent="0.3">
      <c r="A262">
        <v>2014</v>
      </c>
      <c r="B262">
        <v>273</v>
      </c>
      <c r="C262" t="s">
        <v>182</v>
      </c>
      <c r="D262">
        <v>40470.300000000003</v>
      </c>
      <c r="E262">
        <v>-5.8</v>
      </c>
      <c r="F262">
        <v>1532</v>
      </c>
      <c r="G262">
        <v>83</v>
      </c>
      <c r="H262">
        <v>35087.599999999999</v>
      </c>
      <c r="I262">
        <v>14803.6019</v>
      </c>
      <c r="J262">
        <v>0</v>
      </c>
      <c r="K262">
        <v>3.8018999999999998</v>
      </c>
      <c r="L262">
        <v>4.4019000000000004</v>
      </c>
      <c r="M262">
        <v>10.3019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124305</v>
      </c>
      <c r="V262" t="s">
        <v>204</v>
      </c>
      <c r="W262" t="s">
        <v>90</v>
      </c>
      <c r="Y262" t="s">
        <v>184</v>
      </c>
      <c r="Z262">
        <v>14871.0432056223</v>
      </c>
      <c r="AA262">
        <v>2013</v>
      </c>
      <c r="AB262">
        <v>1.1534074715853999</v>
      </c>
      <c r="AC262">
        <v>0.10299999999999999</v>
      </c>
      <c r="AD262">
        <v>2.3594578749347299</v>
      </c>
    </row>
    <row r="263" spans="1:30" x14ac:dyDescent="0.3">
      <c r="A263">
        <v>2014</v>
      </c>
      <c r="B263">
        <v>249</v>
      </c>
      <c r="C263" t="s">
        <v>185</v>
      </c>
      <c r="D263">
        <v>43258</v>
      </c>
      <c r="E263">
        <v>-1.9</v>
      </c>
      <c r="F263">
        <v>3214.6</v>
      </c>
      <c r="G263">
        <v>10.5</v>
      </c>
      <c r="H263">
        <v>48031</v>
      </c>
      <c r="I263">
        <v>25810.501899999999</v>
      </c>
      <c r="J263">
        <v>0</v>
      </c>
      <c r="K263">
        <v>7.4019000000000004</v>
      </c>
      <c r="L263">
        <v>6.7019000000000002</v>
      </c>
      <c r="M263">
        <v>12.501899999999999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27073</v>
      </c>
      <c r="V263" t="s">
        <v>205</v>
      </c>
      <c r="W263" t="s">
        <v>44</v>
      </c>
      <c r="Y263" t="s">
        <v>187</v>
      </c>
      <c r="Z263">
        <v>25712.891640470702</v>
      </c>
      <c r="AA263">
        <v>2013</v>
      </c>
      <c r="AB263">
        <v>0.90062667860340195</v>
      </c>
      <c r="AC263">
        <v>0.125</v>
      </c>
      <c r="AD263">
        <v>1.8679734925029601</v>
      </c>
    </row>
    <row r="264" spans="1:30" x14ac:dyDescent="0.3">
      <c r="A264">
        <v>2014</v>
      </c>
      <c r="B264">
        <v>145</v>
      </c>
      <c r="C264" t="s">
        <v>132</v>
      </c>
      <c r="D264">
        <v>64907.9</v>
      </c>
      <c r="E264">
        <v>-7.1</v>
      </c>
      <c r="F264">
        <v>507.3</v>
      </c>
      <c r="G264">
        <v>-45.7</v>
      </c>
      <c r="H264">
        <v>60615.9</v>
      </c>
      <c r="I264">
        <v>11936.2019</v>
      </c>
      <c r="J264">
        <v>0</v>
      </c>
      <c r="K264">
        <v>0.80189999999999995</v>
      </c>
      <c r="L264">
        <v>0.80189999999999995</v>
      </c>
      <c r="M264">
        <v>4.3018999999999998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200260</v>
      </c>
      <c r="V264" t="s">
        <v>175</v>
      </c>
      <c r="W264" t="s">
        <v>90</v>
      </c>
      <c r="Y264" t="s">
        <v>176</v>
      </c>
      <c r="Z264">
        <v>11792.4637950673</v>
      </c>
      <c r="AA264">
        <v>2013</v>
      </c>
      <c r="AB264">
        <v>1.0708065045639801</v>
      </c>
      <c r="AC264">
        <v>4.2999999999999997E-2</v>
      </c>
      <c r="AD264">
        <v>5.1402235405085701</v>
      </c>
    </row>
    <row r="265" spans="1:30" x14ac:dyDescent="0.3">
      <c r="A265">
        <v>2014</v>
      </c>
      <c r="B265">
        <v>135</v>
      </c>
      <c r="C265" t="s">
        <v>206</v>
      </c>
      <c r="D265">
        <v>66546</v>
      </c>
      <c r="E265">
        <v>63.6</v>
      </c>
      <c r="F265">
        <v>5850.9</v>
      </c>
      <c r="G265">
        <v>67.900000000000006</v>
      </c>
      <c r="H265">
        <v>162037.5</v>
      </c>
      <c r="I265">
        <v>18989.7019</v>
      </c>
      <c r="J265">
        <v>0</v>
      </c>
      <c r="K265">
        <v>8.8018999999999998</v>
      </c>
      <c r="L265">
        <v>3.6019000000000001</v>
      </c>
      <c r="M265">
        <v>30.8019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24598</v>
      </c>
      <c r="V265" t="s">
        <v>207</v>
      </c>
      <c r="W265" t="s">
        <v>44</v>
      </c>
      <c r="Y265" t="s">
        <v>208</v>
      </c>
      <c r="Z265">
        <v>18995.256786107399</v>
      </c>
      <c r="AA265">
        <v>2013</v>
      </c>
      <c r="AB265">
        <v>0.410682712335108</v>
      </c>
      <c r="AC265">
        <v>0.308</v>
      </c>
      <c r="AD265">
        <v>8.5304190316874298</v>
      </c>
    </row>
    <row r="266" spans="1:30" x14ac:dyDescent="0.3">
      <c r="A266">
        <v>2014</v>
      </c>
      <c r="B266">
        <v>105</v>
      </c>
      <c r="C266" t="s">
        <v>150</v>
      </c>
      <c r="D266">
        <v>77532.3</v>
      </c>
      <c r="E266">
        <v>-5.3</v>
      </c>
      <c r="F266">
        <v>-1281.4000000000001</v>
      </c>
      <c r="G266">
        <v>-347.3</v>
      </c>
      <c r="H266">
        <v>148914.5</v>
      </c>
      <c r="I266">
        <v>21930.001899999999</v>
      </c>
      <c r="J266">
        <v>0</v>
      </c>
      <c r="K266">
        <v>-1.7000999999999999</v>
      </c>
      <c r="L266">
        <v>-0.90010000000000001</v>
      </c>
      <c r="M266">
        <v>-5.8000999999999996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140900</v>
      </c>
      <c r="V266" t="s">
        <v>177</v>
      </c>
      <c r="W266" t="s">
        <v>90</v>
      </c>
      <c r="Y266" t="s">
        <v>152</v>
      </c>
      <c r="Z266">
        <v>22092.722539266601</v>
      </c>
      <c r="AA266">
        <v>2013</v>
      </c>
      <c r="AB266">
        <v>0.52064976882707903</v>
      </c>
      <c r="AC266">
        <v>-5.8000000000000003E-2</v>
      </c>
      <c r="AD266">
        <v>6.7404322729046298</v>
      </c>
    </row>
    <row r="267" spans="1:30" x14ac:dyDescent="0.3">
      <c r="A267">
        <v>2014</v>
      </c>
      <c r="B267">
        <v>78</v>
      </c>
      <c r="C267" t="s">
        <v>188</v>
      </c>
      <c r="D267">
        <v>95988.2</v>
      </c>
      <c r="E267">
        <v>-11.8</v>
      </c>
      <c r="F267">
        <v>2645</v>
      </c>
      <c r="G267">
        <v>25.3</v>
      </c>
      <c r="H267">
        <v>106991.4</v>
      </c>
      <c r="I267">
        <v>25747.7019</v>
      </c>
      <c r="J267">
        <v>0</v>
      </c>
      <c r="K267">
        <v>2.8018999999999998</v>
      </c>
      <c r="L267">
        <v>2.5019</v>
      </c>
      <c r="M267">
        <v>10.3019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320725</v>
      </c>
      <c r="V267" t="s">
        <v>209</v>
      </c>
      <c r="W267" t="s">
        <v>90</v>
      </c>
      <c r="Y267" t="s">
        <v>190</v>
      </c>
      <c r="Z267">
        <v>25674.875508401401</v>
      </c>
      <c r="AA267">
        <v>2013</v>
      </c>
      <c r="AB267">
        <v>0.89715808934176</v>
      </c>
      <c r="AC267">
        <v>0.10299999999999999</v>
      </c>
      <c r="AD267">
        <v>4.1671633408695596</v>
      </c>
    </row>
    <row r="268" spans="1:30" x14ac:dyDescent="0.3">
      <c r="A268">
        <v>2014</v>
      </c>
      <c r="B268">
        <v>53</v>
      </c>
      <c r="C268" t="s">
        <v>210</v>
      </c>
      <c r="D268">
        <v>109054.3</v>
      </c>
      <c r="E268">
        <v>-15.4</v>
      </c>
      <c r="F268">
        <v>5844.1</v>
      </c>
      <c r="G268">
        <v>-7.4</v>
      </c>
      <c r="H268">
        <v>196998.6</v>
      </c>
      <c r="I268">
        <v>82658.601899999994</v>
      </c>
      <c r="J268">
        <v>0</v>
      </c>
      <c r="K268">
        <v>5.4019000000000004</v>
      </c>
      <c r="L268">
        <v>3.0019</v>
      </c>
      <c r="M268">
        <v>7.1018999999999997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239750</v>
      </c>
      <c r="V268" t="s">
        <v>211</v>
      </c>
      <c r="W268" t="s">
        <v>44</v>
      </c>
      <c r="Y268" t="s">
        <v>200</v>
      </c>
      <c r="Z268">
        <v>82289.246539658401</v>
      </c>
      <c r="AA268">
        <v>2013</v>
      </c>
      <c r="AB268">
        <v>0.55357906096794596</v>
      </c>
      <c r="AC268">
        <v>7.0999999999999994E-2</v>
      </c>
      <c r="AD268">
        <v>2.3939774427884499</v>
      </c>
    </row>
    <row r="269" spans="1:30" x14ac:dyDescent="0.3">
      <c r="A269">
        <v>2013</v>
      </c>
      <c r="B269">
        <v>244</v>
      </c>
      <c r="C269" t="s">
        <v>182</v>
      </c>
      <c r="D269">
        <v>42956.800000000003</v>
      </c>
      <c r="E269">
        <v>-6.8</v>
      </c>
      <c r="F269">
        <v>837.1</v>
      </c>
      <c r="G269">
        <v>-41</v>
      </c>
      <c r="H269">
        <v>36281</v>
      </c>
      <c r="I269">
        <v>13830.5</v>
      </c>
      <c r="J269">
        <v>0</v>
      </c>
      <c r="K269">
        <v>1.9</v>
      </c>
      <c r="L269">
        <v>2.3073999999999999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120958</v>
      </c>
      <c r="V269" t="s">
        <v>204</v>
      </c>
      <c r="W269" t="s">
        <v>90</v>
      </c>
      <c r="Y269" t="s">
        <v>184</v>
      </c>
      <c r="Z269" t="s">
        <v>329</v>
      </c>
      <c r="AA269">
        <v>2012</v>
      </c>
      <c r="AB269">
        <v>1.1840026460130599</v>
      </c>
      <c r="AC269">
        <v>0</v>
      </c>
      <c r="AD269">
        <v>0</v>
      </c>
    </row>
    <row r="270" spans="1:30" x14ac:dyDescent="0.3">
      <c r="A270">
        <v>2013</v>
      </c>
      <c r="B270">
        <v>236</v>
      </c>
      <c r="C270" t="s">
        <v>195</v>
      </c>
      <c r="D270">
        <v>43606.6</v>
      </c>
      <c r="E270">
        <v>-2.2999999999999998</v>
      </c>
      <c r="F270">
        <v>2814.1</v>
      </c>
      <c r="G270">
        <v>-9.8000000000000007</v>
      </c>
      <c r="H270">
        <v>45754.8</v>
      </c>
      <c r="I270">
        <v>30052.400000000001</v>
      </c>
      <c r="J270">
        <v>0</v>
      </c>
      <c r="K270">
        <v>6.5</v>
      </c>
      <c r="L270">
        <v>6.1504000000000003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196968</v>
      </c>
      <c r="V270" t="s">
        <v>203</v>
      </c>
      <c r="W270" t="s">
        <v>30</v>
      </c>
      <c r="Y270" t="s">
        <v>198</v>
      </c>
      <c r="Z270" t="s">
        <v>329</v>
      </c>
      <c r="AA270">
        <v>2012</v>
      </c>
      <c r="AB270">
        <v>0.95304973467264598</v>
      </c>
      <c r="AC270">
        <v>0</v>
      </c>
      <c r="AD270">
        <v>0</v>
      </c>
    </row>
    <row r="271" spans="1:30" x14ac:dyDescent="0.3">
      <c r="A271">
        <v>2013</v>
      </c>
      <c r="B271">
        <v>233</v>
      </c>
      <c r="C271" t="s">
        <v>185</v>
      </c>
      <c r="D271">
        <v>44102.1</v>
      </c>
      <c r="E271">
        <v>-2.5</v>
      </c>
      <c r="F271">
        <v>2907.8</v>
      </c>
      <c r="G271">
        <v>-3.8</v>
      </c>
      <c r="H271">
        <v>43457.4</v>
      </c>
      <c r="I271">
        <v>23601.9</v>
      </c>
      <c r="J271">
        <v>0</v>
      </c>
      <c r="K271">
        <v>6.6</v>
      </c>
      <c r="L271">
        <v>6.6912000000000003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20238</v>
      </c>
      <c r="V271" t="s">
        <v>205</v>
      </c>
      <c r="W271" t="s">
        <v>44</v>
      </c>
      <c r="Y271" t="s">
        <v>187</v>
      </c>
      <c r="Z271" t="s">
        <v>329</v>
      </c>
      <c r="AA271">
        <v>2012</v>
      </c>
      <c r="AB271">
        <v>1.0148352179375699</v>
      </c>
      <c r="AC271">
        <v>0</v>
      </c>
      <c r="AD271">
        <v>0</v>
      </c>
    </row>
    <row r="272" spans="1:30" x14ac:dyDescent="0.3">
      <c r="A272">
        <v>2013</v>
      </c>
      <c r="B272">
        <v>186</v>
      </c>
      <c r="C272" t="s">
        <v>157</v>
      </c>
      <c r="D272">
        <v>52765.7</v>
      </c>
      <c r="E272">
        <v>-6.7</v>
      </c>
      <c r="F272">
        <v>-878</v>
      </c>
      <c r="G272">
        <v>-262.3</v>
      </c>
      <c r="H272">
        <v>32436.7</v>
      </c>
      <c r="I272">
        <v>8857.1</v>
      </c>
      <c r="J272">
        <v>0</v>
      </c>
      <c r="K272">
        <v>-1.7</v>
      </c>
      <c r="L272">
        <v>-2.7069000000000001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170000</v>
      </c>
      <c r="V272" t="s">
        <v>158</v>
      </c>
      <c r="W272" t="s">
        <v>30</v>
      </c>
      <c r="Y272" t="s">
        <v>159</v>
      </c>
      <c r="Z272" t="e" cm="1">
        <f t="array" ref="Z272">-∞</f>
        <v>#NAME?</v>
      </c>
      <c r="AA272">
        <v>2012</v>
      </c>
      <c r="AB272">
        <v>1.6267283663258001</v>
      </c>
      <c r="AC272">
        <v>0</v>
      </c>
      <c r="AD272">
        <v>0</v>
      </c>
    </row>
    <row r="273" spans="1:30" x14ac:dyDescent="0.3">
      <c r="A273">
        <v>2013</v>
      </c>
      <c r="B273">
        <v>54</v>
      </c>
      <c r="C273" t="s">
        <v>188</v>
      </c>
      <c r="D273">
        <v>108874.5</v>
      </c>
      <c r="E273">
        <v>-11.1</v>
      </c>
      <c r="F273">
        <v>2111.3000000000002</v>
      </c>
      <c r="G273">
        <v>-52</v>
      </c>
      <c r="H273">
        <v>104353.5</v>
      </c>
      <c r="I273">
        <v>22154.9</v>
      </c>
      <c r="J273">
        <v>0</v>
      </c>
      <c r="K273">
        <v>1.9</v>
      </c>
      <c r="L273">
        <v>2.0232000000000001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326240</v>
      </c>
      <c r="V273" t="s">
        <v>209</v>
      </c>
      <c r="W273" t="s">
        <v>90</v>
      </c>
      <c r="Y273" t="s">
        <v>190</v>
      </c>
      <c r="Z273" t="s">
        <v>329</v>
      </c>
      <c r="AA273">
        <v>2012</v>
      </c>
      <c r="AB273">
        <v>1.0433238942632499</v>
      </c>
      <c r="AC273">
        <v>0</v>
      </c>
      <c r="AD273">
        <v>0</v>
      </c>
    </row>
    <row r="274" spans="1:30" x14ac:dyDescent="0.3">
      <c r="A274">
        <v>2013</v>
      </c>
      <c r="B274">
        <v>32</v>
      </c>
      <c r="C274" t="s">
        <v>199</v>
      </c>
      <c r="D274">
        <v>128860.6</v>
      </c>
      <c r="E274">
        <v>-3.2</v>
      </c>
      <c r="F274">
        <v>6311</v>
      </c>
      <c r="G274">
        <v>6.5</v>
      </c>
      <c r="H274">
        <v>209081.8</v>
      </c>
      <c r="I274">
        <v>88500.4</v>
      </c>
      <c r="J274">
        <v>0</v>
      </c>
      <c r="K274">
        <v>4.9000000000000004</v>
      </c>
      <c r="L274">
        <v>3.0184000000000002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227150</v>
      </c>
      <c r="V274" t="s">
        <v>211</v>
      </c>
      <c r="W274" t="s">
        <v>44</v>
      </c>
      <c r="Y274" t="s">
        <v>200</v>
      </c>
      <c r="Z274" t="s">
        <v>329</v>
      </c>
      <c r="AA274">
        <v>2012</v>
      </c>
      <c r="AB274">
        <v>0.61631667605693097</v>
      </c>
      <c r="AC274">
        <v>0</v>
      </c>
      <c r="AD274">
        <v>0</v>
      </c>
    </row>
    <row r="275" spans="1:30" x14ac:dyDescent="0.3">
      <c r="A275">
        <v>2012</v>
      </c>
      <c r="B275">
        <v>347</v>
      </c>
      <c r="C275" t="s">
        <v>195</v>
      </c>
      <c r="D275">
        <v>31271</v>
      </c>
      <c r="E275">
        <v>-0.4</v>
      </c>
      <c r="F275">
        <v>1385</v>
      </c>
      <c r="G275">
        <v>-23.9</v>
      </c>
      <c r="H275">
        <v>44062.2</v>
      </c>
      <c r="I275">
        <v>23864.9</v>
      </c>
      <c r="J275">
        <v>0</v>
      </c>
      <c r="K275">
        <v>4.4000000000000004</v>
      </c>
      <c r="L275">
        <v>3.1</v>
      </c>
      <c r="M275">
        <v>5.8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197673</v>
      </c>
      <c r="V275" t="s">
        <v>203</v>
      </c>
      <c r="W275" t="s">
        <v>30</v>
      </c>
      <c r="Y275" t="s">
        <v>198</v>
      </c>
      <c r="Z275">
        <v>23879.310344827602</v>
      </c>
      <c r="AA275">
        <v>2011</v>
      </c>
      <c r="AB275">
        <v>0.70970128590946402</v>
      </c>
      <c r="AC275">
        <v>5.8000000000000003E-2</v>
      </c>
      <c r="AD275">
        <v>1.8452040433212999</v>
      </c>
    </row>
    <row r="276" spans="1:30" x14ac:dyDescent="0.3">
      <c r="A276">
        <v>2012</v>
      </c>
      <c r="B276">
        <v>262</v>
      </c>
      <c r="C276" t="s">
        <v>182</v>
      </c>
      <c r="D276">
        <v>39118.6</v>
      </c>
      <c r="E276">
        <v>6.9</v>
      </c>
      <c r="F276">
        <v>1942.6</v>
      </c>
      <c r="G276">
        <v>2.1</v>
      </c>
      <c r="H276">
        <v>37519.300000000003</v>
      </c>
      <c r="I276">
        <v>18307.400000000001</v>
      </c>
      <c r="J276">
        <v>0</v>
      </c>
      <c r="K276">
        <v>5</v>
      </c>
      <c r="L276">
        <v>5.2</v>
      </c>
      <c r="M276">
        <v>10.6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138700</v>
      </c>
      <c r="V276" t="s">
        <v>204</v>
      </c>
      <c r="W276" t="s">
        <v>90</v>
      </c>
      <c r="Y276" t="s">
        <v>184</v>
      </c>
      <c r="Z276">
        <v>18326.415094339602</v>
      </c>
      <c r="AA276">
        <v>2011</v>
      </c>
      <c r="AB276">
        <v>1.0426260617868699</v>
      </c>
      <c r="AC276">
        <v>0.106</v>
      </c>
      <c r="AD276">
        <v>2.0472798311541198</v>
      </c>
    </row>
    <row r="277" spans="1:30" x14ac:dyDescent="0.3">
      <c r="A277">
        <v>2012</v>
      </c>
      <c r="B277">
        <v>219</v>
      </c>
      <c r="C277" t="s">
        <v>185</v>
      </c>
      <c r="D277">
        <v>43821.599999999999</v>
      </c>
      <c r="E277">
        <v>17.8</v>
      </c>
      <c r="F277">
        <v>5045.1000000000004</v>
      </c>
      <c r="G277">
        <v>22.5</v>
      </c>
      <c r="H277">
        <v>56223.199999999997</v>
      </c>
      <c r="I277">
        <v>31904</v>
      </c>
      <c r="J277">
        <v>0</v>
      </c>
      <c r="K277">
        <v>11.5</v>
      </c>
      <c r="L277">
        <v>9</v>
      </c>
      <c r="M277">
        <v>15.8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35032</v>
      </c>
      <c r="V277" t="s">
        <v>205</v>
      </c>
      <c r="W277" t="s">
        <v>44</v>
      </c>
      <c r="Y277" t="s">
        <v>187</v>
      </c>
      <c r="Z277">
        <v>31931.012658227799</v>
      </c>
      <c r="AA277">
        <v>2011</v>
      </c>
      <c r="AB277">
        <v>0.77942201795699995</v>
      </c>
      <c r="AC277">
        <v>0.158</v>
      </c>
      <c r="AD277">
        <v>1.76077096588769</v>
      </c>
    </row>
    <row r="278" spans="1:30" x14ac:dyDescent="0.3">
      <c r="A278">
        <v>2012</v>
      </c>
      <c r="B278">
        <v>105</v>
      </c>
      <c r="C278" t="s">
        <v>150</v>
      </c>
      <c r="D278">
        <v>70170.3</v>
      </c>
      <c r="E278">
        <v>3.9</v>
      </c>
      <c r="F278">
        <v>676.4</v>
      </c>
      <c r="G278">
        <v>-45.1</v>
      </c>
      <c r="H278">
        <v>158518.6</v>
      </c>
      <c r="I278">
        <v>22414.9</v>
      </c>
      <c r="J278">
        <v>0</v>
      </c>
      <c r="K278">
        <v>1</v>
      </c>
      <c r="L278">
        <v>0.4</v>
      </c>
      <c r="M278">
        <v>3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128400</v>
      </c>
      <c r="V278" t="s">
        <v>177</v>
      </c>
      <c r="W278" t="s">
        <v>90</v>
      </c>
      <c r="Y278" t="s">
        <v>152</v>
      </c>
      <c r="Z278">
        <v>22546.666666666701</v>
      </c>
      <c r="AA278">
        <v>2011</v>
      </c>
      <c r="AB278">
        <v>0.44266287993964099</v>
      </c>
      <c r="AC278">
        <v>0.03</v>
      </c>
      <c r="AD278">
        <v>7.03068894145476</v>
      </c>
    </row>
    <row r="279" spans="1:30" x14ac:dyDescent="0.3">
      <c r="A279">
        <v>2012</v>
      </c>
      <c r="B279">
        <v>72</v>
      </c>
      <c r="C279" t="s">
        <v>126</v>
      </c>
      <c r="D279">
        <v>82892.3</v>
      </c>
      <c r="E279">
        <v>8.4</v>
      </c>
      <c r="F279">
        <v>13163.4</v>
      </c>
      <c r="G279">
        <v>233.3</v>
      </c>
      <c r="H279">
        <v>221113.1</v>
      </c>
      <c r="I279">
        <v>32190.6</v>
      </c>
      <c r="J279">
        <v>0</v>
      </c>
      <c r="K279">
        <v>15.9</v>
      </c>
      <c r="L279">
        <v>6</v>
      </c>
      <c r="M279">
        <v>40.9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68402</v>
      </c>
      <c r="V279" t="s">
        <v>207</v>
      </c>
      <c r="W279" t="s">
        <v>44</v>
      </c>
      <c r="Y279" t="s">
        <v>201</v>
      </c>
      <c r="Z279">
        <v>32184.352078239601</v>
      </c>
      <c r="AA279">
        <v>2011</v>
      </c>
      <c r="AB279">
        <v>0.374886426900984</v>
      </c>
      <c r="AC279">
        <v>0.40899999999999997</v>
      </c>
      <c r="AD279">
        <v>6.87020510658341</v>
      </c>
    </row>
    <row r="280" spans="1:30" x14ac:dyDescent="0.3">
      <c r="A280">
        <v>2012</v>
      </c>
      <c r="B280">
        <v>71</v>
      </c>
      <c r="C280" t="s">
        <v>188</v>
      </c>
      <c r="D280">
        <v>84558.399999999994</v>
      </c>
      <c r="E280">
        <v>1.2</v>
      </c>
      <c r="F280">
        <v>2134.3000000000002</v>
      </c>
      <c r="G280">
        <v>48.8</v>
      </c>
      <c r="H280">
        <v>86741.9</v>
      </c>
      <c r="I280">
        <v>26632.1</v>
      </c>
      <c r="J280">
        <v>0</v>
      </c>
      <c r="K280">
        <v>2.5</v>
      </c>
      <c r="L280">
        <v>2.5</v>
      </c>
      <c r="M280">
        <v>8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303887</v>
      </c>
      <c r="V280" t="s">
        <v>209</v>
      </c>
      <c r="W280" t="s">
        <v>90</v>
      </c>
      <c r="Y280" t="s">
        <v>190</v>
      </c>
      <c r="Z280">
        <v>26678.75</v>
      </c>
      <c r="AA280">
        <v>2011</v>
      </c>
      <c r="AB280">
        <v>0.97482762079225804</v>
      </c>
      <c r="AC280">
        <v>0.08</v>
      </c>
      <c r="AD280">
        <v>3.2513479829452301</v>
      </c>
    </row>
    <row r="281" spans="1:30" x14ac:dyDescent="0.3">
      <c r="A281">
        <v>2012</v>
      </c>
      <c r="B281">
        <v>50</v>
      </c>
      <c r="C281" t="s">
        <v>199</v>
      </c>
      <c r="D281">
        <v>105127.5</v>
      </c>
      <c r="E281">
        <v>9.4</v>
      </c>
      <c r="F281">
        <v>7384.4</v>
      </c>
      <c r="G281">
        <v>20.2</v>
      </c>
      <c r="H281">
        <v>190739.8</v>
      </c>
      <c r="I281">
        <v>81253.7</v>
      </c>
      <c r="J281">
        <v>0</v>
      </c>
      <c r="K281">
        <v>7</v>
      </c>
      <c r="L281">
        <v>3.9</v>
      </c>
      <c r="M281">
        <v>9.1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274844</v>
      </c>
      <c r="V281" t="s">
        <v>212</v>
      </c>
      <c r="W281" t="s">
        <v>44</v>
      </c>
      <c r="Y281" t="s">
        <v>200</v>
      </c>
      <c r="Z281">
        <v>81147.2527472527</v>
      </c>
      <c r="AA281">
        <v>2011</v>
      </c>
      <c r="AB281">
        <v>0.55115660182090997</v>
      </c>
      <c r="AC281">
        <v>9.0999999999999998E-2</v>
      </c>
      <c r="AD281">
        <v>2.3505392178105202</v>
      </c>
    </row>
    <row r="282" spans="1:30" x14ac:dyDescent="0.3">
      <c r="A282">
        <v>2013</v>
      </c>
      <c r="B282">
        <v>450</v>
      </c>
      <c r="C282" t="s">
        <v>213</v>
      </c>
      <c r="D282">
        <v>26010.5</v>
      </c>
      <c r="E282">
        <v>-0.3</v>
      </c>
      <c r="F282">
        <v>457.1</v>
      </c>
      <c r="G282">
        <v>-38.700000000000003</v>
      </c>
      <c r="H282">
        <v>24442.2</v>
      </c>
      <c r="I282">
        <v>10992.2</v>
      </c>
      <c r="J282">
        <v>0</v>
      </c>
      <c r="K282">
        <v>1.8</v>
      </c>
      <c r="L282">
        <v>1.87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206323</v>
      </c>
      <c r="V282" t="s">
        <v>214</v>
      </c>
      <c r="W282" t="s">
        <v>90</v>
      </c>
      <c r="Y282" t="s">
        <v>215</v>
      </c>
      <c r="Z282" t="s">
        <v>329</v>
      </c>
      <c r="AA282">
        <v>2012</v>
      </c>
      <c r="AB282">
        <v>1.06416361865953</v>
      </c>
      <c r="AC282">
        <v>0</v>
      </c>
      <c r="AD282">
        <v>0</v>
      </c>
    </row>
    <row r="283" spans="1:30" x14ac:dyDescent="0.3">
      <c r="A283">
        <v>2013</v>
      </c>
      <c r="B283">
        <v>444</v>
      </c>
      <c r="C283" t="s">
        <v>216</v>
      </c>
      <c r="D283">
        <v>26302.9</v>
      </c>
      <c r="E283">
        <v>5.3</v>
      </c>
      <c r="F283">
        <v>3511.8</v>
      </c>
      <c r="G283">
        <v>10.199999999999999</v>
      </c>
      <c r="H283">
        <v>40505.199999999997</v>
      </c>
      <c r="I283">
        <v>11764.7</v>
      </c>
      <c r="J283">
        <v>0</v>
      </c>
      <c r="K283">
        <v>13.4</v>
      </c>
      <c r="L283">
        <v>8.67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36039</v>
      </c>
      <c r="V283" t="s">
        <v>217</v>
      </c>
      <c r="W283" t="s">
        <v>44</v>
      </c>
      <c r="Y283" t="s">
        <v>218</v>
      </c>
      <c r="Z283" t="s">
        <v>329</v>
      </c>
      <c r="AA283">
        <v>2012</v>
      </c>
      <c r="AB283">
        <v>0.64937094496509096</v>
      </c>
      <c r="AC283">
        <v>0</v>
      </c>
      <c r="AD283">
        <v>0</v>
      </c>
    </row>
    <row r="284" spans="1:30" x14ac:dyDescent="0.3">
      <c r="A284">
        <v>2013</v>
      </c>
      <c r="B284">
        <v>394</v>
      </c>
      <c r="C284" t="s">
        <v>219</v>
      </c>
      <c r="D284">
        <v>29082.5</v>
      </c>
      <c r="E284">
        <v>-5.4</v>
      </c>
      <c r="F284">
        <v>3302.1</v>
      </c>
      <c r="G284">
        <v>3.4</v>
      </c>
      <c r="H284">
        <v>37690.800000000003</v>
      </c>
      <c r="I284">
        <v>-397.8</v>
      </c>
      <c r="J284">
        <v>0</v>
      </c>
      <c r="K284">
        <v>11.4</v>
      </c>
      <c r="L284">
        <v>8.7609999999999992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87900</v>
      </c>
      <c r="V284" t="s">
        <v>220</v>
      </c>
      <c r="W284" t="s">
        <v>44</v>
      </c>
      <c r="Y284" t="s">
        <v>221</v>
      </c>
      <c r="Z284" t="s">
        <v>329</v>
      </c>
      <c r="AA284">
        <v>2012</v>
      </c>
      <c r="AB284">
        <v>0.77160739490804098</v>
      </c>
      <c r="AC284">
        <v>0</v>
      </c>
      <c r="AD284">
        <v>0</v>
      </c>
    </row>
    <row r="285" spans="1:30" x14ac:dyDescent="0.3">
      <c r="A285">
        <v>2013</v>
      </c>
      <c r="B285">
        <v>372</v>
      </c>
      <c r="C285" t="s">
        <v>222</v>
      </c>
      <c r="D285">
        <v>30773.7</v>
      </c>
      <c r="E285">
        <v>-1.1000000000000001</v>
      </c>
      <c r="F285">
        <v>2364.6</v>
      </c>
      <c r="G285">
        <v>-6.6</v>
      </c>
      <c r="H285">
        <v>47660.800000000003</v>
      </c>
      <c r="I285">
        <v>21937.5</v>
      </c>
      <c r="J285">
        <v>0</v>
      </c>
      <c r="K285">
        <v>7.7</v>
      </c>
      <c r="L285">
        <v>4.9614000000000003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139989</v>
      </c>
      <c r="V285" t="s">
        <v>223</v>
      </c>
      <c r="W285" t="s">
        <v>90</v>
      </c>
      <c r="Y285" t="s">
        <v>224</v>
      </c>
      <c r="Z285" t="s">
        <v>329</v>
      </c>
      <c r="AA285">
        <v>2012</v>
      </c>
      <c r="AB285">
        <v>0.64568156640257801</v>
      </c>
      <c r="AC285">
        <v>0</v>
      </c>
      <c r="AD285">
        <v>0</v>
      </c>
    </row>
    <row r="286" spans="1:30" x14ac:dyDescent="0.3">
      <c r="A286">
        <v>2013</v>
      </c>
      <c r="B286">
        <v>329</v>
      </c>
      <c r="C286" t="s">
        <v>141</v>
      </c>
      <c r="D286">
        <v>33873.4</v>
      </c>
      <c r="E286">
        <v>14.5</v>
      </c>
      <c r="F286">
        <v>635.1</v>
      </c>
      <c r="G286">
        <v>34.299999999999997</v>
      </c>
      <c r="H286">
        <v>16882</v>
      </c>
      <c r="I286">
        <v>2666.6</v>
      </c>
      <c r="J286">
        <v>0</v>
      </c>
      <c r="K286">
        <v>1.9</v>
      </c>
      <c r="L286">
        <v>3.7623000000000002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35026</v>
      </c>
      <c r="V286" t="s">
        <v>180</v>
      </c>
      <c r="W286" t="s">
        <v>30</v>
      </c>
      <c r="Y286" t="s">
        <v>143</v>
      </c>
      <c r="Z286" t="s">
        <v>329</v>
      </c>
      <c r="AA286">
        <v>2012</v>
      </c>
      <c r="AB286">
        <v>2.0064802748489501</v>
      </c>
      <c r="AC286">
        <v>0</v>
      </c>
      <c r="AD286">
        <v>0</v>
      </c>
    </row>
    <row r="287" spans="1:30" x14ac:dyDescent="0.3">
      <c r="A287">
        <v>2013</v>
      </c>
      <c r="B287">
        <v>321</v>
      </c>
      <c r="C287" t="s">
        <v>225</v>
      </c>
      <c r="D287">
        <v>34412.199999999997</v>
      </c>
      <c r="E287">
        <v>-8.9</v>
      </c>
      <c r="F287">
        <v>779.2</v>
      </c>
      <c r="G287">
        <v>-0.7</v>
      </c>
      <c r="H287">
        <v>19547.7</v>
      </c>
      <c r="I287">
        <v>4264</v>
      </c>
      <c r="J287">
        <v>0</v>
      </c>
      <c r="K287">
        <v>2.2999999999999998</v>
      </c>
      <c r="L287">
        <v>3.9859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121917</v>
      </c>
      <c r="V287" t="s">
        <v>226</v>
      </c>
      <c r="W287" t="s">
        <v>30</v>
      </c>
      <c r="Y287" t="s">
        <v>227</v>
      </c>
      <c r="Z287" t="s">
        <v>329</v>
      </c>
      <c r="AA287">
        <v>2012</v>
      </c>
      <c r="AB287">
        <v>1.76042194222338</v>
      </c>
      <c r="AC287">
        <v>0</v>
      </c>
      <c r="AD287">
        <v>0</v>
      </c>
    </row>
    <row r="288" spans="1:30" x14ac:dyDescent="0.3">
      <c r="A288">
        <v>2013</v>
      </c>
      <c r="B288">
        <v>289</v>
      </c>
      <c r="C288" t="s">
        <v>228</v>
      </c>
      <c r="D288">
        <v>37261</v>
      </c>
      <c r="E288">
        <v>-7</v>
      </c>
      <c r="F288">
        <v>210.8</v>
      </c>
      <c r="G288">
        <v>-94.3</v>
      </c>
      <c r="H288">
        <v>78451.3</v>
      </c>
      <c r="I288">
        <v>24340.5</v>
      </c>
      <c r="J288">
        <v>0</v>
      </c>
      <c r="K288">
        <v>0.6</v>
      </c>
      <c r="L288">
        <v>0.26869999999999999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57182</v>
      </c>
      <c r="V288" t="s">
        <v>229</v>
      </c>
      <c r="W288" t="s">
        <v>44</v>
      </c>
      <c r="Y288" t="s">
        <v>230</v>
      </c>
      <c r="Z288" t="s">
        <v>329</v>
      </c>
      <c r="AA288">
        <v>2012</v>
      </c>
      <c r="AB288">
        <v>0.47495707528109798</v>
      </c>
      <c r="AC288">
        <v>0</v>
      </c>
      <c r="AD288">
        <v>0</v>
      </c>
    </row>
    <row r="289" spans="1:30" x14ac:dyDescent="0.3">
      <c r="A289">
        <v>2013</v>
      </c>
      <c r="B289">
        <v>170</v>
      </c>
      <c r="C289" t="s">
        <v>231</v>
      </c>
      <c r="D289">
        <v>55922.3</v>
      </c>
      <c r="E289">
        <v>-11.2</v>
      </c>
      <c r="F289">
        <v>1053.8</v>
      </c>
      <c r="G289">
        <v>-80.5</v>
      </c>
      <c r="H289">
        <v>118611.6</v>
      </c>
      <c r="I289">
        <v>32040.1</v>
      </c>
      <c r="J289">
        <v>0</v>
      </c>
      <c r="K289">
        <v>1.9</v>
      </c>
      <c r="L289">
        <v>0.88849999999999996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170531</v>
      </c>
      <c r="V289" t="s">
        <v>232</v>
      </c>
      <c r="W289" t="s">
        <v>44</v>
      </c>
      <c r="Y289" t="s">
        <v>233</v>
      </c>
      <c r="Z289" t="s">
        <v>329</v>
      </c>
      <c r="AA289">
        <v>2012</v>
      </c>
      <c r="AB289">
        <v>0.47147412226122898</v>
      </c>
      <c r="AC289">
        <v>0</v>
      </c>
      <c r="AD289">
        <v>0</v>
      </c>
    </row>
    <row r="290" spans="1:30" x14ac:dyDescent="0.3">
      <c r="A290">
        <v>2013</v>
      </c>
      <c r="B290">
        <v>158</v>
      </c>
      <c r="C290" t="s">
        <v>234</v>
      </c>
      <c r="D290">
        <v>58919.4</v>
      </c>
      <c r="E290">
        <v>10.1</v>
      </c>
      <c r="F290">
        <v>6951.2</v>
      </c>
      <c r="G290">
        <v>4.3</v>
      </c>
      <c r="H290">
        <v>77310.899999999994</v>
      </c>
      <c r="I290">
        <v>23241.7</v>
      </c>
      <c r="J290">
        <v>0</v>
      </c>
      <c r="K290">
        <v>11.8</v>
      </c>
      <c r="L290">
        <v>8.9911999999999992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158719</v>
      </c>
      <c r="V290" t="s">
        <v>235</v>
      </c>
      <c r="W290" t="s">
        <v>44</v>
      </c>
      <c r="Y290" t="s">
        <v>236</v>
      </c>
      <c r="Z290" t="s">
        <v>329</v>
      </c>
      <c r="AA290">
        <v>2012</v>
      </c>
      <c r="AB290">
        <v>0.76210987066506797</v>
      </c>
      <c r="AC290">
        <v>0</v>
      </c>
      <c r="AD290">
        <v>0</v>
      </c>
    </row>
    <row r="291" spans="1:30" x14ac:dyDescent="0.3">
      <c r="A291">
        <v>2013</v>
      </c>
      <c r="B291">
        <v>124</v>
      </c>
      <c r="C291" t="s">
        <v>135</v>
      </c>
      <c r="D291">
        <v>70187.399999999994</v>
      </c>
      <c r="E291">
        <v>-5.2</v>
      </c>
      <c r="F291">
        <v>677.5</v>
      </c>
      <c r="G291">
        <v>-93.9</v>
      </c>
      <c r="H291">
        <v>216644.1</v>
      </c>
      <c r="I291">
        <v>108516.4</v>
      </c>
      <c r="J291">
        <v>0</v>
      </c>
      <c r="K291">
        <v>1</v>
      </c>
      <c r="L291">
        <v>0.31269999999999998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91272</v>
      </c>
      <c r="V291" t="s">
        <v>181</v>
      </c>
      <c r="W291" t="s">
        <v>44</v>
      </c>
      <c r="Y291" t="s">
        <v>137</v>
      </c>
      <c r="Z291" t="s">
        <v>329</v>
      </c>
      <c r="AA291">
        <v>2012</v>
      </c>
      <c r="AB291">
        <v>0.32397558945754801</v>
      </c>
      <c r="AC291">
        <v>0</v>
      </c>
      <c r="AD291">
        <v>0</v>
      </c>
    </row>
    <row r="292" spans="1:30" x14ac:dyDescent="0.3">
      <c r="A292">
        <v>2013</v>
      </c>
      <c r="B292">
        <v>105</v>
      </c>
      <c r="C292" t="s">
        <v>163</v>
      </c>
      <c r="D292">
        <v>74754.600000000006</v>
      </c>
      <c r="E292">
        <v>-8.3000000000000007</v>
      </c>
      <c r="F292">
        <v>-6753.3</v>
      </c>
      <c r="G292">
        <v>-972</v>
      </c>
      <c r="H292">
        <v>142289.1</v>
      </c>
      <c r="I292">
        <v>34167.699999999997</v>
      </c>
      <c r="J292">
        <v>0</v>
      </c>
      <c r="K292">
        <v>-9</v>
      </c>
      <c r="L292">
        <v>-4.7462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232000</v>
      </c>
      <c r="V292" t="s">
        <v>164</v>
      </c>
      <c r="W292" t="s">
        <v>44</v>
      </c>
      <c r="Y292" t="s">
        <v>165</v>
      </c>
      <c r="Z292" t="e" cm="1">
        <f t="array" ref="Z292">-∞</f>
        <v>#NAME?</v>
      </c>
      <c r="AA292">
        <v>2012</v>
      </c>
      <c r="AB292">
        <v>0.525371233636308</v>
      </c>
      <c r="AC292">
        <v>0</v>
      </c>
      <c r="AD292">
        <v>0</v>
      </c>
    </row>
    <row r="293" spans="1:30" x14ac:dyDescent="0.3">
      <c r="A293">
        <v>2013</v>
      </c>
      <c r="B293">
        <v>97</v>
      </c>
      <c r="C293" t="s">
        <v>237</v>
      </c>
      <c r="D293">
        <v>80135.399999999994</v>
      </c>
      <c r="E293">
        <v>-8.3000000000000007</v>
      </c>
      <c r="F293">
        <v>5048</v>
      </c>
      <c r="G293">
        <v>-32.799999999999997</v>
      </c>
      <c r="H293">
        <v>171066.7</v>
      </c>
      <c r="I293">
        <v>26971.7</v>
      </c>
      <c r="J293">
        <v>0</v>
      </c>
      <c r="K293">
        <v>6.3</v>
      </c>
      <c r="L293">
        <v>2.9508999999999999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133186</v>
      </c>
      <c r="V293" t="s">
        <v>238</v>
      </c>
      <c r="W293" t="s">
        <v>44</v>
      </c>
      <c r="Y293" t="s">
        <v>239</v>
      </c>
      <c r="Z293" t="s">
        <v>329</v>
      </c>
      <c r="AA293">
        <v>2012</v>
      </c>
      <c r="AB293">
        <v>0.46844534909482699</v>
      </c>
      <c r="AC293">
        <v>0</v>
      </c>
      <c r="AD293">
        <v>0</v>
      </c>
    </row>
    <row r="294" spans="1:30" x14ac:dyDescent="0.3">
      <c r="A294">
        <v>2013</v>
      </c>
      <c r="B294">
        <v>53</v>
      </c>
      <c r="C294" t="s">
        <v>240</v>
      </c>
      <c r="D294">
        <v>108988.5</v>
      </c>
      <c r="E294">
        <v>-3.8</v>
      </c>
      <c r="F294">
        <v>5782</v>
      </c>
      <c r="G294">
        <v>-32.5</v>
      </c>
      <c r="H294">
        <v>139283.1</v>
      </c>
      <c r="I294">
        <v>39531.9</v>
      </c>
      <c r="J294">
        <v>0</v>
      </c>
      <c r="K294">
        <v>5.3</v>
      </c>
      <c r="L294">
        <v>4.1512000000000002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370000</v>
      </c>
      <c r="V294" t="s">
        <v>241</v>
      </c>
      <c r="W294" t="s">
        <v>90</v>
      </c>
      <c r="Y294" t="s">
        <v>242</v>
      </c>
      <c r="Z294" t="s">
        <v>329</v>
      </c>
      <c r="AA294">
        <v>2012</v>
      </c>
      <c r="AB294">
        <v>0.78249622531376695</v>
      </c>
      <c r="AC294">
        <v>0</v>
      </c>
      <c r="AD294">
        <v>0</v>
      </c>
    </row>
    <row r="295" spans="1:30" x14ac:dyDescent="0.3">
      <c r="A295">
        <v>2013</v>
      </c>
      <c r="B295">
        <v>30</v>
      </c>
      <c r="C295" t="s">
        <v>243</v>
      </c>
      <c r="D295">
        <v>132076.1</v>
      </c>
      <c r="E295">
        <v>12.4</v>
      </c>
      <c r="F295">
        <v>3204.8</v>
      </c>
      <c r="G295">
        <v>15.4</v>
      </c>
      <c r="H295">
        <v>70404.399999999994</v>
      </c>
      <c r="I295">
        <v>22265</v>
      </c>
      <c r="J295">
        <v>0</v>
      </c>
      <c r="K295">
        <v>2.4</v>
      </c>
      <c r="L295">
        <v>4.5518999999999998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1290000</v>
      </c>
      <c r="V295" t="s">
        <v>244</v>
      </c>
      <c r="W295" t="s">
        <v>90</v>
      </c>
      <c r="Y295" t="s">
        <v>245</v>
      </c>
      <c r="Z295" t="s">
        <v>329</v>
      </c>
      <c r="AA295">
        <v>2012</v>
      </c>
      <c r="AB295">
        <v>1.8759637181767099</v>
      </c>
      <c r="AC295">
        <v>0</v>
      </c>
      <c r="AD295">
        <v>0</v>
      </c>
    </row>
    <row r="296" spans="1:30" x14ac:dyDescent="0.3">
      <c r="A296">
        <v>2013</v>
      </c>
      <c r="B296">
        <v>14</v>
      </c>
      <c r="C296" t="s">
        <v>246</v>
      </c>
      <c r="D296">
        <v>178554.8</v>
      </c>
      <c r="E296">
        <v>19.899999999999999</v>
      </c>
      <c r="F296">
        <v>20585.7</v>
      </c>
      <c r="G296">
        <v>70.7</v>
      </c>
      <c r="H296">
        <v>169154.6</v>
      </c>
      <c r="I296">
        <v>109387.7</v>
      </c>
      <c r="J296">
        <v>0</v>
      </c>
      <c r="K296">
        <v>11.5</v>
      </c>
      <c r="L296">
        <v>12.1698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236000</v>
      </c>
      <c r="V296" t="s">
        <v>247</v>
      </c>
      <c r="W296" t="s">
        <v>90</v>
      </c>
      <c r="Y296" t="s">
        <v>248</v>
      </c>
      <c r="Z296" t="s">
        <v>329</v>
      </c>
      <c r="AA296">
        <v>2012</v>
      </c>
      <c r="AB296">
        <v>1.0555716486575</v>
      </c>
      <c r="AC296">
        <v>0</v>
      </c>
      <c r="AD296">
        <v>0</v>
      </c>
    </row>
    <row r="297" spans="1:30" x14ac:dyDescent="0.3">
      <c r="A297">
        <v>2014</v>
      </c>
      <c r="B297">
        <v>421</v>
      </c>
      <c r="C297" t="s">
        <v>219</v>
      </c>
      <c r="D297">
        <v>29051.1</v>
      </c>
      <c r="E297">
        <v>-0.1</v>
      </c>
      <c r="F297">
        <v>3205.8</v>
      </c>
      <c r="G297">
        <v>-2.9</v>
      </c>
      <c r="H297">
        <v>41502.5</v>
      </c>
      <c r="I297">
        <v>-986.80010000000004</v>
      </c>
      <c r="J297">
        <v>0</v>
      </c>
      <c r="K297">
        <v>11.001899999999999</v>
      </c>
      <c r="L297">
        <v>7.7019000000000002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87800</v>
      </c>
      <c r="V297" t="s">
        <v>220</v>
      </c>
      <c r="W297" t="s">
        <v>44</v>
      </c>
      <c r="Y297" t="s">
        <v>221</v>
      </c>
      <c r="Z297" t="s">
        <v>329</v>
      </c>
      <c r="AA297">
        <v>2013</v>
      </c>
      <c r="AB297">
        <v>0.69998433829287399</v>
      </c>
      <c r="AC297">
        <v>0</v>
      </c>
      <c r="AD297">
        <v>0</v>
      </c>
    </row>
    <row r="298" spans="1:30" x14ac:dyDescent="0.3">
      <c r="A298">
        <v>2023</v>
      </c>
      <c r="B298">
        <v>421</v>
      </c>
      <c r="C298" t="s">
        <v>222</v>
      </c>
      <c r="D298">
        <v>35944.9</v>
      </c>
      <c r="E298">
        <v>5.2</v>
      </c>
      <c r="F298">
        <v>3657</v>
      </c>
      <c r="G298">
        <v>-3.5</v>
      </c>
      <c r="H298">
        <v>62278.7</v>
      </c>
      <c r="I298">
        <v>27143.4</v>
      </c>
      <c r="J298">
        <v>0</v>
      </c>
      <c r="K298">
        <v>10.199999999999999</v>
      </c>
      <c r="L298">
        <v>5.9</v>
      </c>
      <c r="M298">
        <v>13.5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135000</v>
      </c>
      <c r="V298" t="s">
        <v>249</v>
      </c>
      <c r="W298" t="s">
        <v>90</v>
      </c>
      <c r="Y298" t="s">
        <v>250</v>
      </c>
      <c r="Z298">
        <v>27088.888888888901</v>
      </c>
      <c r="AA298">
        <v>2022</v>
      </c>
      <c r="AB298">
        <v>0.57716201526364597</v>
      </c>
      <c r="AC298">
        <v>0.13500000000000001</v>
      </c>
      <c r="AD298">
        <v>2.2990496308449502</v>
      </c>
    </row>
    <row r="299" spans="1:30" x14ac:dyDescent="0.3">
      <c r="A299">
        <v>2023</v>
      </c>
      <c r="B299">
        <v>319</v>
      </c>
      <c r="C299" t="s">
        <v>251</v>
      </c>
      <c r="D299">
        <v>45721</v>
      </c>
      <c r="E299">
        <v>-9.1</v>
      </c>
      <c r="F299">
        <v>2257.1</v>
      </c>
      <c r="G299">
        <v>719.3</v>
      </c>
      <c r="H299">
        <v>116996.6</v>
      </c>
      <c r="I299">
        <v>33913.5</v>
      </c>
      <c r="J299">
        <v>0</v>
      </c>
      <c r="K299">
        <v>4.9000000000000004</v>
      </c>
      <c r="L299">
        <v>1.9</v>
      </c>
      <c r="M299">
        <v>6.7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130307</v>
      </c>
      <c r="V299" t="s">
        <v>252</v>
      </c>
      <c r="W299" t="s">
        <v>44</v>
      </c>
      <c r="Y299" t="s">
        <v>233</v>
      </c>
      <c r="Z299">
        <v>33688.059701492501</v>
      </c>
      <c r="AA299">
        <v>2022</v>
      </c>
      <c r="AB299">
        <v>0.39078913404321097</v>
      </c>
      <c r="AC299">
        <v>6.7000000000000004E-2</v>
      </c>
      <c r="AD299">
        <v>3.47293970138674</v>
      </c>
    </row>
    <row r="300" spans="1:30" x14ac:dyDescent="0.3">
      <c r="A300">
        <v>2022</v>
      </c>
      <c r="B300">
        <v>271</v>
      </c>
      <c r="C300" t="s">
        <v>251</v>
      </c>
      <c r="D300">
        <v>50275.199999999997</v>
      </c>
      <c r="E300">
        <v>4.4000000000000004</v>
      </c>
      <c r="F300">
        <v>275.5</v>
      </c>
      <c r="G300">
        <v>-95</v>
      </c>
      <c r="H300">
        <v>122876.7</v>
      </c>
      <c r="I300">
        <v>36771.699999999997</v>
      </c>
      <c r="J300">
        <v>0</v>
      </c>
      <c r="K300">
        <v>0.5</v>
      </c>
      <c r="L300">
        <v>0.2</v>
      </c>
      <c r="M300">
        <v>0.7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139698</v>
      </c>
      <c r="V300" t="s">
        <v>252</v>
      </c>
      <c r="W300" t="s">
        <v>44</v>
      </c>
      <c r="Y300" t="s">
        <v>233</v>
      </c>
      <c r="Z300">
        <v>39357.142857142899</v>
      </c>
      <c r="AA300">
        <v>2021</v>
      </c>
      <c r="AB300">
        <v>0.409151612958356</v>
      </c>
      <c r="AC300">
        <v>7.0000000000000001E-3</v>
      </c>
      <c r="AD300">
        <v>3.1220940108892901</v>
      </c>
    </row>
    <row r="301" spans="1:30" x14ac:dyDescent="0.3">
      <c r="A301">
        <v>2022</v>
      </c>
      <c r="B301">
        <v>420</v>
      </c>
      <c r="C301" t="s">
        <v>222</v>
      </c>
      <c r="D301">
        <v>34175.300000000003</v>
      </c>
      <c r="E301">
        <v>19.2</v>
      </c>
      <c r="F301">
        <v>3788.2</v>
      </c>
      <c r="G301">
        <v>56.4</v>
      </c>
      <c r="H301">
        <v>62019.9</v>
      </c>
      <c r="I301">
        <v>27788.3</v>
      </c>
      <c r="J301">
        <v>0</v>
      </c>
      <c r="K301">
        <v>11.1</v>
      </c>
      <c r="L301">
        <v>6.1</v>
      </c>
      <c r="M301">
        <v>13.6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128000</v>
      </c>
      <c r="V301" t="s">
        <v>249</v>
      </c>
      <c r="W301" t="s">
        <v>90</v>
      </c>
      <c r="Y301" t="s">
        <v>250</v>
      </c>
      <c r="Z301">
        <v>27854.411764705899</v>
      </c>
      <c r="AA301">
        <v>2021</v>
      </c>
      <c r="AB301">
        <v>0.55103765081852796</v>
      </c>
      <c r="AC301">
        <v>0.13600000000000001</v>
      </c>
      <c r="AD301">
        <v>2.2265736761522601</v>
      </c>
    </row>
    <row r="302" spans="1:30" x14ac:dyDescent="0.3">
      <c r="A302">
        <v>2021</v>
      </c>
      <c r="B302">
        <v>424</v>
      </c>
      <c r="C302" t="s">
        <v>222</v>
      </c>
      <c r="D302">
        <v>28667.4</v>
      </c>
      <c r="E302">
        <v>-5.7</v>
      </c>
      <c r="F302">
        <v>2422.5</v>
      </c>
      <c r="G302">
        <v>-10.3</v>
      </c>
      <c r="H302">
        <v>60556.1</v>
      </c>
      <c r="I302">
        <v>25238.400000000001</v>
      </c>
      <c r="J302">
        <v>0</v>
      </c>
      <c r="K302">
        <v>8.5</v>
      </c>
      <c r="L302">
        <v>4</v>
      </c>
      <c r="M302">
        <v>9.6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126328</v>
      </c>
      <c r="V302" t="s">
        <v>249</v>
      </c>
      <c r="W302" t="s">
        <v>90</v>
      </c>
      <c r="Y302" t="s">
        <v>250</v>
      </c>
      <c r="Z302">
        <v>25234.375</v>
      </c>
      <c r="AA302">
        <v>2020</v>
      </c>
      <c r="AB302">
        <v>0.47340234922658497</v>
      </c>
      <c r="AC302">
        <v>9.6000000000000002E-2</v>
      </c>
      <c r="AD302">
        <v>2.39974637770898</v>
      </c>
    </row>
    <row r="303" spans="1:30" x14ac:dyDescent="0.3">
      <c r="A303">
        <v>2021</v>
      </c>
      <c r="B303">
        <v>229</v>
      </c>
      <c r="C303" t="s">
        <v>251</v>
      </c>
      <c r="D303">
        <v>48164.5</v>
      </c>
      <c r="E303">
        <v>1.9</v>
      </c>
      <c r="F303">
        <v>5494.4</v>
      </c>
      <c r="G303">
        <v>63.3</v>
      </c>
      <c r="H303">
        <v>131843.6</v>
      </c>
      <c r="I303">
        <v>42092.6</v>
      </c>
      <c r="J303">
        <v>0</v>
      </c>
      <c r="K303">
        <v>11.4</v>
      </c>
      <c r="L303">
        <v>4.2</v>
      </c>
      <c r="M303">
        <v>13.1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142150</v>
      </c>
      <c r="V303" t="s">
        <v>252</v>
      </c>
      <c r="W303" t="s">
        <v>44</v>
      </c>
      <c r="Y303" t="s">
        <v>233</v>
      </c>
      <c r="Z303">
        <v>41941.9847328244</v>
      </c>
      <c r="AA303">
        <v>2020</v>
      </c>
      <c r="AB303">
        <v>0.36531541917848098</v>
      </c>
      <c r="AC303">
        <v>0.13100000000000001</v>
      </c>
      <c r="AD303">
        <v>3.1434754659289501</v>
      </c>
    </row>
    <row r="304" spans="1:30" x14ac:dyDescent="0.3">
      <c r="A304">
        <v>2020</v>
      </c>
      <c r="B304">
        <v>411</v>
      </c>
      <c r="C304" t="s">
        <v>222</v>
      </c>
      <c r="D304">
        <v>30353.9</v>
      </c>
      <c r="E304">
        <v>8.8000000000000007</v>
      </c>
      <c r="F304">
        <v>2754.5</v>
      </c>
      <c r="G304">
        <v>13.7</v>
      </c>
      <c r="H304">
        <v>48302</v>
      </c>
      <c r="I304">
        <v>23753.8</v>
      </c>
      <c r="J304">
        <v>0</v>
      </c>
      <c r="K304">
        <v>9.1</v>
      </c>
      <c r="L304">
        <v>5.7</v>
      </c>
      <c r="M304">
        <v>11.6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137534</v>
      </c>
      <c r="V304" t="s">
        <v>249</v>
      </c>
      <c r="W304" t="s">
        <v>90</v>
      </c>
      <c r="Y304" t="s">
        <v>224</v>
      </c>
      <c r="Z304">
        <v>23745.689655172398</v>
      </c>
      <c r="AA304">
        <v>2019</v>
      </c>
      <c r="AB304">
        <v>0.62841911308020404</v>
      </c>
      <c r="AC304">
        <v>0.11600000000000001</v>
      </c>
      <c r="AD304">
        <v>2.0341375930295902</v>
      </c>
    </row>
    <row r="305" spans="1:30" x14ac:dyDescent="0.3">
      <c r="A305">
        <v>2020</v>
      </c>
      <c r="B305">
        <v>228</v>
      </c>
      <c r="C305" t="s">
        <v>251</v>
      </c>
      <c r="D305">
        <v>48836.5</v>
      </c>
      <c r="E305">
        <v>5.4</v>
      </c>
      <c r="F305">
        <v>2306</v>
      </c>
      <c r="G305">
        <v>7.3</v>
      </c>
      <c r="H305">
        <v>110404.7</v>
      </c>
      <c r="I305">
        <v>35054.699999999997</v>
      </c>
      <c r="J305">
        <v>0</v>
      </c>
      <c r="K305">
        <v>4.7</v>
      </c>
      <c r="L305">
        <v>2.1</v>
      </c>
      <c r="M305">
        <v>6.6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150711</v>
      </c>
      <c r="V305" t="s">
        <v>252</v>
      </c>
      <c r="W305" t="s">
        <v>44</v>
      </c>
      <c r="Y305" t="s">
        <v>233</v>
      </c>
      <c r="Z305">
        <v>34939.3939393939</v>
      </c>
      <c r="AA305">
        <v>2019</v>
      </c>
      <c r="AB305">
        <v>0.44234076991287502</v>
      </c>
      <c r="AC305">
        <v>6.6000000000000003E-2</v>
      </c>
      <c r="AD305">
        <v>3.1598916738941898</v>
      </c>
    </row>
    <row r="306" spans="1:30" x14ac:dyDescent="0.3">
      <c r="A306">
        <v>2019</v>
      </c>
      <c r="B306">
        <v>411</v>
      </c>
      <c r="C306" t="s">
        <v>222</v>
      </c>
      <c r="D306">
        <v>30353.9</v>
      </c>
      <c r="E306">
        <v>8.8000000000000007</v>
      </c>
      <c r="F306">
        <v>2754.5</v>
      </c>
      <c r="G306">
        <v>13.7</v>
      </c>
      <c r="H306">
        <v>48302</v>
      </c>
      <c r="I306">
        <v>23753.8</v>
      </c>
      <c r="J306">
        <v>0</v>
      </c>
      <c r="K306">
        <v>9.1</v>
      </c>
      <c r="L306">
        <v>5.7</v>
      </c>
      <c r="M306">
        <v>11.6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137534</v>
      </c>
      <c r="V306" t="s">
        <v>249</v>
      </c>
      <c r="W306" t="s">
        <v>90</v>
      </c>
      <c r="Y306" t="s">
        <v>224</v>
      </c>
      <c r="Z306">
        <v>23745.689655172398</v>
      </c>
      <c r="AA306">
        <v>2018</v>
      </c>
      <c r="AB306">
        <v>0.62841911308020404</v>
      </c>
      <c r="AC306">
        <v>0.11600000000000001</v>
      </c>
      <c r="AD306">
        <v>2.0341375930295902</v>
      </c>
    </row>
    <row r="307" spans="1:30" x14ac:dyDescent="0.3">
      <c r="A307">
        <v>2019</v>
      </c>
      <c r="B307">
        <v>228</v>
      </c>
      <c r="C307" t="s">
        <v>251</v>
      </c>
      <c r="D307">
        <v>48836.5</v>
      </c>
      <c r="E307">
        <v>5.4</v>
      </c>
      <c r="F307">
        <v>2306</v>
      </c>
      <c r="G307">
        <v>7.3</v>
      </c>
      <c r="H307">
        <v>110404.7</v>
      </c>
      <c r="I307">
        <v>35054.699999999997</v>
      </c>
      <c r="J307">
        <v>0</v>
      </c>
      <c r="K307">
        <v>4.7</v>
      </c>
      <c r="L307">
        <v>2.1</v>
      </c>
      <c r="M307">
        <v>6.6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150711</v>
      </c>
      <c r="V307" t="s">
        <v>252</v>
      </c>
      <c r="W307" t="s">
        <v>44</v>
      </c>
      <c r="Y307" t="s">
        <v>233</v>
      </c>
      <c r="Z307">
        <v>34939.3939393939</v>
      </c>
      <c r="AA307">
        <v>2018</v>
      </c>
      <c r="AB307">
        <v>0.44234076991287502</v>
      </c>
      <c r="AC307">
        <v>6.6000000000000003E-2</v>
      </c>
      <c r="AD307">
        <v>3.1598916738941898</v>
      </c>
    </row>
    <row r="308" spans="1:30" x14ac:dyDescent="0.3">
      <c r="A308">
        <v>2018</v>
      </c>
      <c r="B308">
        <v>411</v>
      </c>
      <c r="C308" t="s">
        <v>222</v>
      </c>
      <c r="D308">
        <v>30353.9</v>
      </c>
      <c r="E308">
        <v>8.8000000000000007</v>
      </c>
      <c r="F308">
        <v>2754.5</v>
      </c>
      <c r="G308">
        <v>13.7</v>
      </c>
      <c r="H308">
        <v>48302</v>
      </c>
      <c r="I308">
        <v>23753.8</v>
      </c>
      <c r="J308">
        <v>0</v>
      </c>
      <c r="K308">
        <v>9.1</v>
      </c>
      <c r="L308">
        <v>5.7</v>
      </c>
      <c r="M308">
        <v>11.6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137534</v>
      </c>
      <c r="V308" t="s">
        <v>249</v>
      </c>
      <c r="W308" t="s">
        <v>90</v>
      </c>
      <c r="Y308" t="s">
        <v>224</v>
      </c>
      <c r="Z308">
        <v>23745.689655172398</v>
      </c>
      <c r="AA308">
        <v>2017</v>
      </c>
      <c r="AB308">
        <v>0.62841911308020404</v>
      </c>
      <c r="AC308">
        <v>0.11600000000000001</v>
      </c>
      <c r="AD308">
        <v>2.0341375930295902</v>
      </c>
    </row>
    <row r="309" spans="1:30" x14ac:dyDescent="0.3">
      <c r="A309">
        <v>2018</v>
      </c>
      <c r="B309">
        <v>228</v>
      </c>
      <c r="C309" t="s">
        <v>251</v>
      </c>
      <c r="D309">
        <v>48836.5</v>
      </c>
      <c r="E309">
        <v>5.4</v>
      </c>
      <c r="F309">
        <v>2306</v>
      </c>
      <c r="G309">
        <v>7.3</v>
      </c>
      <c r="H309">
        <v>110404.7</v>
      </c>
      <c r="I309">
        <v>35054.699999999997</v>
      </c>
      <c r="J309">
        <v>0</v>
      </c>
      <c r="K309">
        <v>4.7</v>
      </c>
      <c r="L309">
        <v>2.1</v>
      </c>
      <c r="M309">
        <v>6.6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150711</v>
      </c>
      <c r="V309" t="s">
        <v>252</v>
      </c>
      <c r="W309" t="s">
        <v>44</v>
      </c>
      <c r="Y309" t="s">
        <v>233</v>
      </c>
      <c r="Z309">
        <v>34939.3939393939</v>
      </c>
      <c r="AA309">
        <v>2017</v>
      </c>
      <c r="AB309">
        <v>0.44234076991287502</v>
      </c>
      <c r="AC309">
        <v>6.6000000000000003E-2</v>
      </c>
      <c r="AD309">
        <v>3.1598916738941898</v>
      </c>
    </row>
    <row r="310" spans="1:30" x14ac:dyDescent="0.3">
      <c r="A310">
        <v>2017</v>
      </c>
      <c r="B310">
        <v>399</v>
      </c>
      <c r="C310" t="s">
        <v>222</v>
      </c>
      <c r="D310">
        <v>27306.6</v>
      </c>
      <c r="E310">
        <v>-7.6</v>
      </c>
      <c r="F310">
        <v>1935.2</v>
      </c>
      <c r="G310">
        <v>24</v>
      </c>
      <c r="H310">
        <v>44137.3</v>
      </c>
      <c r="I310">
        <v>21613.599999999999</v>
      </c>
      <c r="J310">
        <v>0</v>
      </c>
      <c r="K310">
        <v>7.1</v>
      </c>
      <c r="L310">
        <v>4.4000000000000004</v>
      </c>
      <c r="M310">
        <v>9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143901</v>
      </c>
      <c r="V310" t="s">
        <v>249</v>
      </c>
      <c r="W310" t="s">
        <v>90</v>
      </c>
      <c r="Y310" t="s">
        <v>224</v>
      </c>
      <c r="Z310">
        <v>21502.222222222201</v>
      </c>
      <c r="AA310">
        <v>2016</v>
      </c>
      <c r="AB310">
        <v>0.61867400135486295</v>
      </c>
      <c r="AC310">
        <v>0.09</v>
      </c>
      <c r="AD310">
        <v>2.0526855105415498</v>
      </c>
    </row>
    <row r="311" spans="1:30" x14ac:dyDescent="0.3">
      <c r="A311">
        <v>2017</v>
      </c>
      <c r="B311">
        <v>210</v>
      </c>
      <c r="C311" t="s">
        <v>251</v>
      </c>
      <c r="D311">
        <v>45249</v>
      </c>
      <c r="E311">
        <v>1.3</v>
      </c>
      <c r="F311">
        <v>3245.7</v>
      </c>
      <c r="G311">
        <v>10.3</v>
      </c>
      <c r="H311">
        <v>99839.7</v>
      </c>
      <c r="I311">
        <v>32364.5</v>
      </c>
      <c r="J311">
        <v>0</v>
      </c>
      <c r="K311">
        <v>7.2</v>
      </c>
      <c r="L311">
        <v>3.3</v>
      </c>
      <c r="M311">
        <v>10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155202</v>
      </c>
      <c r="V311" t="s">
        <v>252</v>
      </c>
      <c r="W311" t="s">
        <v>44</v>
      </c>
      <c r="Y311" t="s">
        <v>233</v>
      </c>
      <c r="Z311">
        <v>32457</v>
      </c>
      <c r="AA311">
        <v>2016</v>
      </c>
      <c r="AB311">
        <v>0.45321650605921299</v>
      </c>
      <c r="AC311">
        <v>0.1</v>
      </c>
      <c r="AD311">
        <v>3.0760606340696901</v>
      </c>
    </row>
    <row r="312" spans="1:30" x14ac:dyDescent="0.3">
      <c r="A312">
        <v>2016</v>
      </c>
      <c r="B312">
        <v>354</v>
      </c>
      <c r="C312" t="s">
        <v>222</v>
      </c>
      <c r="D312">
        <v>29551.1</v>
      </c>
      <c r="E312">
        <v>-10.7</v>
      </c>
      <c r="F312">
        <v>1560.8</v>
      </c>
      <c r="G312">
        <v>-39.4</v>
      </c>
      <c r="H312">
        <v>46247.1</v>
      </c>
      <c r="I312">
        <v>22645.1</v>
      </c>
      <c r="J312">
        <v>0</v>
      </c>
      <c r="K312">
        <v>5.3</v>
      </c>
      <c r="L312">
        <v>3.4</v>
      </c>
      <c r="M312">
        <v>6.9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160843</v>
      </c>
      <c r="V312" t="s">
        <v>249</v>
      </c>
      <c r="W312" t="s">
        <v>90</v>
      </c>
      <c r="Y312" t="s">
        <v>224</v>
      </c>
      <c r="Z312">
        <v>22620.2898550725</v>
      </c>
      <c r="AA312">
        <v>2015</v>
      </c>
      <c r="AB312">
        <v>0.63898276864927706</v>
      </c>
      <c r="AC312">
        <v>6.9000000000000006E-2</v>
      </c>
      <c r="AD312">
        <v>2.0444963480266498</v>
      </c>
    </row>
    <row r="313" spans="1:30" x14ac:dyDescent="0.3">
      <c r="A313">
        <v>2016</v>
      </c>
      <c r="B313">
        <v>204</v>
      </c>
      <c r="C313" t="s">
        <v>251</v>
      </c>
      <c r="D313">
        <v>44650.6</v>
      </c>
      <c r="E313">
        <v>-14.7</v>
      </c>
      <c r="F313">
        <v>2941.8</v>
      </c>
      <c r="G313">
        <v>139.69999999999999</v>
      </c>
      <c r="H313">
        <v>99311.2</v>
      </c>
      <c r="I313">
        <v>33571.199999999997</v>
      </c>
      <c r="J313">
        <v>0</v>
      </c>
      <c r="K313">
        <v>6.6</v>
      </c>
      <c r="L313">
        <v>3</v>
      </c>
      <c r="M313">
        <v>8.8000000000000007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156191</v>
      </c>
      <c r="V313" t="s">
        <v>252</v>
      </c>
      <c r="W313" t="s">
        <v>44</v>
      </c>
      <c r="Y313" t="s">
        <v>233</v>
      </c>
      <c r="Z313">
        <v>33429.5454545455</v>
      </c>
      <c r="AA313">
        <v>2015</v>
      </c>
      <c r="AB313">
        <v>0.44960286453088899</v>
      </c>
      <c r="AC313">
        <v>8.7999999999999995E-2</v>
      </c>
      <c r="AD313">
        <v>2.97076130260385</v>
      </c>
    </row>
    <row r="314" spans="1:30" x14ac:dyDescent="0.3">
      <c r="A314">
        <v>2014</v>
      </c>
      <c r="B314">
        <v>387</v>
      </c>
      <c r="C314" t="s">
        <v>222</v>
      </c>
      <c r="D314">
        <v>31265.4</v>
      </c>
      <c r="E314">
        <v>1.6</v>
      </c>
      <c r="F314">
        <v>2506.4</v>
      </c>
      <c r="G314">
        <v>6</v>
      </c>
      <c r="H314">
        <v>50962.1</v>
      </c>
      <c r="I314">
        <v>23714.7019</v>
      </c>
      <c r="J314">
        <v>0</v>
      </c>
      <c r="K314">
        <v>8.0018999999999991</v>
      </c>
      <c r="L314">
        <v>4.9019000000000004</v>
      </c>
      <c r="M314">
        <v>10.601900000000001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152784</v>
      </c>
      <c r="V314" t="s">
        <v>223</v>
      </c>
      <c r="W314" t="s">
        <v>90</v>
      </c>
      <c r="Y314" t="s">
        <v>224</v>
      </c>
      <c r="Z314">
        <v>23641.045472981299</v>
      </c>
      <c r="AA314">
        <v>2013</v>
      </c>
      <c r="AB314">
        <v>0.61350297574079604</v>
      </c>
      <c r="AC314">
        <v>0.106</v>
      </c>
      <c r="AD314">
        <v>2.1556618576045299</v>
      </c>
    </row>
    <row r="315" spans="1:30" x14ac:dyDescent="0.3">
      <c r="A315">
        <v>2014</v>
      </c>
      <c r="B315">
        <v>325</v>
      </c>
      <c r="C315" t="s">
        <v>228</v>
      </c>
      <c r="D315">
        <v>35873.4</v>
      </c>
      <c r="E315">
        <v>-3.7</v>
      </c>
      <c r="F315">
        <v>2611.3000000000002</v>
      </c>
      <c r="G315">
        <v>1139</v>
      </c>
      <c r="H315">
        <v>67760.2</v>
      </c>
      <c r="I315">
        <v>24052.301899999999</v>
      </c>
      <c r="J315">
        <v>0</v>
      </c>
      <c r="K315">
        <v>7.3018999999999998</v>
      </c>
      <c r="L315">
        <v>3.9018999999999999</v>
      </c>
      <c r="M315">
        <v>10.901899999999999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52440</v>
      </c>
      <c r="V315" t="s">
        <v>229</v>
      </c>
      <c r="W315" t="s">
        <v>44</v>
      </c>
      <c r="Y315" t="s">
        <v>230</v>
      </c>
      <c r="Z315">
        <v>23952.705491703298</v>
      </c>
      <c r="AA315">
        <v>2013</v>
      </c>
      <c r="AB315">
        <v>0.52941697338555704</v>
      </c>
      <c r="AC315">
        <v>0.109</v>
      </c>
      <c r="AD315">
        <v>2.8289163419752601</v>
      </c>
    </row>
    <row r="316" spans="1:30" x14ac:dyDescent="0.3">
      <c r="A316">
        <v>2014</v>
      </c>
      <c r="B316">
        <v>189</v>
      </c>
      <c r="C316" t="s">
        <v>251</v>
      </c>
      <c r="D316">
        <v>54404.800000000003</v>
      </c>
      <c r="E316">
        <v>-2.7</v>
      </c>
      <c r="F316">
        <v>2486.5</v>
      </c>
      <c r="G316">
        <v>136</v>
      </c>
      <c r="H316">
        <v>118260.7</v>
      </c>
      <c r="I316">
        <v>33548.101900000001</v>
      </c>
      <c r="J316">
        <v>0</v>
      </c>
      <c r="K316">
        <v>4.6018999999999997</v>
      </c>
      <c r="L316">
        <v>2.1019000000000001</v>
      </c>
      <c r="M316">
        <v>7.4019000000000004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165488</v>
      </c>
      <c r="V316" t="s">
        <v>253</v>
      </c>
      <c r="W316" t="s">
        <v>44</v>
      </c>
      <c r="Y316" t="s">
        <v>233</v>
      </c>
      <c r="Z316">
        <v>33592.726191923699</v>
      </c>
      <c r="AA316">
        <v>2013</v>
      </c>
      <c r="AB316">
        <v>0.46004124785326</v>
      </c>
      <c r="AC316">
        <v>7.3999999999999996E-2</v>
      </c>
      <c r="AD316">
        <v>3.5204258006434701</v>
      </c>
    </row>
    <row r="317" spans="1:30" x14ac:dyDescent="0.3">
      <c r="A317">
        <v>2012</v>
      </c>
      <c r="B317">
        <v>399</v>
      </c>
      <c r="C317" t="s">
        <v>222</v>
      </c>
      <c r="D317">
        <v>27306.6</v>
      </c>
      <c r="E317">
        <v>-7.6</v>
      </c>
      <c r="F317">
        <v>1935.2</v>
      </c>
      <c r="G317">
        <v>24</v>
      </c>
      <c r="H317">
        <v>44137.3</v>
      </c>
      <c r="I317">
        <v>21613.599999999999</v>
      </c>
      <c r="J317">
        <v>0</v>
      </c>
      <c r="K317">
        <v>7.1</v>
      </c>
      <c r="L317">
        <v>4.4000000000000004</v>
      </c>
      <c r="M317">
        <v>9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143901</v>
      </c>
      <c r="V317" t="s">
        <v>223</v>
      </c>
      <c r="W317" t="s">
        <v>90</v>
      </c>
      <c r="Y317" t="s">
        <v>224</v>
      </c>
      <c r="Z317">
        <v>21502.222222222201</v>
      </c>
      <c r="AA317">
        <v>2011</v>
      </c>
      <c r="AB317">
        <v>0.61867400135486295</v>
      </c>
      <c r="AC317">
        <v>0.09</v>
      </c>
      <c r="AD317">
        <v>2.0526855105415498</v>
      </c>
    </row>
    <row r="318" spans="1:30" x14ac:dyDescent="0.3">
      <c r="A318">
        <v>2012</v>
      </c>
      <c r="B318">
        <v>210</v>
      </c>
      <c r="C318" t="s">
        <v>251</v>
      </c>
      <c r="D318">
        <v>45249</v>
      </c>
      <c r="E318">
        <v>1.3</v>
      </c>
      <c r="F318">
        <v>3245.7</v>
      </c>
      <c r="G318">
        <v>10.3</v>
      </c>
      <c r="H318">
        <v>99839.7</v>
      </c>
      <c r="I318">
        <v>32364.5</v>
      </c>
      <c r="J318">
        <v>0</v>
      </c>
      <c r="K318">
        <v>7.2</v>
      </c>
      <c r="L318">
        <v>3.3</v>
      </c>
      <c r="M318">
        <v>10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155202</v>
      </c>
      <c r="V318" t="s">
        <v>253</v>
      </c>
      <c r="W318" t="s">
        <v>44</v>
      </c>
      <c r="Y318" t="s">
        <v>233</v>
      </c>
      <c r="Z318">
        <v>32457</v>
      </c>
      <c r="AA318">
        <v>2011</v>
      </c>
      <c r="AB318">
        <v>0.45321650605921299</v>
      </c>
      <c r="AC318">
        <v>0.1</v>
      </c>
      <c r="AD318">
        <v>3.0760606340696901</v>
      </c>
    </row>
    <row r="319" spans="1:30" x14ac:dyDescent="0.3">
      <c r="A319">
        <v>2023</v>
      </c>
      <c r="B319">
        <v>472</v>
      </c>
      <c r="C319" t="s">
        <v>254</v>
      </c>
      <c r="D319">
        <v>32468.799999999999</v>
      </c>
      <c r="E319">
        <v>-1.4</v>
      </c>
      <c r="F319">
        <v>2402.1999999999998</v>
      </c>
      <c r="G319">
        <v>-61.3</v>
      </c>
      <c r="H319">
        <v>76993.7</v>
      </c>
      <c r="I319">
        <v>42878.5</v>
      </c>
      <c r="J319">
        <v>0</v>
      </c>
      <c r="K319">
        <v>7.4</v>
      </c>
      <c r="L319">
        <v>3.1</v>
      </c>
      <c r="M319">
        <v>5.6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111961</v>
      </c>
      <c r="V319" t="s">
        <v>254</v>
      </c>
      <c r="W319" t="s">
        <v>55</v>
      </c>
      <c r="Y319" t="s">
        <v>255</v>
      </c>
      <c r="Z319">
        <v>42896.428571428602</v>
      </c>
      <c r="AA319">
        <v>2022</v>
      </c>
      <c r="AB319">
        <v>0.42170723059159398</v>
      </c>
      <c r="AC319">
        <v>5.6000000000000001E-2</v>
      </c>
      <c r="AD319">
        <v>1.7948743651652601</v>
      </c>
    </row>
    <row r="320" spans="1:30" x14ac:dyDescent="0.3">
      <c r="A320">
        <v>2023</v>
      </c>
      <c r="B320">
        <v>79</v>
      </c>
      <c r="C320" t="s">
        <v>163</v>
      </c>
      <c r="D320">
        <v>120107.7</v>
      </c>
      <c r="E320">
        <v>-6.6</v>
      </c>
      <c r="F320">
        <v>8415.1</v>
      </c>
      <c r="G320">
        <v>70.400000000000006</v>
      </c>
      <c r="H320">
        <v>318595.5</v>
      </c>
      <c r="I320">
        <v>51811.4</v>
      </c>
      <c r="J320">
        <v>0</v>
      </c>
      <c r="K320">
        <v>7</v>
      </c>
      <c r="L320">
        <v>2.6</v>
      </c>
      <c r="M320">
        <v>16.2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206759</v>
      </c>
      <c r="V320" t="s">
        <v>256</v>
      </c>
      <c r="W320" t="s">
        <v>44</v>
      </c>
      <c r="Y320" t="s">
        <v>165</v>
      </c>
      <c r="Z320">
        <v>51945.0617283951</v>
      </c>
      <c r="AA320">
        <v>2022</v>
      </c>
      <c r="AB320">
        <v>0.37699120044068402</v>
      </c>
      <c r="AC320">
        <v>0.16200000000000001</v>
      </c>
      <c r="AD320">
        <v>6.13331641929389</v>
      </c>
    </row>
    <row r="321" spans="1:30" x14ac:dyDescent="0.3">
      <c r="A321">
        <v>2022</v>
      </c>
      <c r="B321">
        <v>62</v>
      </c>
      <c r="C321" t="s">
        <v>163</v>
      </c>
      <c r="D321">
        <v>128630.8</v>
      </c>
      <c r="E321">
        <v>11.8</v>
      </c>
      <c r="F321">
        <v>4937.3999999999996</v>
      </c>
      <c r="G321">
        <v>4.2</v>
      </c>
      <c r="H321">
        <v>320209.90000000002</v>
      </c>
      <c r="I321">
        <v>48526</v>
      </c>
      <c r="J321">
        <v>0</v>
      </c>
      <c r="K321">
        <v>3.8</v>
      </c>
      <c r="L321">
        <v>1.5</v>
      </c>
      <c r="M321">
        <v>10.199999999999999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216528</v>
      </c>
      <c r="V321" t="s">
        <v>256</v>
      </c>
      <c r="W321" t="s">
        <v>44</v>
      </c>
      <c r="Y321" t="s">
        <v>165</v>
      </c>
      <c r="Z321">
        <v>48405.882352941197</v>
      </c>
      <c r="AA321">
        <v>2021</v>
      </c>
      <c r="AB321">
        <v>0.40170775481957299</v>
      </c>
      <c r="AC321">
        <v>0.10199999999999999</v>
      </c>
      <c r="AD321">
        <v>6.6151030501883596</v>
      </c>
    </row>
    <row r="322" spans="1:30" x14ac:dyDescent="0.3">
      <c r="A322">
        <v>2022</v>
      </c>
      <c r="B322">
        <v>433</v>
      </c>
      <c r="C322" t="s">
        <v>254</v>
      </c>
      <c r="D322">
        <v>32918.5</v>
      </c>
      <c r="E322">
        <v>5.7</v>
      </c>
      <c r="F322">
        <v>6214.3</v>
      </c>
      <c r="G322">
        <v>6</v>
      </c>
      <c r="H322">
        <v>80919.199999999997</v>
      </c>
      <c r="I322">
        <v>44175.9</v>
      </c>
      <c r="J322">
        <v>0</v>
      </c>
      <c r="K322">
        <v>18.899999999999999</v>
      </c>
      <c r="L322">
        <v>7.7</v>
      </c>
      <c r="M322">
        <v>14.1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107415</v>
      </c>
      <c r="V322" t="s">
        <v>254</v>
      </c>
      <c r="W322" t="s">
        <v>55</v>
      </c>
      <c r="Y322" t="s">
        <v>255</v>
      </c>
      <c r="Z322">
        <v>44073.0496453901</v>
      </c>
      <c r="AA322">
        <v>2021</v>
      </c>
      <c r="AB322">
        <v>0.40680703714322403</v>
      </c>
      <c r="AC322">
        <v>0.14099999999999999</v>
      </c>
      <c r="AD322">
        <v>1.83602452408155</v>
      </c>
    </row>
    <row r="323" spans="1:30" x14ac:dyDescent="0.3">
      <c r="A323">
        <v>2021</v>
      </c>
      <c r="B323">
        <v>395</v>
      </c>
      <c r="C323" t="s">
        <v>254</v>
      </c>
      <c r="D323">
        <v>31150.3</v>
      </c>
      <c r="E323">
        <v>1</v>
      </c>
      <c r="F323">
        <v>5862.5</v>
      </c>
      <c r="G323">
        <v>57.7</v>
      </c>
      <c r="H323">
        <v>71558</v>
      </c>
      <c r="I323">
        <v>36367.699999999997</v>
      </c>
      <c r="J323">
        <v>0</v>
      </c>
      <c r="K323">
        <v>18.8</v>
      </c>
      <c r="L323">
        <v>8.1999999999999993</v>
      </c>
      <c r="M323">
        <v>16.100000000000001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102430</v>
      </c>
      <c r="V323" t="s">
        <v>254</v>
      </c>
      <c r="W323" t="s">
        <v>55</v>
      </c>
      <c r="Y323" t="s">
        <v>255</v>
      </c>
      <c r="Z323">
        <v>36413.043478260901</v>
      </c>
      <c r="AA323">
        <v>2020</v>
      </c>
      <c r="AB323">
        <v>0.43531540847983502</v>
      </c>
      <c r="AC323">
        <v>0.161</v>
      </c>
      <c r="AD323">
        <v>1.9651749253731301</v>
      </c>
    </row>
    <row r="324" spans="1:30" x14ac:dyDescent="0.3">
      <c r="A324">
        <v>2021</v>
      </c>
      <c r="B324">
        <v>53</v>
      </c>
      <c r="C324" t="s">
        <v>163</v>
      </c>
      <c r="D324">
        <v>115083.2</v>
      </c>
      <c r="E324">
        <v>27.7</v>
      </c>
      <c r="F324">
        <v>4737.8</v>
      </c>
      <c r="G324">
        <v>9.5</v>
      </c>
      <c r="H324">
        <v>324205.40000000002</v>
      </c>
      <c r="I324">
        <v>43961.3</v>
      </c>
      <c r="J324">
        <v>0</v>
      </c>
      <c r="K324">
        <v>4.0999999999999996</v>
      </c>
      <c r="L324">
        <v>1.5</v>
      </c>
      <c r="M324">
        <v>10.8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226291</v>
      </c>
      <c r="V324" t="s">
        <v>256</v>
      </c>
      <c r="W324" t="s">
        <v>44</v>
      </c>
      <c r="Y324" t="s">
        <v>165</v>
      </c>
      <c r="Z324">
        <v>43868.518518518496</v>
      </c>
      <c r="AA324">
        <v>2020</v>
      </c>
      <c r="AB324">
        <v>0.35497002825986201</v>
      </c>
      <c r="AC324">
        <v>0.108</v>
      </c>
      <c r="AD324">
        <v>7.3903886191903396</v>
      </c>
    </row>
    <row r="325" spans="1:30" x14ac:dyDescent="0.3">
      <c r="A325">
        <v>2020</v>
      </c>
      <c r="B325">
        <v>427</v>
      </c>
      <c r="C325" t="s">
        <v>254</v>
      </c>
      <c r="D325">
        <v>29159.599999999999</v>
      </c>
      <c r="E325">
        <v>10.3</v>
      </c>
      <c r="F325">
        <v>4818.6000000000004</v>
      </c>
      <c r="G325">
        <v>6.4</v>
      </c>
      <c r="H325">
        <v>58854.2</v>
      </c>
      <c r="I325">
        <v>32955</v>
      </c>
      <c r="J325">
        <v>0</v>
      </c>
      <c r="K325">
        <v>16.5</v>
      </c>
      <c r="L325">
        <v>8.1999999999999993</v>
      </c>
      <c r="M325">
        <v>14.6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96498</v>
      </c>
      <c r="V325" t="s">
        <v>254</v>
      </c>
      <c r="W325" t="s">
        <v>55</v>
      </c>
      <c r="Y325" t="s">
        <v>255</v>
      </c>
      <c r="Z325">
        <v>33004.109589041102</v>
      </c>
      <c r="AA325">
        <v>2019</v>
      </c>
      <c r="AB325">
        <v>0.49545486983087</v>
      </c>
      <c r="AC325">
        <v>0.14599999999999999</v>
      </c>
      <c r="AD325">
        <v>1.78323853401403</v>
      </c>
    </row>
    <row r="326" spans="1:30" x14ac:dyDescent="0.3">
      <c r="A326">
        <v>2020</v>
      </c>
      <c r="B326">
        <v>90</v>
      </c>
      <c r="C326" t="s">
        <v>163</v>
      </c>
      <c r="D326">
        <v>89286.8</v>
      </c>
      <c r="E326">
        <v>5.7</v>
      </c>
      <c r="F326">
        <v>2556.1999999999998</v>
      </c>
      <c r="G326">
        <v>-34.5</v>
      </c>
      <c r="H326">
        <v>166163.6</v>
      </c>
      <c r="I326">
        <v>35326.699999999997</v>
      </c>
      <c r="J326">
        <v>0</v>
      </c>
      <c r="K326">
        <v>2.9</v>
      </c>
      <c r="L326">
        <v>1.5</v>
      </c>
      <c r="M326">
        <v>7.2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215675</v>
      </c>
      <c r="V326" t="s">
        <v>256</v>
      </c>
      <c r="W326" t="s">
        <v>44</v>
      </c>
      <c r="Y326" t="s">
        <v>165</v>
      </c>
      <c r="Z326">
        <v>35502.777777777803</v>
      </c>
      <c r="AA326">
        <v>2019</v>
      </c>
      <c r="AB326">
        <v>0.53734271525171595</v>
      </c>
      <c r="AC326">
        <v>7.1999999999999995E-2</v>
      </c>
      <c r="AD326">
        <v>4.6802985681871503</v>
      </c>
    </row>
    <row r="327" spans="1:30" x14ac:dyDescent="0.3">
      <c r="A327">
        <v>2019</v>
      </c>
      <c r="B327">
        <v>427</v>
      </c>
      <c r="C327" t="s">
        <v>254</v>
      </c>
      <c r="D327">
        <v>29159.599999999999</v>
      </c>
      <c r="E327">
        <v>10.3</v>
      </c>
      <c r="F327">
        <v>4818.6000000000004</v>
      </c>
      <c r="G327">
        <v>6.4</v>
      </c>
      <c r="H327">
        <v>58854.2</v>
      </c>
      <c r="I327">
        <v>32955</v>
      </c>
      <c r="J327">
        <v>0</v>
      </c>
      <c r="K327">
        <v>16.5</v>
      </c>
      <c r="L327">
        <v>8.1999999999999993</v>
      </c>
      <c r="M327">
        <v>14.6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96498</v>
      </c>
      <c r="V327" t="s">
        <v>254</v>
      </c>
      <c r="W327" t="s">
        <v>55</v>
      </c>
      <c r="Y327" t="s">
        <v>255</v>
      </c>
      <c r="Z327">
        <v>33004.109589041102</v>
      </c>
      <c r="AA327">
        <v>2018</v>
      </c>
      <c r="AB327">
        <v>0.49545486983087</v>
      </c>
      <c r="AC327">
        <v>0.14599999999999999</v>
      </c>
      <c r="AD327">
        <v>1.78323853401403</v>
      </c>
    </row>
    <row r="328" spans="1:30" x14ac:dyDescent="0.3">
      <c r="A328">
        <v>2019</v>
      </c>
      <c r="B328">
        <v>90</v>
      </c>
      <c r="C328" t="s">
        <v>163</v>
      </c>
      <c r="D328">
        <v>89286.8</v>
      </c>
      <c r="E328">
        <v>5.7</v>
      </c>
      <c r="F328">
        <v>2556.1999999999998</v>
      </c>
      <c r="G328">
        <v>-34.5</v>
      </c>
      <c r="H328">
        <v>166163.6</v>
      </c>
      <c r="I328">
        <v>35326.699999999997</v>
      </c>
      <c r="J328">
        <v>0</v>
      </c>
      <c r="K328">
        <v>2.9</v>
      </c>
      <c r="L328">
        <v>1.5</v>
      </c>
      <c r="M328">
        <v>7.2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215675</v>
      </c>
      <c r="V328" t="s">
        <v>256</v>
      </c>
      <c r="W328" t="s">
        <v>44</v>
      </c>
      <c r="Y328" t="s">
        <v>165</v>
      </c>
      <c r="Z328">
        <v>35502.777777777803</v>
      </c>
      <c r="AA328">
        <v>2018</v>
      </c>
      <c r="AB328">
        <v>0.53734271525171595</v>
      </c>
      <c r="AC328">
        <v>7.1999999999999995E-2</v>
      </c>
      <c r="AD328">
        <v>4.6802985681871503</v>
      </c>
    </row>
    <row r="329" spans="1:30" x14ac:dyDescent="0.3">
      <c r="A329">
        <v>2018</v>
      </c>
      <c r="B329">
        <v>427</v>
      </c>
      <c r="C329" t="s">
        <v>254</v>
      </c>
      <c r="D329">
        <v>29159.599999999999</v>
      </c>
      <c r="E329">
        <v>10.3</v>
      </c>
      <c r="F329">
        <v>4818.6000000000004</v>
      </c>
      <c r="G329">
        <v>6.4</v>
      </c>
      <c r="H329">
        <v>58854.2</v>
      </c>
      <c r="I329">
        <v>32955</v>
      </c>
      <c r="J329">
        <v>0</v>
      </c>
      <c r="K329">
        <v>16.5</v>
      </c>
      <c r="L329">
        <v>8.1999999999999993</v>
      </c>
      <c r="M329">
        <v>14.6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96498</v>
      </c>
      <c r="V329" t="s">
        <v>254</v>
      </c>
      <c r="W329" t="s">
        <v>55</v>
      </c>
      <c r="Y329" t="s">
        <v>255</v>
      </c>
      <c r="Z329">
        <v>33004.109589041102</v>
      </c>
      <c r="AA329">
        <v>2017</v>
      </c>
      <c r="AB329">
        <v>0.49545486983087</v>
      </c>
      <c r="AC329">
        <v>0.14599999999999999</v>
      </c>
      <c r="AD329">
        <v>1.78323853401403</v>
      </c>
    </row>
    <row r="330" spans="1:30" x14ac:dyDescent="0.3">
      <c r="A330">
        <v>2018</v>
      </c>
      <c r="B330">
        <v>90</v>
      </c>
      <c r="C330" t="s">
        <v>163</v>
      </c>
      <c r="D330">
        <v>89286.8</v>
      </c>
      <c r="E330">
        <v>5.7</v>
      </c>
      <c r="F330">
        <v>2556.1999999999998</v>
      </c>
      <c r="G330">
        <v>-34.5</v>
      </c>
      <c r="H330">
        <v>166163.6</v>
      </c>
      <c r="I330">
        <v>35326.699999999997</v>
      </c>
      <c r="J330">
        <v>0</v>
      </c>
      <c r="K330">
        <v>2.9</v>
      </c>
      <c r="L330">
        <v>1.5</v>
      </c>
      <c r="M330">
        <v>7.2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215675</v>
      </c>
      <c r="V330" t="s">
        <v>256</v>
      </c>
      <c r="W330" t="s">
        <v>44</v>
      </c>
      <c r="Y330" t="s">
        <v>165</v>
      </c>
      <c r="Z330">
        <v>35502.777777777803</v>
      </c>
      <c r="AA330">
        <v>2017</v>
      </c>
      <c r="AB330">
        <v>0.53734271525171595</v>
      </c>
      <c r="AC330">
        <v>7.1999999999999995E-2</v>
      </c>
      <c r="AD330">
        <v>4.6802985681871503</v>
      </c>
    </row>
    <row r="331" spans="1:30" x14ac:dyDescent="0.3">
      <c r="A331">
        <v>2017</v>
      </c>
      <c r="B331">
        <v>443</v>
      </c>
      <c r="C331" t="s">
        <v>254</v>
      </c>
      <c r="D331">
        <v>24397.200000000001</v>
      </c>
      <c r="E331">
        <v>5.8</v>
      </c>
      <c r="F331">
        <v>4031.9</v>
      </c>
      <c r="G331">
        <v>18.600000000000001</v>
      </c>
      <c r="H331">
        <v>46695.8</v>
      </c>
      <c r="I331">
        <v>27816.9</v>
      </c>
      <c r="J331">
        <v>0</v>
      </c>
      <c r="K331">
        <v>16.5</v>
      </c>
      <c r="L331">
        <v>8.6</v>
      </c>
      <c r="M331">
        <v>14.5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84183</v>
      </c>
      <c r="V331" t="s">
        <v>254</v>
      </c>
      <c r="W331" t="s">
        <v>55</v>
      </c>
      <c r="Y331" t="s">
        <v>255</v>
      </c>
      <c r="Z331">
        <v>27806.206896551699</v>
      </c>
      <c r="AA331">
        <v>2016</v>
      </c>
      <c r="AB331">
        <v>0.52247097169338597</v>
      </c>
      <c r="AC331">
        <v>0.14499999999999999</v>
      </c>
      <c r="AD331">
        <v>1.6793300925122201</v>
      </c>
    </row>
    <row r="332" spans="1:30" x14ac:dyDescent="0.3">
      <c r="A332">
        <v>2017</v>
      </c>
      <c r="B332">
        <v>77</v>
      </c>
      <c r="C332" t="s">
        <v>163</v>
      </c>
      <c r="D332">
        <v>80831.8</v>
      </c>
      <c r="E332">
        <v>5.3</v>
      </c>
      <c r="F332">
        <v>2958.1</v>
      </c>
      <c r="G332">
        <v>-18</v>
      </c>
      <c r="H332">
        <v>156596.70000000001</v>
      </c>
      <c r="I332">
        <v>30905.9</v>
      </c>
      <c r="J332">
        <v>0</v>
      </c>
      <c r="K332">
        <v>3.7</v>
      </c>
      <c r="L332">
        <v>1.9</v>
      </c>
      <c r="M332">
        <v>9.6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221000</v>
      </c>
      <c r="V332" t="s">
        <v>256</v>
      </c>
      <c r="W332" t="s">
        <v>44</v>
      </c>
      <c r="Y332" t="s">
        <v>165</v>
      </c>
      <c r="Z332">
        <v>30813.541666666701</v>
      </c>
      <c r="AA332">
        <v>2016</v>
      </c>
      <c r="AB332">
        <v>0.51617818255429404</v>
      </c>
      <c r="AC332">
        <v>9.6000000000000002E-2</v>
      </c>
      <c r="AD332">
        <v>5.0820740340083201</v>
      </c>
    </row>
    <row r="333" spans="1:30" x14ac:dyDescent="0.3">
      <c r="A333">
        <v>2016</v>
      </c>
      <c r="B333">
        <v>462</v>
      </c>
      <c r="C333" t="s">
        <v>254</v>
      </c>
      <c r="D333">
        <v>23065.200000000001</v>
      </c>
      <c r="E333">
        <v>-1</v>
      </c>
      <c r="F333">
        <v>3398.8</v>
      </c>
      <c r="G333">
        <v>-21.9</v>
      </c>
      <c r="H333">
        <v>44957.8</v>
      </c>
      <c r="I333">
        <v>25272.6</v>
      </c>
      <c r="J333">
        <v>0</v>
      </c>
      <c r="K333">
        <v>14.7</v>
      </c>
      <c r="L333">
        <v>7.6</v>
      </c>
      <c r="M333">
        <v>13.4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76986</v>
      </c>
      <c r="V333" t="s">
        <v>254</v>
      </c>
      <c r="W333" t="s">
        <v>55</v>
      </c>
      <c r="Y333" t="s">
        <v>255</v>
      </c>
      <c r="Z333">
        <v>25364.1791044776</v>
      </c>
      <c r="AA333">
        <v>2015</v>
      </c>
      <c r="AB333">
        <v>0.51304111856007195</v>
      </c>
      <c r="AC333">
        <v>0.13400000000000001</v>
      </c>
      <c r="AD333">
        <v>1.7724918206425799</v>
      </c>
    </row>
    <row r="334" spans="1:30" x14ac:dyDescent="0.3">
      <c r="A334">
        <v>2016</v>
      </c>
      <c r="B334">
        <v>90</v>
      </c>
      <c r="C334" t="s">
        <v>163</v>
      </c>
      <c r="D334">
        <v>76793</v>
      </c>
      <c r="E334">
        <v>-7.6</v>
      </c>
      <c r="F334">
        <v>3609.6</v>
      </c>
      <c r="G334">
        <v>-6.9</v>
      </c>
      <c r="H334">
        <v>156325.9</v>
      </c>
      <c r="I334">
        <v>31934.3</v>
      </c>
      <c r="J334">
        <v>0</v>
      </c>
      <c r="K334">
        <v>4.7</v>
      </c>
      <c r="L334">
        <v>2.2999999999999998</v>
      </c>
      <c r="M334">
        <v>11.3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226000</v>
      </c>
      <c r="V334" t="s">
        <v>256</v>
      </c>
      <c r="W334" t="s">
        <v>44</v>
      </c>
      <c r="Y334" t="s">
        <v>165</v>
      </c>
      <c r="Z334">
        <v>31943.362831858401</v>
      </c>
      <c r="AA334">
        <v>2015</v>
      </c>
      <c r="AB334">
        <v>0.49123657692039502</v>
      </c>
      <c r="AC334">
        <v>0.113</v>
      </c>
      <c r="AD334">
        <v>4.8938460494237601</v>
      </c>
    </row>
    <row r="335" spans="1:30" x14ac:dyDescent="0.3">
      <c r="A335">
        <v>2016</v>
      </c>
      <c r="B335">
        <v>71</v>
      </c>
      <c r="C335" t="s">
        <v>240</v>
      </c>
      <c r="D335">
        <v>87660</v>
      </c>
      <c r="E335">
        <v>-13.7</v>
      </c>
      <c r="F335">
        <v>8338</v>
      </c>
      <c r="G335">
        <v>14.4</v>
      </c>
      <c r="H335">
        <v>134320.29999999999</v>
      </c>
      <c r="I335">
        <v>38476.400000000001</v>
      </c>
      <c r="J335">
        <v>0</v>
      </c>
      <c r="K335">
        <v>9.5</v>
      </c>
      <c r="L335">
        <v>6.2</v>
      </c>
      <c r="M335">
        <v>21.7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348000</v>
      </c>
      <c r="V335" t="s">
        <v>257</v>
      </c>
      <c r="W335" t="s">
        <v>90</v>
      </c>
      <c r="Y335" t="s">
        <v>242</v>
      </c>
      <c r="Z335">
        <v>38423.963133640602</v>
      </c>
      <c r="AA335">
        <v>2015</v>
      </c>
      <c r="AB335">
        <v>0.65261914989767</v>
      </c>
      <c r="AC335">
        <v>0.217</v>
      </c>
      <c r="AD335">
        <v>3.4957429959222801</v>
      </c>
    </row>
    <row r="336" spans="1:30" x14ac:dyDescent="0.3">
      <c r="A336">
        <v>2014</v>
      </c>
      <c r="B336">
        <v>58</v>
      </c>
      <c r="C336" t="s">
        <v>240</v>
      </c>
      <c r="D336">
        <v>106124</v>
      </c>
      <c r="E336">
        <v>-2.6</v>
      </c>
      <c r="F336">
        <v>5620</v>
      </c>
      <c r="G336">
        <v>-2.8</v>
      </c>
      <c r="H336">
        <v>137970.29999999999</v>
      </c>
      <c r="I336">
        <v>38048.2019</v>
      </c>
      <c r="J336">
        <v>0</v>
      </c>
      <c r="K336">
        <v>5.3018999999999998</v>
      </c>
      <c r="L336">
        <v>4.1018999999999997</v>
      </c>
      <c r="M336">
        <v>14.8019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362000</v>
      </c>
      <c r="V336" t="s">
        <v>241</v>
      </c>
      <c r="W336" t="s">
        <v>90</v>
      </c>
      <c r="Y336" t="s">
        <v>242</v>
      </c>
      <c r="Z336">
        <v>37968.098690033003</v>
      </c>
      <c r="AA336">
        <v>2013</v>
      </c>
      <c r="AB336">
        <v>0.76918003367391397</v>
      </c>
      <c r="AC336">
        <v>0.14799999999999999</v>
      </c>
      <c r="AD336">
        <v>3.6338480134697502</v>
      </c>
    </row>
    <row r="337" spans="1:30" x14ac:dyDescent="0.3">
      <c r="A337">
        <v>2012</v>
      </c>
      <c r="B337">
        <v>443</v>
      </c>
      <c r="C337" t="s">
        <v>254</v>
      </c>
      <c r="D337">
        <v>24397.200000000001</v>
      </c>
      <c r="E337">
        <v>5.8</v>
      </c>
      <c r="F337">
        <v>4031.9</v>
      </c>
      <c r="G337">
        <v>18.600000000000001</v>
      </c>
      <c r="H337">
        <v>46695.8</v>
      </c>
      <c r="I337">
        <v>27816.9</v>
      </c>
      <c r="J337">
        <v>0</v>
      </c>
      <c r="K337">
        <v>16.5</v>
      </c>
      <c r="L337">
        <v>8.6</v>
      </c>
      <c r="M337">
        <v>14.5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84183</v>
      </c>
      <c r="V337" t="s">
        <v>258</v>
      </c>
      <c r="W337" t="s">
        <v>55</v>
      </c>
      <c r="Y337" t="s">
        <v>255</v>
      </c>
      <c r="Z337">
        <v>27806.206896551699</v>
      </c>
      <c r="AA337">
        <v>2011</v>
      </c>
      <c r="AB337">
        <v>0.52247097169338597</v>
      </c>
      <c r="AC337">
        <v>0.14499999999999999</v>
      </c>
      <c r="AD337">
        <v>1.6793300925122201</v>
      </c>
    </row>
    <row r="338" spans="1:30" x14ac:dyDescent="0.3">
      <c r="A338">
        <v>2012</v>
      </c>
      <c r="B338">
        <v>77</v>
      </c>
      <c r="C338" t="s">
        <v>163</v>
      </c>
      <c r="D338">
        <v>80831.8</v>
      </c>
      <c r="E338">
        <v>5.3</v>
      </c>
      <c r="F338">
        <v>2958.1</v>
      </c>
      <c r="G338">
        <v>-18</v>
      </c>
      <c r="H338">
        <v>156596.70000000001</v>
      </c>
      <c r="I338">
        <v>30905.9</v>
      </c>
      <c r="J338">
        <v>0</v>
      </c>
      <c r="K338">
        <v>3.7</v>
      </c>
      <c r="L338">
        <v>1.9</v>
      </c>
      <c r="M338">
        <v>9.6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221000</v>
      </c>
      <c r="V338" t="s">
        <v>164</v>
      </c>
      <c r="W338" t="s">
        <v>44</v>
      </c>
      <c r="Y338" t="s">
        <v>165</v>
      </c>
      <c r="Z338">
        <v>30813.541666666701</v>
      </c>
      <c r="AA338">
        <v>2011</v>
      </c>
      <c r="AB338">
        <v>0.51617818255429404</v>
      </c>
      <c r="AC338">
        <v>9.6000000000000002E-2</v>
      </c>
      <c r="AD338">
        <v>5.0820740340083201</v>
      </c>
    </row>
    <row r="339" spans="1:30" x14ac:dyDescent="0.3">
      <c r="A339">
        <v>2023</v>
      </c>
      <c r="B339">
        <v>302</v>
      </c>
      <c r="C339" t="s">
        <v>135</v>
      </c>
      <c r="D339">
        <v>47550.400000000001</v>
      </c>
      <c r="E339">
        <v>-10.199999999999999</v>
      </c>
      <c r="F339">
        <v>12315.7</v>
      </c>
      <c r="G339">
        <v>407.9</v>
      </c>
      <c r="H339">
        <v>169051.3</v>
      </c>
      <c r="I339">
        <v>68914.7</v>
      </c>
      <c r="J339">
        <v>0</v>
      </c>
      <c r="K339">
        <v>25.9</v>
      </c>
      <c r="L339">
        <v>7.3</v>
      </c>
      <c r="M339">
        <v>17.899999999999999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98103</v>
      </c>
      <c r="V339" t="s">
        <v>136</v>
      </c>
      <c r="W339" t="s">
        <v>44</v>
      </c>
      <c r="Y339" t="s">
        <v>137</v>
      </c>
      <c r="Z339">
        <v>68802.793296089396</v>
      </c>
      <c r="AA339">
        <v>2022</v>
      </c>
      <c r="AB339">
        <v>0.281277931610109</v>
      </c>
      <c r="AC339">
        <v>0.17899999999999999</v>
      </c>
      <c r="AD339">
        <v>2.4570412319234798</v>
      </c>
    </row>
    <row r="340" spans="1:30" x14ac:dyDescent="0.3">
      <c r="A340">
        <v>2022</v>
      </c>
      <c r="B340">
        <v>247</v>
      </c>
      <c r="C340" t="s">
        <v>135</v>
      </c>
      <c r="D340">
        <v>52931.7</v>
      </c>
      <c r="E340">
        <v>3.7</v>
      </c>
      <c r="F340">
        <v>2424.8000000000002</v>
      </c>
      <c r="G340">
        <v>1757.7</v>
      </c>
      <c r="H340">
        <v>170749.3</v>
      </c>
      <c r="I340">
        <v>60653.4</v>
      </c>
      <c r="J340">
        <v>0</v>
      </c>
      <c r="K340">
        <v>4.5999999999999996</v>
      </c>
      <c r="L340">
        <v>1.4</v>
      </c>
      <c r="M340">
        <v>4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96941</v>
      </c>
      <c r="V340" t="s">
        <v>136</v>
      </c>
      <c r="W340" t="s">
        <v>44</v>
      </c>
      <c r="Y340" t="s">
        <v>137</v>
      </c>
      <c r="Z340">
        <v>60620</v>
      </c>
      <c r="AA340">
        <v>2021</v>
      </c>
      <c r="AB340">
        <v>0.30999658563754001</v>
      </c>
      <c r="AC340">
        <v>0.04</v>
      </c>
      <c r="AD340">
        <v>2.81671560541076</v>
      </c>
    </row>
    <row r="341" spans="1:30" x14ac:dyDescent="0.3">
      <c r="A341">
        <v>2021</v>
      </c>
      <c r="B341">
        <v>436</v>
      </c>
      <c r="C341" t="s">
        <v>219</v>
      </c>
      <c r="D341">
        <v>27863.3</v>
      </c>
      <c r="E341">
        <v>-4.2</v>
      </c>
      <c r="F341">
        <v>1922.8</v>
      </c>
      <c r="G341">
        <v>-12.7</v>
      </c>
      <c r="H341">
        <v>70169.600000000006</v>
      </c>
      <c r="I341">
        <v>16107.7</v>
      </c>
      <c r="J341">
        <v>0</v>
      </c>
      <c r="K341">
        <v>6.9</v>
      </c>
      <c r="L341">
        <v>2.7</v>
      </c>
      <c r="M341">
        <v>11.9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99700</v>
      </c>
      <c r="V341" t="s">
        <v>259</v>
      </c>
      <c r="W341" t="s">
        <v>44</v>
      </c>
      <c r="Y341" t="s">
        <v>260</v>
      </c>
      <c r="Z341">
        <v>16157.9831932773</v>
      </c>
      <c r="AA341">
        <v>2020</v>
      </c>
      <c r="AB341">
        <v>0.39708506247719799</v>
      </c>
      <c r="AC341">
        <v>0.11899999999999999</v>
      </c>
      <c r="AD341">
        <v>4.3427201997087597</v>
      </c>
    </row>
    <row r="342" spans="1:30" x14ac:dyDescent="0.3">
      <c r="A342">
        <v>2020</v>
      </c>
      <c r="B342">
        <v>405</v>
      </c>
      <c r="C342" t="s">
        <v>219</v>
      </c>
      <c r="D342">
        <v>30743</v>
      </c>
      <c r="E342">
        <v>-2.2000000000000002</v>
      </c>
      <c r="F342">
        <v>2833.1</v>
      </c>
      <c r="G342">
        <v>5.2</v>
      </c>
      <c r="H342">
        <v>60302.7</v>
      </c>
      <c r="I342">
        <v>13245.6</v>
      </c>
      <c r="J342">
        <v>0</v>
      </c>
      <c r="K342">
        <v>9.1999999999999993</v>
      </c>
      <c r="L342">
        <v>4.7</v>
      </c>
      <c r="M342">
        <v>21.4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106700</v>
      </c>
      <c r="V342" t="s">
        <v>261</v>
      </c>
      <c r="W342" t="s">
        <v>44</v>
      </c>
      <c r="Y342" t="s">
        <v>262</v>
      </c>
      <c r="Z342">
        <v>13238.785046729001</v>
      </c>
      <c r="AA342">
        <v>2019</v>
      </c>
      <c r="AB342">
        <v>0.50981133514751398</v>
      </c>
      <c r="AC342">
        <v>0.214</v>
      </c>
      <c r="AD342">
        <v>4.5550025766827904</v>
      </c>
    </row>
    <row r="343" spans="1:30" x14ac:dyDescent="0.3">
      <c r="A343">
        <v>2020</v>
      </c>
      <c r="B343">
        <v>217</v>
      </c>
      <c r="C343" t="s">
        <v>135</v>
      </c>
      <c r="D343">
        <v>50532.4</v>
      </c>
      <c r="E343">
        <v>-15.6</v>
      </c>
      <c r="F343">
        <v>-9281.1</v>
      </c>
      <c r="G343">
        <v>-425.7</v>
      </c>
      <c r="H343">
        <v>160391.20000000001</v>
      </c>
      <c r="I343">
        <v>69852.100000000006</v>
      </c>
      <c r="J343">
        <v>0</v>
      </c>
      <c r="K343">
        <v>-18.399999999999999</v>
      </c>
      <c r="L343">
        <v>-5.8</v>
      </c>
      <c r="M343">
        <v>-13.3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98996</v>
      </c>
      <c r="V343" t="s">
        <v>136</v>
      </c>
      <c r="W343" t="s">
        <v>44</v>
      </c>
      <c r="Y343" t="s">
        <v>137</v>
      </c>
      <c r="Z343">
        <v>69782.706766917298</v>
      </c>
      <c r="AA343">
        <v>2019</v>
      </c>
      <c r="AB343">
        <v>0.31505718518222903</v>
      </c>
      <c r="AC343">
        <v>-0.13300000000000001</v>
      </c>
      <c r="AD343">
        <v>2.2984376420898398</v>
      </c>
    </row>
    <row r="344" spans="1:30" x14ac:dyDescent="0.3">
      <c r="A344">
        <v>2019</v>
      </c>
      <c r="B344">
        <v>405</v>
      </c>
      <c r="C344" t="s">
        <v>219</v>
      </c>
      <c r="D344">
        <v>30743</v>
      </c>
      <c r="E344">
        <v>-2.2000000000000002</v>
      </c>
      <c r="F344">
        <v>2833.1</v>
      </c>
      <c r="G344">
        <v>5.2</v>
      </c>
      <c r="H344">
        <v>60302.7</v>
      </c>
      <c r="I344">
        <v>13245.6</v>
      </c>
      <c r="J344">
        <v>0</v>
      </c>
      <c r="K344">
        <v>9.1999999999999993</v>
      </c>
      <c r="L344">
        <v>4.7</v>
      </c>
      <c r="M344">
        <v>21.4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106700</v>
      </c>
      <c r="V344" t="s">
        <v>261</v>
      </c>
      <c r="W344" t="s">
        <v>44</v>
      </c>
      <c r="Y344" t="s">
        <v>262</v>
      </c>
      <c r="Z344">
        <v>13238.785046729001</v>
      </c>
      <c r="AA344">
        <v>2018</v>
      </c>
      <c r="AB344">
        <v>0.50981133514751398</v>
      </c>
      <c r="AC344">
        <v>0.214</v>
      </c>
      <c r="AD344">
        <v>4.5550025766827904</v>
      </c>
    </row>
    <row r="345" spans="1:30" x14ac:dyDescent="0.3">
      <c r="A345">
        <v>2019</v>
      </c>
      <c r="B345">
        <v>217</v>
      </c>
      <c r="C345" t="s">
        <v>135</v>
      </c>
      <c r="D345">
        <v>50532.4</v>
      </c>
      <c r="E345">
        <v>-15.6</v>
      </c>
      <c r="F345">
        <v>-9281.1</v>
      </c>
      <c r="G345">
        <v>-425.7</v>
      </c>
      <c r="H345">
        <v>160391.20000000001</v>
      </c>
      <c r="I345">
        <v>69852.100000000006</v>
      </c>
      <c r="J345">
        <v>0</v>
      </c>
      <c r="K345">
        <v>-18.399999999999999</v>
      </c>
      <c r="L345">
        <v>-5.8</v>
      </c>
      <c r="M345">
        <v>-13.3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98996</v>
      </c>
      <c r="V345" t="s">
        <v>136</v>
      </c>
      <c r="W345" t="s">
        <v>44</v>
      </c>
      <c r="Y345" t="s">
        <v>137</v>
      </c>
      <c r="Z345">
        <v>69782.706766917298</v>
      </c>
      <c r="AA345">
        <v>2018</v>
      </c>
      <c r="AB345">
        <v>0.31505718518222903</v>
      </c>
      <c r="AC345">
        <v>-0.13300000000000001</v>
      </c>
      <c r="AD345">
        <v>2.2984376420898398</v>
      </c>
    </row>
    <row r="346" spans="1:30" x14ac:dyDescent="0.3">
      <c r="A346">
        <v>2018</v>
      </c>
      <c r="B346">
        <v>405</v>
      </c>
      <c r="C346" t="s">
        <v>219</v>
      </c>
      <c r="D346">
        <v>30743</v>
      </c>
      <c r="E346">
        <v>-2.2000000000000002</v>
      </c>
      <c r="F346">
        <v>2833.1</v>
      </c>
      <c r="G346">
        <v>5.2</v>
      </c>
      <c r="H346">
        <v>60302.7</v>
      </c>
      <c r="I346">
        <v>13245.6</v>
      </c>
      <c r="J346">
        <v>0</v>
      </c>
      <c r="K346">
        <v>9.1999999999999993</v>
      </c>
      <c r="L346">
        <v>4.7</v>
      </c>
      <c r="M346">
        <v>21.4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106700</v>
      </c>
      <c r="V346" t="s">
        <v>261</v>
      </c>
      <c r="W346" t="s">
        <v>44</v>
      </c>
      <c r="Y346" t="s">
        <v>262</v>
      </c>
      <c r="Z346">
        <v>13238.785046729001</v>
      </c>
      <c r="AA346">
        <v>2017</v>
      </c>
      <c r="AB346">
        <v>0.50981133514751398</v>
      </c>
      <c r="AC346">
        <v>0.214</v>
      </c>
      <c r="AD346">
        <v>4.5550025766827904</v>
      </c>
    </row>
    <row r="347" spans="1:30" x14ac:dyDescent="0.3">
      <c r="A347">
        <v>2018</v>
      </c>
      <c r="B347">
        <v>217</v>
      </c>
      <c r="C347" t="s">
        <v>135</v>
      </c>
      <c r="D347">
        <v>50532.4</v>
      </c>
      <c r="E347">
        <v>-15.6</v>
      </c>
      <c r="F347">
        <v>-9281.1</v>
      </c>
      <c r="G347">
        <v>-425.7</v>
      </c>
      <c r="H347">
        <v>160391.20000000001</v>
      </c>
      <c r="I347">
        <v>69852.100000000006</v>
      </c>
      <c r="J347">
        <v>0</v>
      </c>
      <c r="K347">
        <v>-18.399999999999999</v>
      </c>
      <c r="L347">
        <v>-5.8</v>
      </c>
      <c r="M347">
        <v>-13.3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98996</v>
      </c>
      <c r="V347" t="s">
        <v>136</v>
      </c>
      <c r="W347" t="s">
        <v>44</v>
      </c>
      <c r="Y347" t="s">
        <v>137</v>
      </c>
      <c r="Z347">
        <v>69782.706766917298</v>
      </c>
      <c r="AA347">
        <v>2017</v>
      </c>
      <c r="AB347">
        <v>0.31505718518222903</v>
      </c>
      <c r="AC347">
        <v>-0.13300000000000001</v>
      </c>
      <c r="AD347">
        <v>2.2984376420898398</v>
      </c>
    </row>
    <row r="348" spans="1:30" x14ac:dyDescent="0.3">
      <c r="A348">
        <v>2017</v>
      </c>
      <c r="B348">
        <v>346</v>
      </c>
      <c r="C348" t="s">
        <v>219</v>
      </c>
      <c r="D348">
        <v>31333.4</v>
      </c>
      <c r="E348">
        <v>9.3000000000000007</v>
      </c>
      <c r="F348">
        <v>2484.6</v>
      </c>
      <c r="G348">
        <v>-36.200000000000003</v>
      </c>
      <c r="H348">
        <v>52971.6</v>
      </c>
      <c r="I348">
        <v>10420.1</v>
      </c>
      <c r="J348">
        <v>0</v>
      </c>
      <c r="K348">
        <v>7.9</v>
      </c>
      <c r="L348">
        <v>4.7</v>
      </c>
      <c r="M348">
        <v>23.8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106400</v>
      </c>
      <c r="V348" t="s">
        <v>261</v>
      </c>
      <c r="W348" t="s">
        <v>44</v>
      </c>
      <c r="Y348" t="s">
        <v>263</v>
      </c>
      <c r="Z348">
        <v>10439.4957983193</v>
      </c>
      <c r="AA348">
        <v>2016</v>
      </c>
      <c r="AB348">
        <v>0.59151318819895904</v>
      </c>
      <c r="AC348">
        <v>0.23799999999999999</v>
      </c>
      <c r="AD348">
        <v>5.0741531031151901</v>
      </c>
    </row>
    <row r="349" spans="1:30" x14ac:dyDescent="0.3">
      <c r="A349">
        <v>2016</v>
      </c>
      <c r="B349">
        <v>369</v>
      </c>
      <c r="C349" t="s">
        <v>219</v>
      </c>
      <c r="D349">
        <v>28670.2</v>
      </c>
      <c r="E349">
        <v>-0.9</v>
      </c>
      <c r="F349">
        <v>3896.6</v>
      </c>
      <c r="G349">
        <v>13.4</v>
      </c>
      <c r="H349">
        <v>61208.9</v>
      </c>
      <c r="I349">
        <v>14917.1</v>
      </c>
      <c r="J349">
        <v>0</v>
      </c>
      <c r="K349">
        <v>13.6</v>
      </c>
      <c r="L349">
        <v>6.4</v>
      </c>
      <c r="M349">
        <v>26.1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102500</v>
      </c>
      <c r="V349" t="s">
        <v>261</v>
      </c>
      <c r="W349" t="s">
        <v>44</v>
      </c>
      <c r="Y349" t="s">
        <v>221</v>
      </c>
      <c r="Z349">
        <v>14929.501915708801</v>
      </c>
      <c r="AA349">
        <v>2015</v>
      </c>
      <c r="AB349">
        <v>0.46839920338382202</v>
      </c>
      <c r="AC349">
        <v>0.26100000000000001</v>
      </c>
      <c r="AD349">
        <v>4.0998621618847197</v>
      </c>
    </row>
    <row r="350" spans="1:30" x14ac:dyDescent="0.3">
      <c r="A350">
        <v>2016</v>
      </c>
      <c r="B350">
        <v>133</v>
      </c>
      <c r="C350" t="s">
        <v>135</v>
      </c>
      <c r="D350">
        <v>61690.3</v>
      </c>
      <c r="E350">
        <v>-9.1999999999999993</v>
      </c>
      <c r="F350">
        <v>-6058.7</v>
      </c>
      <c r="G350">
        <v>-165.4</v>
      </c>
      <c r="H350">
        <v>192158.9</v>
      </c>
      <c r="I350">
        <v>94683.3</v>
      </c>
      <c r="J350">
        <v>0</v>
      </c>
      <c r="K350">
        <v>-9.8000000000000007</v>
      </c>
      <c r="L350">
        <v>-3.2</v>
      </c>
      <c r="M350">
        <v>-6.4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111684</v>
      </c>
      <c r="V350" t="s">
        <v>136</v>
      </c>
      <c r="W350" t="s">
        <v>44</v>
      </c>
      <c r="Y350" t="s">
        <v>137</v>
      </c>
      <c r="Z350">
        <v>94667.1875</v>
      </c>
      <c r="AA350">
        <v>2015</v>
      </c>
      <c r="AB350">
        <v>0.32103795348537101</v>
      </c>
      <c r="AC350">
        <v>-6.4000000000000001E-2</v>
      </c>
      <c r="AD350">
        <v>2.0298363675375901</v>
      </c>
    </row>
    <row r="351" spans="1:30" x14ac:dyDescent="0.3">
      <c r="A351">
        <v>2014</v>
      </c>
      <c r="B351">
        <v>141</v>
      </c>
      <c r="C351" t="s">
        <v>135</v>
      </c>
      <c r="D351">
        <v>65986.5</v>
      </c>
      <c r="E351">
        <v>-6</v>
      </c>
      <c r="F351">
        <v>94132</v>
      </c>
      <c r="G351">
        <v>13794.5</v>
      </c>
      <c r="H351">
        <v>203095.1</v>
      </c>
      <c r="I351">
        <v>118019.80190000001</v>
      </c>
      <c r="J351">
        <v>0</v>
      </c>
      <c r="K351">
        <v>142.70189999999999</v>
      </c>
      <c r="L351">
        <v>46.301900000000003</v>
      </c>
      <c r="M351">
        <v>79.801900000000003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89146</v>
      </c>
      <c r="V351" t="s">
        <v>181</v>
      </c>
      <c r="W351" t="s">
        <v>44</v>
      </c>
      <c r="Y351" t="s">
        <v>137</v>
      </c>
      <c r="Z351">
        <v>117957.09124720099</v>
      </c>
      <c r="AA351">
        <v>2013</v>
      </c>
      <c r="AB351">
        <v>0.32490444131837698</v>
      </c>
      <c r="AC351">
        <v>0.79800000000000004</v>
      </c>
      <c r="AD351">
        <v>1.72177100886946</v>
      </c>
    </row>
    <row r="352" spans="1:30" x14ac:dyDescent="0.3">
      <c r="A352">
        <v>2012</v>
      </c>
      <c r="B352">
        <v>346</v>
      </c>
      <c r="C352" t="s">
        <v>219</v>
      </c>
      <c r="D352">
        <v>31333.4</v>
      </c>
      <c r="E352">
        <v>9.3000000000000007</v>
      </c>
      <c r="F352">
        <v>2484.6</v>
      </c>
      <c r="G352">
        <v>-36.200000000000003</v>
      </c>
      <c r="H352">
        <v>52971.6</v>
      </c>
      <c r="I352">
        <v>10420.1</v>
      </c>
      <c r="J352">
        <v>0</v>
      </c>
      <c r="K352">
        <v>7.9</v>
      </c>
      <c r="L352">
        <v>4.7</v>
      </c>
      <c r="M352">
        <v>23.8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106400</v>
      </c>
      <c r="V352" t="s">
        <v>220</v>
      </c>
      <c r="W352" t="s">
        <v>44</v>
      </c>
      <c r="Y352" t="s">
        <v>263</v>
      </c>
      <c r="Z352">
        <v>10439.4957983193</v>
      </c>
      <c r="AA352">
        <v>2011</v>
      </c>
      <c r="AB352">
        <v>0.59151318819895904</v>
      </c>
      <c r="AC352">
        <v>0.23799999999999999</v>
      </c>
      <c r="AD352">
        <v>5.0741531031151901</v>
      </c>
    </row>
    <row r="353" spans="1:30" x14ac:dyDescent="0.3">
      <c r="A353">
        <v>2023</v>
      </c>
      <c r="B353">
        <v>419</v>
      </c>
      <c r="C353" t="s">
        <v>264</v>
      </c>
      <c r="D353">
        <v>36200.699999999997</v>
      </c>
      <c r="E353">
        <v>2.6</v>
      </c>
      <c r="F353">
        <v>2186.9</v>
      </c>
      <c r="G353">
        <v>8</v>
      </c>
      <c r="H353">
        <v>34193.9</v>
      </c>
      <c r="I353">
        <v>13545</v>
      </c>
      <c r="J353">
        <v>0</v>
      </c>
      <c r="K353">
        <v>6</v>
      </c>
      <c r="L353">
        <v>6.4</v>
      </c>
      <c r="M353">
        <v>16.100000000000001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109586</v>
      </c>
      <c r="V353" t="s">
        <v>265</v>
      </c>
      <c r="W353" t="s">
        <v>90</v>
      </c>
      <c r="Y353" t="s">
        <v>266</v>
      </c>
      <c r="Z353">
        <v>13583.2298136646</v>
      </c>
      <c r="AA353">
        <v>2022</v>
      </c>
      <c r="AB353">
        <v>1.0586888304639099</v>
      </c>
      <c r="AC353">
        <v>0.161</v>
      </c>
      <c r="AD353">
        <v>2.5173615163016101</v>
      </c>
    </row>
    <row r="354" spans="1:30" x14ac:dyDescent="0.3">
      <c r="A354">
        <v>2023</v>
      </c>
      <c r="B354">
        <v>360</v>
      </c>
      <c r="C354" t="s">
        <v>138</v>
      </c>
      <c r="D354">
        <v>41631.300000000003</v>
      </c>
      <c r="E354">
        <v>-18.2</v>
      </c>
      <c r="F354">
        <v>367.8</v>
      </c>
      <c r="G354">
        <v>-87.7</v>
      </c>
      <c r="H354">
        <v>39654.800000000003</v>
      </c>
      <c r="I354">
        <v>20828.5</v>
      </c>
      <c r="J354">
        <v>0</v>
      </c>
      <c r="K354">
        <v>0.9</v>
      </c>
      <c r="L354">
        <v>0.9</v>
      </c>
      <c r="M354">
        <v>1.8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32543</v>
      </c>
      <c r="V354" t="s">
        <v>139</v>
      </c>
      <c r="W354" t="s">
        <v>90</v>
      </c>
      <c r="Y354" t="s">
        <v>267</v>
      </c>
      <c r="Z354">
        <v>20433.333333333299</v>
      </c>
      <c r="AA354">
        <v>2022</v>
      </c>
      <c r="AB354">
        <v>1.0498426420004601</v>
      </c>
      <c r="AC354">
        <v>1.7999999999999999E-2</v>
      </c>
      <c r="AD354">
        <v>1.9406916802610099</v>
      </c>
    </row>
    <row r="355" spans="1:30" x14ac:dyDescent="0.3">
      <c r="A355">
        <v>2023</v>
      </c>
      <c r="B355">
        <v>217</v>
      </c>
      <c r="C355" t="s">
        <v>141</v>
      </c>
      <c r="D355">
        <v>61946.9</v>
      </c>
      <c r="E355">
        <v>-13.5</v>
      </c>
      <c r="F355">
        <v>1607.7</v>
      </c>
      <c r="G355">
        <v>-20.8</v>
      </c>
      <c r="H355">
        <v>38920.1</v>
      </c>
      <c r="I355">
        <v>5587.6</v>
      </c>
      <c r="J355">
        <v>0</v>
      </c>
      <c r="K355">
        <v>2.6</v>
      </c>
      <c r="L355">
        <v>4.0999999999999996</v>
      </c>
      <c r="M355">
        <v>28.8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77000</v>
      </c>
      <c r="V355" t="s">
        <v>142</v>
      </c>
      <c r="W355" t="s">
        <v>30</v>
      </c>
      <c r="Y355" t="s">
        <v>143</v>
      </c>
      <c r="Z355">
        <v>5582.2916666666697</v>
      </c>
      <c r="AA355">
        <v>2022</v>
      </c>
      <c r="AB355">
        <v>1.59164287861542</v>
      </c>
      <c r="AC355">
        <v>0.28799999999999998</v>
      </c>
      <c r="AD355">
        <v>6.9720649374883399</v>
      </c>
    </row>
    <row r="356" spans="1:30" x14ac:dyDescent="0.3">
      <c r="A356">
        <v>2023</v>
      </c>
      <c r="B356">
        <v>147</v>
      </c>
      <c r="C356" t="s">
        <v>268</v>
      </c>
      <c r="D356">
        <v>82439.600000000006</v>
      </c>
      <c r="E356">
        <v>-5.0999999999999996</v>
      </c>
      <c r="F356">
        <v>27984.2</v>
      </c>
      <c r="G356">
        <v>-19.7</v>
      </c>
      <c r="H356">
        <v>228807.5</v>
      </c>
      <c r="I356">
        <v>104591.9</v>
      </c>
      <c r="J356">
        <v>0</v>
      </c>
      <c r="K356">
        <v>33.9</v>
      </c>
      <c r="L356">
        <v>12.2</v>
      </c>
      <c r="M356">
        <v>26.8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108436</v>
      </c>
      <c r="V356" t="s">
        <v>269</v>
      </c>
      <c r="W356" t="s">
        <v>34</v>
      </c>
      <c r="Y356" t="s">
        <v>270</v>
      </c>
      <c r="Z356">
        <v>104418.656716418</v>
      </c>
      <c r="AA356">
        <v>2022</v>
      </c>
      <c r="AB356">
        <v>0.360301126492794</v>
      </c>
      <c r="AC356">
        <v>0.26800000000000002</v>
      </c>
      <c r="AD356">
        <v>2.1912511345687902</v>
      </c>
    </row>
    <row r="357" spans="1:30" x14ac:dyDescent="0.3">
      <c r="A357">
        <v>2023</v>
      </c>
      <c r="B357">
        <v>68</v>
      </c>
      <c r="C357" t="s">
        <v>271</v>
      </c>
      <c r="D357">
        <v>126812.5</v>
      </c>
      <c r="E357">
        <v>-4.5999999999999996</v>
      </c>
      <c r="F357">
        <v>10625</v>
      </c>
      <c r="G357">
        <v>9.5</v>
      </c>
      <c r="H357">
        <v>255263</v>
      </c>
      <c r="I357">
        <v>144105.20000000001</v>
      </c>
      <c r="J357">
        <v>0</v>
      </c>
      <c r="K357">
        <v>8.4</v>
      </c>
      <c r="L357">
        <v>4.2</v>
      </c>
      <c r="M357">
        <v>7.4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235216</v>
      </c>
      <c r="V357" t="s">
        <v>272</v>
      </c>
      <c r="W357" t="s">
        <v>34</v>
      </c>
      <c r="Y357" t="s">
        <v>273</v>
      </c>
      <c r="Z357">
        <v>143581.08108108101</v>
      </c>
      <c r="AA357">
        <v>2022</v>
      </c>
      <c r="AB357">
        <v>0.49679154440714102</v>
      </c>
      <c r="AC357">
        <v>7.3999999999999996E-2</v>
      </c>
      <c r="AD357">
        <v>1.7778317176470599</v>
      </c>
    </row>
    <row r="358" spans="1:30" x14ac:dyDescent="0.3">
      <c r="A358">
        <v>2022</v>
      </c>
      <c r="B358">
        <v>46</v>
      </c>
      <c r="C358" t="s">
        <v>129</v>
      </c>
      <c r="D358">
        <v>147526.20000000001</v>
      </c>
      <c r="E358">
        <v>36.5</v>
      </c>
      <c r="F358">
        <v>-551.79999999999995</v>
      </c>
      <c r="G358">
        <v>-107.7</v>
      </c>
      <c r="H358">
        <v>78164.2</v>
      </c>
      <c r="I358">
        <v>32888.6</v>
      </c>
      <c r="J358">
        <v>0</v>
      </c>
      <c r="K358">
        <v>-0.4</v>
      </c>
      <c r="L358">
        <v>-0.7</v>
      </c>
      <c r="M358">
        <v>-1.7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385357</v>
      </c>
      <c r="V358" t="s">
        <v>130</v>
      </c>
      <c r="W358" t="s">
        <v>34</v>
      </c>
      <c r="Y358" t="s">
        <v>131</v>
      </c>
      <c r="Z358">
        <v>32458.823529411799</v>
      </c>
      <c r="AA358">
        <v>2021</v>
      </c>
      <c r="AB358">
        <v>1.8873883440245001</v>
      </c>
      <c r="AC358">
        <v>-1.7000000000000001E-2</v>
      </c>
      <c r="AD358">
        <v>2.4081032982964801</v>
      </c>
    </row>
    <row r="359" spans="1:30" x14ac:dyDescent="0.3">
      <c r="A359">
        <v>2022</v>
      </c>
      <c r="B359">
        <v>405</v>
      </c>
      <c r="C359" t="s">
        <v>264</v>
      </c>
      <c r="D359">
        <v>35278.199999999997</v>
      </c>
      <c r="E359">
        <v>16.100000000000001</v>
      </c>
      <c r="F359">
        <v>2025.8</v>
      </c>
      <c r="G359">
        <v>57.5</v>
      </c>
      <c r="H359">
        <v>34234.300000000003</v>
      </c>
      <c r="I359">
        <v>12564.5</v>
      </c>
      <c r="J359">
        <v>0</v>
      </c>
      <c r="K359">
        <v>5.7</v>
      </c>
      <c r="L359">
        <v>5.9</v>
      </c>
      <c r="M359">
        <v>16.100000000000001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104874</v>
      </c>
      <c r="V359" t="s">
        <v>265</v>
      </c>
      <c r="W359" t="s">
        <v>90</v>
      </c>
      <c r="Y359" t="s">
        <v>274</v>
      </c>
      <c r="Z359">
        <v>12582.608695652199</v>
      </c>
      <c r="AA359">
        <v>2021</v>
      </c>
      <c r="AB359">
        <v>1.0304928098427599</v>
      </c>
      <c r="AC359">
        <v>0.161</v>
      </c>
      <c r="AD359">
        <v>2.7207633033863199</v>
      </c>
    </row>
    <row r="360" spans="1:30" x14ac:dyDescent="0.3">
      <c r="A360">
        <v>2022</v>
      </c>
      <c r="B360">
        <v>171</v>
      </c>
      <c r="C360" t="s">
        <v>141</v>
      </c>
      <c r="D360">
        <v>71618.2</v>
      </c>
      <c r="E360">
        <v>17.899999999999999</v>
      </c>
      <c r="F360">
        <v>2029.8</v>
      </c>
      <c r="G360">
        <v>72.3</v>
      </c>
      <c r="H360">
        <v>44510.400000000001</v>
      </c>
      <c r="I360">
        <v>4990.6000000000004</v>
      </c>
      <c r="J360">
        <v>0</v>
      </c>
      <c r="K360">
        <v>2.8</v>
      </c>
      <c r="L360">
        <v>4.5999999999999996</v>
      </c>
      <c r="M360">
        <v>40.700000000000003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75000</v>
      </c>
      <c r="V360" t="s">
        <v>142</v>
      </c>
      <c r="W360" t="s">
        <v>30</v>
      </c>
      <c r="Y360" t="s">
        <v>143</v>
      </c>
      <c r="Z360">
        <v>4987.2235872235897</v>
      </c>
      <c r="AA360">
        <v>2021</v>
      </c>
      <c r="AB360">
        <v>1.6090217117797201</v>
      </c>
      <c r="AC360">
        <v>0.40699999999999997</v>
      </c>
      <c r="AD360">
        <v>8.9248856044930491</v>
      </c>
    </row>
    <row r="361" spans="1:30" x14ac:dyDescent="0.3">
      <c r="A361">
        <v>2022</v>
      </c>
      <c r="B361">
        <v>266</v>
      </c>
      <c r="C361" t="s">
        <v>138</v>
      </c>
      <c r="D361">
        <v>50898.1</v>
      </c>
      <c r="E361">
        <v>42.8</v>
      </c>
      <c r="F361">
        <v>2998.2</v>
      </c>
      <c r="G361">
        <v>1.6</v>
      </c>
      <c r="H361">
        <v>46109.5</v>
      </c>
      <c r="I361">
        <v>21601.200000000001</v>
      </c>
      <c r="J361">
        <v>0</v>
      </c>
      <c r="K361">
        <v>5.9</v>
      </c>
      <c r="L361">
        <v>6.5</v>
      </c>
      <c r="M361">
        <v>13.9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33427</v>
      </c>
      <c r="V361" t="s">
        <v>139</v>
      </c>
      <c r="W361" t="s">
        <v>90</v>
      </c>
      <c r="Y361" t="s">
        <v>267</v>
      </c>
      <c r="Z361">
        <v>21569.784172661901</v>
      </c>
      <c r="AA361">
        <v>2021</v>
      </c>
      <c r="AB361">
        <v>1.1038527852177999</v>
      </c>
      <c r="AC361">
        <v>0.13900000000000001</v>
      </c>
      <c r="AD361">
        <v>2.13768944700153</v>
      </c>
    </row>
    <row r="362" spans="1:30" x14ac:dyDescent="0.3">
      <c r="A362">
        <v>2022</v>
      </c>
      <c r="B362">
        <v>55</v>
      </c>
      <c r="C362" t="s">
        <v>271</v>
      </c>
      <c r="D362">
        <v>132935.70000000001</v>
      </c>
      <c r="E362">
        <v>25.6</v>
      </c>
      <c r="F362">
        <v>9700.5</v>
      </c>
      <c r="G362">
        <v>-56.4</v>
      </c>
      <c r="H362">
        <v>267466.90000000002</v>
      </c>
      <c r="I362">
        <v>149618.9</v>
      </c>
      <c r="J362">
        <v>0</v>
      </c>
      <c r="K362">
        <v>7.3</v>
      </c>
      <c r="L362">
        <v>3.6</v>
      </c>
      <c r="M362">
        <v>6.5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254941</v>
      </c>
      <c r="V362" t="s">
        <v>272</v>
      </c>
      <c r="W362" t="s">
        <v>34</v>
      </c>
      <c r="Y362" t="s">
        <v>273</v>
      </c>
      <c r="Z362">
        <v>149238.461538462</v>
      </c>
      <c r="AA362">
        <v>2021</v>
      </c>
      <c r="AB362">
        <v>0.49701738794594802</v>
      </c>
      <c r="AC362">
        <v>6.5000000000000002E-2</v>
      </c>
      <c r="AD362">
        <v>1.7922115870316</v>
      </c>
    </row>
    <row r="363" spans="1:30" x14ac:dyDescent="0.3">
      <c r="A363">
        <v>2022</v>
      </c>
      <c r="B363">
        <v>121</v>
      </c>
      <c r="C363" t="s">
        <v>268</v>
      </c>
      <c r="D363">
        <v>86835.6</v>
      </c>
      <c r="E363">
        <v>24.3</v>
      </c>
      <c r="F363">
        <v>34854.400000000001</v>
      </c>
      <c r="G363">
        <v>50.5</v>
      </c>
      <c r="H363">
        <v>253831.6</v>
      </c>
      <c r="I363">
        <v>126934.2</v>
      </c>
      <c r="J363">
        <v>0</v>
      </c>
      <c r="K363">
        <v>40.1</v>
      </c>
      <c r="L363">
        <v>13.7</v>
      </c>
      <c r="M363">
        <v>27.5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112771</v>
      </c>
      <c r="V363" t="s">
        <v>269</v>
      </c>
      <c r="W363" t="s">
        <v>34</v>
      </c>
      <c r="Y363" t="s">
        <v>270</v>
      </c>
      <c r="Z363">
        <v>126743.272727273</v>
      </c>
      <c r="AA363">
        <v>2021</v>
      </c>
      <c r="AB363">
        <v>0.34209925005397301</v>
      </c>
      <c r="AC363">
        <v>0.27500000000000002</v>
      </c>
      <c r="AD363">
        <v>2.0027224683253801</v>
      </c>
    </row>
    <row r="364" spans="1:30" x14ac:dyDescent="0.3">
      <c r="A364">
        <v>2021</v>
      </c>
      <c r="B364">
        <v>405</v>
      </c>
      <c r="C364" t="s">
        <v>264</v>
      </c>
      <c r="D364">
        <v>30395</v>
      </c>
      <c r="E364">
        <v>4.5999999999999996</v>
      </c>
      <c r="F364">
        <v>1286.5</v>
      </c>
      <c r="G364">
        <v>8.3000000000000007</v>
      </c>
      <c r="H364">
        <v>31181.5</v>
      </c>
      <c r="I364">
        <v>10240.1</v>
      </c>
      <c r="J364">
        <v>0</v>
      </c>
      <c r="K364">
        <v>4.2</v>
      </c>
      <c r="L364">
        <v>4.0999999999999996</v>
      </c>
      <c r="M364">
        <v>12.6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99299</v>
      </c>
      <c r="V364" t="s">
        <v>275</v>
      </c>
      <c r="W364" t="s">
        <v>90</v>
      </c>
      <c r="Y364" t="s">
        <v>274</v>
      </c>
      <c r="Z364">
        <v>10210.317460317499</v>
      </c>
      <c r="AA364">
        <v>2020</v>
      </c>
      <c r="AB364">
        <v>0.97477671054952497</v>
      </c>
      <c r="AC364">
        <v>0.126</v>
      </c>
      <c r="AD364">
        <v>3.0539207151185401</v>
      </c>
    </row>
    <row r="365" spans="1:30" x14ac:dyDescent="0.3">
      <c r="A365">
        <v>2021</v>
      </c>
      <c r="B365">
        <v>338</v>
      </c>
      <c r="C365" t="s">
        <v>138</v>
      </c>
      <c r="D365">
        <v>35632.6</v>
      </c>
      <c r="E365">
        <v>19.600000000000001</v>
      </c>
      <c r="F365">
        <v>2950.1</v>
      </c>
      <c r="G365">
        <v>102.9</v>
      </c>
      <c r="H365">
        <v>38878.1</v>
      </c>
      <c r="I365">
        <v>18956.599999999999</v>
      </c>
      <c r="J365">
        <v>0</v>
      </c>
      <c r="K365">
        <v>8.3000000000000007</v>
      </c>
      <c r="L365">
        <v>7.6</v>
      </c>
      <c r="M365">
        <v>15.6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22074</v>
      </c>
      <c r="V365" t="s">
        <v>276</v>
      </c>
      <c r="W365" t="s">
        <v>34</v>
      </c>
      <c r="Y365" t="s">
        <v>267</v>
      </c>
      <c r="Z365">
        <v>18910.897435897401</v>
      </c>
      <c r="AA365">
        <v>2020</v>
      </c>
      <c r="AB365">
        <v>0.91652112628960802</v>
      </c>
      <c r="AC365">
        <v>0.156</v>
      </c>
      <c r="AD365">
        <v>2.0558569540015599</v>
      </c>
    </row>
    <row r="366" spans="1:30" x14ac:dyDescent="0.3">
      <c r="A366">
        <v>2021</v>
      </c>
      <c r="B366">
        <v>159</v>
      </c>
      <c r="C366" t="s">
        <v>141</v>
      </c>
      <c r="D366">
        <v>60742.3</v>
      </c>
      <c r="E366">
        <v>19.8</v>
      </c>
      <c r="F366">
        <v>1178.3</v>
      </c>
      <c r="G366">
        <v>77.2</v>
      </c>
      <c r="H366">
        <v>37990.6</v>
      </c>
      <c r="I366">
        <v>3559</v>
      </c>
      <c r="J366">
        <v>0</v>
      </c>
      <c r="K366">
        <v>1.9</v>
      </c>
      <c r="L366">
        <v>3.1</v>
      </c>
      <c r="M366">
        <v>33.1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71500</v>
      </c>
      <c r="V366" t="s">
        <v>142</v>
      </c>
      <c r="W366" t="s">
        <v>30</v>
      </c>
      <c r="Y366" t="s">
        <v>143</v>
      </c>
      <c r="Z366">
        <v>3559.8187311178199</v>
      </c>
      <c r="AA366">
        <v>2020</v>
      </c>
      <c r="AB366">
        <v>1.59887709064874</v>
      </c>
      <c r="AC366">
        <v>0.33100000000000002</v>
      </c>
      <c r="AD366">
        <v>10.672060256301499</v>
      </c>
    </row>
    <row r="367" spans="1:30" x14ac:dyDescent="0.3">
      <c r="A367">
        <v>2021</v>
      </c>
      <c r="B367">
        <v>132</v>
      </c>
      <c r="C367" t="s">
        <v>268</v>
      </c>
      <c r="D367">
        <v>69864.2</v>
      </c>
      <c r="E367">
        <v>27.9</v>
      </c>
      <c r="F367">
        <v>23166.2</v>
      </c>
      <c r="G367">
        <v>71.5</v>
      </c>
      <c r="H367">
        <v>204356.3</v>
      </c>
      <c r="I367">
        <v>107890.3</v>
      </c>
      <c r="J367">
        <v>0</v>
      </c>
      <c r="K367">
        <v>33.200000000000003</v>
      </c>
      <c r="L367">
        <v>11.3</v>
      </c>
      <c r="M367">
        <v>21.5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85858</v>
      </c>
      <c r="V367" t="s">
        <v>269</v>
      </c>
      <c r="W367" t="s">
        <v>34</v>
      </c>
      <c r="Y367" t="s">
        <v>270</v>
      </c>
      <c r="Z367">
        <v>107749.76744186001</v>
      </c>
      <c r="AA367">
        <v>2020</v>
      </c>
      <c r="AB367">
        <v>0.341874461418611</v>
      </c>
      <c r="AC367">
        <v>0.215</v>
      </c>
      <c r="AD367">
        <v>1.8965822836719</v>
      </c>
    </row>
    <row r="368" spans="1:30" x14ac:dyDescent="0.3">
      <c r="A368">
        <v>2021</v>
      </c>
      <c r="B368">
        <v>63</v>
      </c>
      <c r="C368" t="s">
        <v>271</v>
      </c>
      <c r="D368">
        <v>105865.7</v>
      </c>
      <c r="E368">
        <v>44.7</v>
      </c>
      <c r="F368">
        <v>22224</v>
      </c>
      <c r="G368">
        <v>3.6</v>
      </c>
      <c r="H368">
        <v>257977.7</v>
      </c>
      <c r="I368">
        <v>143085.9</v>
      </c>
      <c r="J368">
        <v>0</v>
      </c>
      <c r="K368">
        <v>21</v>
      </c>
      <c r="L368">
        <v>8.6</v>
      </c>
      <c r="M368">
        <v>15.5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251462</v>
      </c>
      <c r="V368" t="s">
        <v>272</v>
      </c>
      <c r="W368" t="s">
        <v>34</v>
      </c>
      <c r="Y368" t="s">
        <v>273</v>
      </c>
      <c r="Z368">
        <v>143380.64516129001</v>
      </c>
      <c r="AA368">
        <v>2020</v>
      </c>
      <c r="AB368">
        <v>0.41036764030379402</v>
      </c>
      <c r="AC368">
        <v>0.155</v>
      </c>
      <c r="AD368">
        <v>1.7992505174586</v>
      </c>
    </row>
    <row r="369" spans="1:30" x14ac:dyDescent="0.3">
      <c r="A369">
        <v>2021</v>
      </c>
      <c r="B369">
        <v>59</v>
      </c>
      <c r="C369" t="s">
        <v>129</v>
      </c>
      <c r="D369">
        <v>108087</v>
      </c>
      <c r="E369">
        <v>29.4</v>
      </c>
      <c r="F369">
        <v>7160.2</v>
      </c>
      <c r="G369">
        <v>306</v>
      </c>
      <c r="H369">
        <v>64718.400000000001</v>
      </c>
      <c r="I369">
        <v>28742.3</v>
      </c>
      <c r="J369">
        <v>0</v>
      </c>
      <c r="K369">
        <v>6.6</v>
      </c>
      <c r="L369">
        <v>11.1</v>
      </c>
      <c r="M369">
        <v>24.9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314906</v>
      </c>
      <c r="V369" t="s">
        <v>130</v>
      </c>
      <c r="W369" t="s">
        <v>34</v>
      </c>
      <c r="Y369" t="s">
        <v>131</v>
      </c>
      <c r="Z369">
        <v>28755.8232931727</v>
      </c>
      <c r="AA369">
        <v>2020</v>
      </c>
      <c r="AB369">
        <v>1.6701123637172699</v>
      </c>
      <c r="AC369">
        <v>0.249</v>
      </c>
      <c r="AD369">
        <v>2.2506189212591798</v>
      </c>
    </row>
    <row r="370" spans="1:30" x14ac:dyDescent="0.3">
      <c r="A370">
        <v>2020</v>
      </c>
      <c r="B370">
        <v>237</v>
      </c>
      <c r="C370" t="s">
        <v>268</v>
      </c>
      <c r="D370">
        <v>47272.7</v>
      </c>
      <c r="E370">
        <v>34.4</v>
      </c>
      <c r="F370">
        <v>11900.6</v>
      </c>
      <c r="G370">
        <v>12.5</v>
      </c>
      <c r="H370">
        <v>105382</v>
      </c>
      <c r="I370">
        <v>47119.7</v>
      </c>
      <c r="J370">
        <v>0</v>
      </c>
      <c r="K370">
        <v>25.2</v>
      </c>
      <c r="L370">
        <v>11.3</v>
      </c>
      <c r="M370">
        <v>25.3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54309</v>
      </c>
      <c r="V370" t="s">
        <v>269</v>
      </c>
      <c r="W370" t="s">
        <v>34</v>
      </c>
      <c r="Y370" t="s">
        <v>270</v>
      </c>
      <c r="Z370">
        <v>47037.944664031602</v>
      </c>
      <c r="AA370">
        <v>2019</v>
      </c>
      <c r="AB370">
        <v>0.448584198439961</v>
      </c>
      <c r="AC370">
        <v>0.253</v>
      </c>
      <c r="AD370">
        <v>2.2403614943784298</v>
      </c>
    </row>
    <row r="371" spans="1:30" x14ac:dyDescent="0.3">
      <c r="A371">
        <v>2020</v>
      </c>
      <c r="B371">
        <v>182</v>
      </c>
      <c r="C371" t="s">
        <v>271</v>
      </c>
      <c r="D371">
        <v>56147.199999999997</v>
      </c>
      <c r="E371">
        <v>48.7</v>
      </c>
      <c r="F371">
        <v>13094.4</v>
      </c>
      <c r="G371">
        <v>35.4</v>
      </c>
      <c r="H371">
        <v>143608.20000000001</v>
      </c>
      <c r="I371">
        <v>73250.3</v>
      </c>
      <c r="J371">
        <v>0</v>
      </c>
      <c r="K371">
        <v>23.3</v>
      </c>
      <c r="L371">
        <v>9.1</v>
      </c>
      <c r="M371">
        <v>17.899999999999999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101958</v>
      </c>
      <c r="V371" t="s">
        <v>272</v>
      </c>
      <c r="W371" t="s">
        <v>34</v>
      </c>
      <c r="Y371" t="s">
        <v>273</v>
      </c>
      <c r="Z371">
        <v>73153.072625698303</v>
      </c>
      <c r="AA371">
        <v>2019</v>
      </c>
      <c r="AB371">
        <v>0.39097488862056601</v>
      </c>
      <c r="AC371">
        <v>0.17899999999999999</v>
      </c>
      <c r="AD371">
        <v>1.96311918071847</v>
      </c>
    </row>
    <row r="372" spans="1:30" x14ac:dyDescent="0.3">
      <c r="A372">
        <v>2019</v>
      </c>
      <c r="B372">
        <v>237</v>
      </c>
      <c r="C372" t="s">
        <v>268</v>
      </c>
      <c r="D372">
        <v>47272.7</v>
      </c>
      <c r="E372">
        <v>34.4</v>
      </c>
      <c r="F372">
        <v>11900.6</v>
      </c>
      <c r="G372">
        <v>12.5</v>
      </c>
      <c r="H372">
        <v>105382</v>
      </c>
      <c r="I372">
        <v>47119.7</v>
      </c>
      <c r="J372">
        <v>0</v>
      </c>
      <c r="K372">
        <v>25.2</v>
      </c>
      <c r="L372">
        <v>11.3</v>
      </c>
      <c r="M372">
        <v>25.3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54309</v>
      </c>
      <c r="V372" t="s">
        <v>269</v>
      </c>
      <c r="W372" t="s">
        <v>34</v>
      </c>
      <c r="Y372" t="s">
        <v>270</v>
      </c>
      <c r="Z372">
        <v>47037.944664031602</v>
      </c>
      <c r="AA372">
        <v>2018</v>
      </c>
      <c r="AB372">
        <v>0.448584198439961</v>
      </c>
      <c r="AC372">
        <v>0.253</v>
      </c>
      <c r="AD372">
        <v>2.2403614943784298</v>
      </c>
    </row>
    <row r="373" spans="1:30" x14ac:dyDescent="0.3">
      <c r="A373">
        <v>2019</v>
      </c>
      <c r="B373">
        <v>182</v>
      </c>
      <c r="C373" t="s">
        <v>271</v>
      </c>
      <c r="D373">
        <v>56147.199999999997</v>
      </c>
      <c r="E373">
        <v>48.7</v>
      </c>
      <c r="F373">
        <v>13094.4</v>
      </c>
      <c r="G373">
        <v>35.4</v>
      </c>
      <c r="H373">
        <v>143608.20000000001</v>
      </c>
      <c r="I373">
        <v>73250.3</v>
      </c>
      <c r="J373">
        <v>0</v>
      </c>
      <c r="K373">
        <v>23.3</v>
      </c>
      <c r="L373">
        <v>9.1</v>
      </c>
      <c r="M373">
        <v>17.899999999999999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101958</v>
      </c>
      <c r="V373" t="s">
        <v>272</v>
      </c>
      <c r="W373" t="s">
        <v>34</v>
      </c>
      <c r="Y373" t="s">
        <v>273</v>
      </c>
      <c r="Z373">
        <v>73153.072625698303</v>
      </c>
      <c r="AA373">
        <v>2018</v>
      </c>
      <c r="AB373">
        <v>0.39097488862056601</v>
      </c>
      <c r="AC373">
        <v>0.17899999999999999</v>
      </c>
      <c r="AD373">
        <v>1.96311918071847</v>
      </c>
    </row>
    <row r="374" spans="1:30" x14ac:dyDescent="0.3">
      <c r="A374">
        <v>2018</v>
      </c>
      <c r="B374">
        <v>237</v>
      </c>
      <c r="C374" t="s">
        <v>268</v>
      </c>
      <c r="D374">
        <v>47272.7</v>
      </c>
      <c r="E374">
        <v>34.4</v>
      </c>
      <c r="F374">
        <v>11900.6</v>
      </c>
      <c r="G374">
        <v>12.5</v>
      </c>
      <c r="H374">
        <v>105382</v>
      </c>
      <c r="I374">
        <v>47119.7</v>
      </c>
      <c r="J374">
        <v>0</v>
      </c>
      <c r="K374">
        <v>25.2</v>
      </c>
      <c r="L374">
        <v>11.3</v>
      </c>
      <c r="M374">
        <v>25.3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54309</v>
      </c>
      <c r="V374" t="s">
        <v>269</v>
      </c>
      <c r="W374" t="s">
        <v>34</v>
      </c>
      <c r="Y374" t="s">
        <v>270</v>
      </c>
      <c r="Z374">
        <v>47037.944664031602</v>
      </c>
      <c r="AA374">
        <v>2017</v>
      </c>
      <c r="AB374">
        <v>0.448584198439961</v>
      </c>
      <c r="AC374">
        <v>0.253</v>
      </c>
      <c r="AD374">
        <v>2.2403614943784298</v>
      </c>
    </row>
    <row r="375" spans="1:30" x14ac:dyDescent="0.3">
      <c r="A375">
        <v>2018</v>
      </c>
      <c r="B375">
        <v>182</v>
      </c>
      <c r="C375" t="s">
        <v>271</v>
      </c>
      <c r="D375">
        <v>56147.199999999997</v>
      </c>
      <c r="E375">
        <v>48.7</v>
      </c>
      <c r="F375">
        <v>13094.4</v>
      </c>
      <c r="G375">
        <v>35.4</v>
      </c>
      <c r="H375">
        <v>143608.20000000001</v>
      </c>
      <c r="I375">
        <v>73250.3</v>
      </c>
      <c r="J375">
        <v>0</v>
      </c>
      <c r="K375">
        <v>23.3</v>
      </c>
      <c r="L375">
        <v>9.1</v>
      </c>
      <c r="M375">
        <v>17.899999999999999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101958</v>
      </c>
      <c r="V375" t="s">
        <v>272</v>
      </c>
      <c r="W375" t="s">
        <v>34</v>
      </c>
      <c r="Y375" t="s">
        <v>273</v>
      </c>
      <c r="Z375">
        <v>73153.072625698303</v>
      </c>
      <c r="AA375">
        <v>2017</v>
      </c>
      <c r="AB375">
        <v>0.39097488862056601</v>
      </c>
      <c r="AC375">
        <v>0.17899999999999999</v>
      </c>
      <c r="AD375">
        <v>1.96311918071847</v>
      </c>
    </row>
    <row r="376" spans="1:30" x14ac:dyDescent="0.3">
      <c r="A376">
        <v>2017</v>
      </c>
      <c r="B376">
        <v>478</v>
      </c>
      <c r="C376" t="s">
        <v>268</v>
      </c>
      <c r="D376">
        <v>22870.7</v>
      </c>
      <c r="E376">
        <v>39.700000000000003</v>
      </c>
      <c r="F376">
        <v>6185.9</v>
      </c>
      <c r="G376">
        <v>35</v>
      </c>
      <c r="H376">
        <v>56968</v>
      </c>
      <c r="I376">
        <v>25127.599999999999</v>
      </c>
      <c r="J376">
        <v>0</v>
      </c>
      <c r="K376">
        <v>27</v>
      </c>
      <c r="L376">
        <v>10.9</v>
      </c>
      <c r="M376">
        <v>24.6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38775</v>
      </c>
      <c r="V376" t="s">
        <v>269</v>
      </c>
      <c r="W376" t="s">
        <v>34</v>
      </c>
      <c r="Y376" t="s">
        <v>270</v>
      </c>
      <c r="Z376">
        <v>25145.934959349601</v>
      </c>
      <c r="AA376">
        <v>2016</v>
      </c>
      <c r="AB376">
        <v>0.40146573514955802</v>
      </c>
      <c r="AC376">
        <v>0.246</v>
      </c>
      <c r="AD376">
        <v>2.26549540083092</v>
      </c>
    </row>
    <row r="377" spans="1:30" x14ac:dyDescent="0.3">
      <c r="A377">
        <v>2017</v>
      </c>
      <c r="B377">
        <v>462</v>
      </c>
      <c r="C377" t="s">
        <v>271</v>
      </c>
      <c r="D377">
        <v>23517.3</v>
      </c>
      <c r="E377">
        <v>47.9</v>
      </c>
      <c r="F377">
        <v>6489.5</v>
      </c>
      <c r="G377">
        <v>-42.2</v>
      </c>
      <c r="H377">
        <v>73538.399999999994</v>
      </c>
      <c r="I377">
        <v>40453.699999999997</v>
      </c>
      <c r="J377">
        <v>0</v>
      </c>
      <c r="K377">
        <v>27.6</v>
      </c>
      <c r="L377">
        <v>8.8000000000000007</v>
      </c>
      <c r="M377">
        <v>16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50097</v>
      </c>
      <c r="V377" t="s">
        <v>272</v>
      </c>
      <c r="W377" t="s">
        <v>34</v>
      </c>
      <c r="Y377" t="s">
        <v>273</v>
      </c>
      <c r="Z377">
        <v>40559.375</v>
      </c>
      <c r="AA377">
        <v>2016</v>
      </c>
      <c r="AB377">
        <v>0.31979618811396499</v>
      </c>
      <c r="AC377">
        <v>0.16</v>
      </c>
      <c r="AD377">
        <v>1.8131048616996699</v>
      </c>
    </row>
    <row r="378" spans="1:30" x14ac:dyDescent="0.3">
      <c r="A378">
        <v>2017</v>
      </c>
      <c r="B378">
        <v>450</v>
      </c>
      <c r="C378" t="s">
        <v>277</v>
      </c>
      <c r="D378">
        <v>24060.400000000001</v>
      </c>
      <c r="E378">
        <v>8.5</v>
      </c>
      <c r="F378">
        <v>2210.4</v>
      </c>
      <c r="G378">
        <v>9.3000000000000007</v>
      </c>
      <c r="H378">
        <v>24548.6</v>
      </c>
      <c r="I378">
        <v>8795.9</v>
      </c>
      <c r="J378">
        <v>0</v>
      </c>
      <c r="K378">
        <v>9.1999999999999993</v>
      </c>
      <c r="L378">
        <v>9</v>
      </c>
      <c r="M378">
        <v>25.1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126418</v>
      </c>
      <c r="V378" t="s">
        <v>278</v>
      </c>
      <c r="W378" t="s">
        <v>90</v>
      </c>
      <c r="Y378" t="s">
        <v>279</v>
      </c>
      <c r="Z378">
        <v>8806.3745019920298</v>
      </c>
      <c r="AA378">
        <v>2016</v>
      </c>
      <c r="AB378">
        <v>0.98011291886299001</v>
      </c>
      <c r="AC378">
        <v>0.251</v>
      </c>
      <c r="AD378">
        <v>2.7875943720593601</v>
      </c>
    </row>
    <row r="379" spans="1:30" x14ac:dyDescent="0.3">
      <c r="A379">
        <v>2016</v>
      </c>
      <c r="B379">
        <v>202</v>
      </c>
      <c r="C379" t="s">
        <v>141</v>
      </c>
      <c r="D379">
        <v>44912.1</v>
      </c>
      <c r="E379">
        <v>-3</v>
      </c>
      <c r="F379">
        <v>-128.1</v>
      </c>
      <c r="G379">
        <v>-115.5</v>
      </c>
      <c r="H379">
        <v>24933.4</v>
      </c>
      <c r="I379">
        <v>3000.2</v>
      </c>
      <c r="J379">
        <v>0</v>
      </c>
      <c r="K379">
        <v>-0.3</v>
      </c>
      <c r="L379">
        <v>-0.5</v>
      </c>
      <c r="M379">
        <v>-4.3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60000</v>
      </c>
      <c r="V379" t="s">
        <v>142</v>
      </c>
      <c r="W379" t="s">
        <v>30</v>
      </c>
      <c r="Y379" t="s">
        <v>143</v>
      </c>
      <c r="Z379">
        <v>2979.0697674418602</v>
      </c>
      <c r="AA379">
        <v>2015</v>
      </c>
      <c r="AB379">
        <v>1.8012826168914</v>
      </c>
      <c r="AC379">
        <v>-4.2999999999999997E-2</v>
      </c>
      <c r="AD379">
        <v>8.3695253708040607</v>
      </c>
    </row>
    <row r="380" spans="1:30" x14ac:dyDescent="0.3">
      <c r="A380">
        <v>2014</v>
      </c>
      <c r="B380">
        <v>286</v>
      </c>
      <c r="C380" t="s">
        <v>141</v>
      </c>
      <c r="D380">
        <v>38707.1</v>
      </c>
      <c r="E380">
        <v>14.3</v>
      </c>
      <c r="F380">
        <v>817.2</v>
      </c>
      <c r="G380">
        <v>28.7</v>
      </c>
      <c r="H380">
        <v>18357.099999999999</v>
      </c>
      <c r="I380">
        <v>3010.1019000000001</v>
      </c>
      <c r="J380">
        <v>0</v>
      </c>
      <c r="K380">
        <v>2.1019000000000001</v>
      </c>
      <c r="L380">
        <v>4.5019</v>
      </c>
      <c r="M380">
        <v>27.101900000000001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54000</v>
      </c>
      <c r="V380" t="s">
        <v>180</v>
      </c>
      <c r="W380" t="s">
        <v>30</v>
      </c>
      <c r="Y380" t="s">
        <v>143</v>
      </c>
      <c r="Z380">
        <v>3015.28675111339</v>
      </c>
      <c r="AA380">
        <v>2013</v>
      </c>
      <c r="AB380">
        <v>2.1085628993686401</v>
      </c>
      <c r="AC380">
        <v>0.27100000000000002</v>
      </c>
      <c r="AD380">
        <v>6.0880113618453304</v>
      </c>
    </row>
    <row r="381" spans="1:30" x14ac:dyDescent="0.3">
      <c r="A381">
        <v>2012</v>
      </c>
      <c r="B381">
        <v>478</v>
      </c>
      <c r="C381" t="s">
        <v>268</v>
      </c>
      <c r="D381">
        <v>22870.7</v>
      </c>
      <c r="E381">
        <v>39.700000000000003</v>
      </c>
      <c r="F381">
        <v>6185.9</v>
      </c>
      <c r="G381">
        <v>35</v>
      </c>
      <c r="H381">
        <v>56968</v>
      </c>
      <c r="I381">
        <v>25127.599999999999</v>
      </c>
      <c r="J381">
        <v>0</v>
      </c>
      <c r="K381">
        <v>27</v>
      </c>
      <c r="L381">
        <v>10.9</v>
      </c>
      <c r="M381">
        <v>24.6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38775</v>
      </c>
      <c r="V381" t="s">
        <v>280</v>
      </c>
      <c r="W381" t="s">
        <v>34</v>
      </c>
      <c r="Y381" t="s">
        <v>270</v>
      </c>
      <c r="Z381">
        <v>25145.934959349601</v>
      </c>
      <c r="AA381">
        <v>2011</v>
      </c>
      <c r="AB381">
        <v>0.40146573514955802</v>
      </c>
      <c r="AC381">
        <v>0.246</v>
      </c>
      <c r="AD381">
        <v>2.26549540083092</v>
      </c>
    </row>
    <row r="382" spans="1:30" x14ac:dyDescent="0.3">
      <c r="A382">
        <v>2012</v>
      </c>
      <c r="B382">
        <v>462</v>
      </c>
      <c r="C382" t="s">
        <v>271</v>
      </c>
      <c r="D382">
        <v>23517.3</v>
      </c>
      <c r="E382">
        <v>47.9</v>
      </c>
      <c r="F382">
        <v>6489.5</v>
      </c>
      <c r="G382">
        <v>-42.2</v>
      </c>
      <c r="H382">
        <v>73538.399999999994</v>
      </c>
      <c r="I382">
        <v>40453.699999999997</v>
      </c>
      <c r="J382">
        <v>0</v>
      </c>
      <c r="K382">
        <v>27.6</v>
      </c>
      <c r="L382">
        <v>8.8000000000000007</v>
      </c>
      <c r="M382">
        <v>16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50097</v>
      </c>
      <c r="V382" t="s">
        <v>281</v>
      </c>
      <c r="W382" t="s">
        <v>34</v>
      </c>
      <c r="Y382" t="s">
        <v>273</v>
      </c>
      <c r="Z382">
        <v>40559.375</v>
      </c>
      <c r="AA382">
        <v>2011</v>
      </c>
      <c r="AB382">
        <v>0.31979618811396499</v>
      </c>
      <c r="AC382">
        <v>0.16</v>
      </c>
      <c r="AD382">
        <v>1.8131048616996699</v>
      </c>
    </row>
    <row r="383" spans="1:30" x14ac:dyDescent="0.3">
      <c r="A383">
        <v>2012</v>
      </c>
      <c r="B383">
        <v>450</v>
      </c>
      <c r="C383" t="s">
        <v>277</v>
      </c>
      <c r="D383">
        <v>24060.400000000001</v>
      </c>
      <c r="E383">
        <v>8.5</v>
      </c>
      <c r="F383">
        <v>2210.4</v>
      </c>
      <c r="G383">
        <v>9.3000000000000007</v>
      </c>
      <c r="H383">
        <v>24548.6</v>
      </c>
      <c r="I383">
        <v>8795.9</v>
      </c>
      <c r="J383">
        <v>0</v>
      </c>
      <c r="K383">
        <v>9.1999999999999993</v>
      </c>
      <c r="L383">
        <v>9</v>
      </c>
      <c r="M383">
        <v>25.1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126418</v>
      </c>
      <c r="V383" t="s">
        <v>282</v>
      </c>
      <c r="W383" t="s">
        <v>90</v>
      </c>
      <c r="Y383" t="s">
        <v>279</v>
      </c>
      <c r="Z383">
        <v>8806.3745019920298</v>
      </c>
      <c r="AA383">
        <v>2011</v>
      </c>
      <c r="AB383">
        <v>0.98011291886299001</v>
      </c>
      <c r="AC383">
        <v>0.251</v>
      </c>
      <c r="AD383">
        <v>2.7875943720593601</v>
      </c>
    </row>
    <row r="384" spans="1:30" x14ac:dyDescent="0.3">
      <c r="A384">
        <v>2023</v>
      </c>
      <c r="B384">
        <v>218</v>
      </c>
      <c r="C384" t="s">
        <v>283</v>
      </c>
      <c r="D384">
        <v>61902.6</v>
      </c>
      <c r="E384">
        <v>-5.9</v>
      </c>
      <c r="F384">
        <v>1961.5</v>
      </c>
      <c r="G384">
        <v>-13.7</v>
      </c>
      <c r="H384">
        <v>60716.6</v>
      </c>
      <c r="I384">
        <v>27259.3</v>
      </c>
      <c r="J384">
        <v>0</v>
      </c>
      <c r="K384">
        <v>3.2</v>
      </c>
      <c r="L384">
        <v>3.2</v>
      </c>
      <c r="M384">
        <v>7.2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233391</v>
      </c>
      <c r="V384" t="s">
        <v>284</v>
      </c>
      <c r="W384" t="s">
        <v>90</v>
      </c>
      <c r="Y384" t="s">
        <v>285</v>
      </c>
      <c r="Z384">
        <v>27243.055555555598</v>
      </c>
      <c r="AA384">
        <v>2022</v>
      </c>
      <c r="AB384">
        <v>1.01953337308084</v>
      </c>
      <c r="AC384">
        <v>7.1999999999999995E-2</v>
      </c>
      <c r="AD384">
        <v>2.2287000764720899</v>
      </c>
    </row>
    <row r="385" spans="1:30" x14ac:dyDescent="0.3">
      <c r="A385">
        <v>2022</v>
      </c>
      <c r="B385">
        <v>193</v>
      </c>
      <c r="C385" t="s">
        <v>283</v>
      </c>
      <c r="D385">
        <v>65774.399999999994</v>
      </c>
      <c r="E385">
        <v>4.0999999999999996</v>
      </c>
      <c r="F385">
        <v>2273</v>
      </c>
      <c r="G385">
        <v>46</v>
      </c>
      <c r="H385">
        <v>66086.7</v>
      </c>
      <c r="I385">
        <v>26068.400000000001</v>
      </c>
      <c r="J385">
        <v>0</v>
      </c>
      <c r="K385">
        <v>3.5</v>
      </c>
      <c r="L385">
        <v>3.4</v>
      </c>
      <c r="M385">
        <v>8.6999999999999993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240198</v>
      </c>
      <c r="V385" t="s">
        <v>284</v>
      </c>
      <c r="W385" t="s">
        <v>90</v>
      </c>
      <c r="Y385" t="s">
        <v>285</v>
      </c>
      <c r="Z385">
        <v>26126.436781609202</v>
      </c>
      <c r="AA385">
        <v>2021</v>
      </c>
      <c r="AB385">
        <v>0.99527438955190695</v>
      </c>
      <c r="AC385">
        <v>8.6999999999999994E-2</v>
      </c>
      <c r="AD385">
        <v>2.5294953365596098</v>
      </c>
    </row>
    <row r="386" spans="1:30" x14ac:dyDescent="0.3">
      <c r="A386">
        <v>2021</v>
      </c>
      <c r="B386">
        <v>154</v>
      </c>
      <c r="C386" t="s">
        <v>160</v>
      </c>
      <c r="D386">
        <v>63191.3</v>
      </c>
      <c r="E386">
        <v>-8.3000000000000007</v>
      </c>
      <c r="F386">
        <v>1557.2</v>
      </c>
      <c r="G386">
        <v>-25</v>
      </c>
      <c r="H386">
        <v>61908.4</v>
      </c>
      <c r="I386">
        <v>23454.2</v>
      </c>
      <c r="J386">
        <v>0</v>
      </c>
      <c r="K386">
        <v>2.5</v>
      </c>
      <c r="L386">
        <v>2.5</v>
      </c>
      <c r="M386">
        <v>6.6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243540</v>
      </c>
      <c r="V386" t="s">
        <v>284</v>
      </c>
      <c r="W386" t="s">
        <v>90</v>
      </c>
      <c r="Y386" t="s">
        <v>286</v>
      </c>
      <c r="Z386">
        <v>23593.939393939399</v>
      </c>
      <c r="AA386">
        <v>2020</v>
      </c>
      <c r="AB386">
        <v>1.0207225513823699</v>
      </c>
      <c r="AC386">
        <v>6.6000000000000003E-2</v>
      </c>
      <c r="AD386">
        <v>2.6239111225276099</v>
      </c>
    </row>
    <row r="387" spans="1:30" x14ac:dyDescent="0.3">
      <c r="A387">
        <v>2020</v>
      </c>
      <c r="B387">
        <v>131</v>
      </c>
      <c r="C387" t="s">
        <v>160</v>
      </c>
      <c r="D387">
        <v>72178.399999999994</v>
      </c>
      <c r="E387">
        <v>0.2</v>
      </c>
      <c r="F387">
        <v>2562.8000000000002</v>
      </c>
      <c r="G387">
        <v>20.3</v>
      </c>
      <c r="H387">
        <v>54341.1</v>
      </c>
      <c r="I387">
        <v>17290.3</v>
      </c>
      <c r="J387">
        <v>0</v>
      </c>
      <c r="K387">
        <v>3.6</v>
      </c>
      <c r="L387">
        <v>4.7</v>
      </c>
      <c r="M387">
        <v>14.8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271869</v>
      </c>
      <c r="V387" t="s">
        <v>284</v>
      </c>
      <c r="W387" t="s">
        <v>90</v>
      </c>
      <c r="Y387" t="s">
        <v>286</v>
      </c>
      <c r="Z387">
        <v>17316.216216216199</v>
      </c>
      <c r="AA387">
        <v>2019</v>
      </c>
      <c r="AB387">
        <v>1.3282469438417699</v>
      </c>
      <c r="AC387">
        <v>0.14799999999999999</v>
      </c>
      <c r="AD387">
        <v>3.1381624785390998</v>
      </c>
    </row>
    <row r="388" spans="1:30" x14ac:dyDescent="0.3">
      <c r="A388">
        <v>2019</v>
      </c>
      <c r="B388">
        <v>131</v>
      </c>
      <c r="C388" t="s">
        <v>160</v>
      </c>
      <c r="D388">
        <v>72178.399999999994</v>
      </c>
      <c r="E388">
        <v>0.2</v>
      </c>
      <c r="F388">
        <v>2562.8000000000002</v>
      </c>
      <c r="G388">
        <v>20.3</v>
      </c>
      <c r="H388">
        <v>54341.1</v>
      </c>
      <c r="I388">
        <v>17290.3</v>
      </c>
      <c r="J388">
        <v>0</v>
      </c>
      <c r="K388">
        <v>3.6</v>
      </c>
      <c r="L388">
        <v>4.7</v>
      </c>
      <c r="M388">
        <v>14.8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271869</v>
      </c>
      <c r="V388" t="s">
        <v>284</v>
      </c>
      <c r="W388" t="s">
        <v>90</v>
      </c>
      <c r="Y388" t="s">
        <v>286</v>
      </c>
      <c r="Z388">
        <v>17316.216216216199</v>
      </c>
      <c r="AA388">
        <v>2018</v>
      </c>
      <c r="AB388">
        <v>1.3282469438417699</v>
      </c>
      <c r="AC388">
        <v>0.14799999999999999</v>
      </c>
      <c r="AD388">
        <v>3.1381624785390998</v>
      </c>
    </row>
    <row r="389" spans="1:30" x14ac:dyDescent="0.3">
      <c r="A389">
        <v>2018</v>
      </c>
      <c r="B389">
        <v>131</v>
      </c>
      <c r="C389" t="s">
        <v>160</v>
      </c>
      <c r="D389">
        <v>72178.399999999994</v>
      </c>
      <c r="E389">
        <v>0.2</v>
      </c>
      <c r="F389">
        <v>2562.8000000000002</v>
      </c>
      <c r="G389">
        <v>20.3</v>
      </c>
      <c r="H389">
        <v>54341.1</v>
      </c>
      <c r="I389">
        <v>17290.3</v>
      </c>
      <c r="J389">
        <v>0</v>
      </c>
      <c r="K389">
        <v>3.6</v>
      </c>
      <c r="L389">
        <v>4.7</v>
      </c>
      <c r="M389">
        <v>14.8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271869</v>
      </c>
      <c r="V389" t="s">
        <v>284</v>
      </c>
      <c r="W389" t="s">
        <v>90</v>
      </c>
      <c r="Y389" t="s">
        <v>286</v>
      </c>
      <c r="Z389">
        <v>17316.216216216199</v>
      </c>
      <c r="AA389">
        <v>2017</v>
      </c>
      <c r="AB389">
        <v>1.3282469438417699</v>
      </c>
      <c r="AC389">
        <v>0.14799999999999999</v>
      </c>
      <c r="AD389">
        <v>3.1381624785390998</v>
      </c>
    </row>
    <row r="390" spans="1:30" x14ac:dyDescent="0.3">
      <c r="A390">
        <v>2017</v>
      </c>
      <c r="B390">
        <v>110</v>
      </c>
      <c r="C390" t="s">
        <v>160</v>
      </c>
      <c r="D390">
        <v>67774.899999999994</v>
      </c>
      <c r="E390">
        <v>6.7</v>
      </c>
      <c r="F390">
        <v>1378.4</v>
      </c>
      <c r="G390">
        <v>0.2</v>
      </c>
      <c r="H390">
        <v>53702.2</v>
      </c>
      <c r="I390">
        <v>14109</v>
      </c>
      <c r="J390">
        <v>0</v>
      </c>
      <c r="K390">
        <v>2</v>
      </c>
      <c r="L390">
        <v>2.6</v>
      </c>
      <c r="M390">
        <v>9.8000000000000007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257533</v>
      </c>
      <c r="V390" t="s">
        <v>284</v>
      </c>
      <c r="W390" t="s">
        <v>90</v>
      </c>
      <c r="Y390" t="s">
        <v>286</v>
      </c>
      <c r="Z390">
        <v>14065.306122448999</v>
      </c>
      <c r="AA390">
        <v>2016</v>
      </c>
      <c r="AB390">
        <v>1.26205071673041</v>
      </c>
      <c r="AC390">
        <v>9.8000000000000004E-2</v>
      </c>
      <c r="AD390">
        <v>3.81806123041207</v>
      </c>
    </row>
    <row r="391" spans="1:30" x14ac:dyDescent="0.3">
      <c r="A391">
        <v>2016</v>
      </c>
      <c r="B391">
        <v>128</v>
      </c>
      <c r="C391" t="s">
        <v>160</v>
      </c>
      <c r="D391">
        <v>62920.800000000003</v>
      </c>
      <c r="E391">
        <v>-10.3</v>
      </c>
      <c r="F391">
        <v>1609.8</v>
      </c>
      <c r="G391">
        <v>-1.4</v>
      </c>
      <c r="H391">
        <v>49804.1</v>
      </c>
      <c r="I391">
        <v>15172.2</v>
      </c>
      <c r="J391">
        <v>0</v>
      </c>
      <c r="K391">
        <v>2.6</v>
      </c>
      <c r="L391">
        <v>3.2</v>
      </c>
      <c r="M391">
        <v>10.6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249520</v>
      </c>
      <c r="V391" t="s">
        <v>284</v>
      </c>
      <c r="W391" t="s">
        <v>90</v>
      </c>
      <c r="Y391" t="s">
        <v>286</v>
      </c>
      <c r="Z391">
        <v>15186.792452830199</v>
      </c>
      <c r="AA391">
        <v>2015</v>
      </c>
      <c r="AB391">
        <v>1.26336586746874</v>
      </c>
      <c r="AC391">
        <v>0.106</v>
      </c>
      <c r="AD391">
        <v>3.2794350851037399</v>
      </c>
    </row>
    <row r="392" spans="1:30" x14ac:dyDescent="0.3">
      <c r="A392">
        <v>2014</v>
      </c>
      <c r="B392">
        <v>471</v>
      </c>
      <c r="C392" t="s">
        <v>213</v>
      </c>
      <c r="D392">
        <v>25641.4</v>
      </c>
      <c r="E392">
        <v>-1.4</v>
      </c>
      <c r="F392">
        <v>666.3</v>
      </c>
      <c r="G392">
        <v>45.8</v>
      </c>
      <c r="H392">
        <v>24811.3</v>
      </c>
      <c r="I392">
        <v>10578.6019</v>
      </c>
      <c r="J392">
        <v>0</v>
      </c>
      <c r="K392">
        <v>2.6019000000000001</v>
      </c>
      <c r="L392">
        <v>2.7019000000000002</v>
      </c>
      <c r="M392">
        <v>6.3018999999999998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225484</v>
      </c>
      <c r="V392" t="s">
        <v>214</v>
      </c>
      <c r="W392" t="s">
        <v>90</v>
      </c>
      <c r="Y392" t="s">
        <v>287</v>
      </c>
      <c r="Z392">
        <v>10573.001793109999</v>
      </c>
      <c r="AA392">
        <v>2013</v>
      </c>
      <c r="AB392">
        <v>1.03345652988759</v>
      </c>
      <c r="AC392">
        <v>6.3E-2</v>
      </c>
      <c r="AD392">
        <v>2.3466656381509798</v>
      </c>
    </row>
    <row r="393" spans="1:30" x14ac:dyDescent="0.3">
      <c r="A393">
        <v>2012</v>
      </c>
      <c r="B393">
        <v>110</v>
      </c>
      <c r="C393" t="s">
        <v>160</v>
      </c>
      <c r="D393">
        <v>67774.899999999994</v>
      </c>
      <c r="E393">
        <v>6.7</v>
      </c>
      <c r="F393">
        <v>1378.4</v>
      </c>
      <c r="G393">
        <v>0.2</v>
      </c>
      <c r="H393">
        <v>53702.2</v>
      </c>
      <c r="I393">
        <v>14109</v>
      </c>
      <c r="J393">
        <v>0</v>
      </c>
      <c r="K393">
        <v>2</v>
      </c>
      <c r="L393">
        <v>2.6</v>
      </c>
      <c r="M393">
        <v>9.8000000000000007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257533</v>
      </c>
      <c r="V393" t="s">
        <v>288</v>
      </c>
      <c r="W393" t="s">
        <v>90</v>
      </c>
      <c r="Y393" t="s">
        <v>286</v>
      </c>
      <c r="Z393">
        <v>14065.306122448999</v>
      </c>
      <c r="AA393">
        <v>2011</v>
      </c>
      <c r="AB393">
        <v>1.26205071673041</v>
      </c>
      <c r="AC393">
        <v>9.8000000000000004E-2</v>
      </c>
      <c r="AD393">
        <v>3.81806123041207</v>
      </c>
    </row>
    <row r="394" spans="1:30" x14ac:dyDescent="0.3">
      <c r="A394">
        <v>2023</v>
      </c>
      <c r="B394">
        <v>355</v>
      </c>
      <c r="C394" t="s">
        <v>237</v>
      </c>
      <c r="D394">
        <v>42063</v>
      </c>
      <c r="E394">
        <v>-9.4</v>
      </c>
      <c r="F394">
        <v>2115.1</v>
      </c>
      <c r="G394">
        <v>-78</v>
      </c>
      <c r="H394">
        <v>116988</v>
      </c>
      <c r="I394">
        <v>26768.9</v>
      </c>
      <c r="J394">
        <v>0</v>
      </c>
      <c r="K394">
        <v>5</v>
      </c>
      <c r="L394">
        <v>1.8</v>
      </c>
      <c r="M394">
        <v>7.9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103651</v>
      </c>
      <c r="V394" t="s">
        <v>289</v>
      </c>
      <c r="W394" t="s">
        <v>44</v>
      </c>
      <c r="Y394" t="s">
        <v>239</v>
      </c>
      <c r="Z394">
        <v>26773.417721518999</v>
      </c>
      <c r="AA394">
        <v>2022</v>
      </c>
      <c r="AB394">
        <v>0.35954969740486198</v>
      </c>
      <c r="AC394">
        <v>7.9000000000000001E-2</v>
      </c>
      <c r="AD394">
        <v>4.3695579405229097</v>
      </c>
    </row>
    <row r="395" spans="1:30" x14ac:dyDescent="0.3">
      <c r="A395">
        <v>2023</v>
      </c>
      <c r="B395">
        <v>349</v>
      </c>
      <c r="C395" t="s">
        <v>234</v>
      </c>
      <c r="D395">
        <v>42724.3</v>
      </c>
      <c r="E395">
        <v>-14</v>
      </c>
      <c r="F395">
        <v>3787.8</v>
      </c>
      <c r="G395">
        <v>-60.1</v>
      </c>
      <c r="H395">
        <v>83055.3</v>
      </c>
      <c r="I395">
        <v>19187</v>
      </c>
      <c r="J395">
        <v>0</v>
      </c>
      <c r="K395">
        <v>8.9</v>
      </c>
      <c r="L395">
        <v>4.5999999999999996</v>
      </c>
      <c r="M395">
        <v>19.7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176014</v>
      </c>
      <c r="V395" t="s">
        <v>290</v>
      </c>
      <c r="W395" t="s">
        <v>44</v>
      </c>
      <c r="Y395" t="s">
        <v>236</v>
      </c>
      <c r="Z395">
        <v>19227.411167512699</v>
      </c>
      <c r="AA395">
        <v>2022</v>
      </c>
      <c r="AB395">
        <v>0.51440787041886504</v>
      </c>
      <c r="AC395">
        <v>0.19700000000000001</v>
      </c>
      <c r="AD395">
        <v>4.3196298907017301</v>
      </c>
    </row>
    <row r="396" spans="1:30" x14ac:dyDescent="0.3">
      <c r="A396">
        <v>2023</v>
      </c>
      <c r="B396">
        <v>27</v>
      </c>
      <c r="C396" t="s">
        <v>243</v>
      </c>
      <c r="D396">
        <v>222535.3</v>
      </c>
      <c r="E396">
        <v>3.7</v>
      </c>
      <c r="F396">
        <v>4751</v>
      </c>
      <c r="G396">
        <v>-4.8</v>
      </c>
      <c r="H396">
        <v>134617.70000000001</v>
      </c>
      <c r="I396">
        <v>47235.199999999997</v>
      </c>
      <c r="J396">
        <v>0</v>
      </c>
      <c r="K396">
        <v>2.1</v>
      </c>
      <c r="L396">
        <v>3.5</v>
      </c>
      <c r="M396">
        <v>10.1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767062</v>
      </c>
      <c r="V396" t="s">
        <v>291</v>
      </c>
      <c r="W396" t="s">
        <v>90</v>
      </c>
      <c r="Y396" t="s">
        <v>292</v>
      </c>
      <c r="Z396">
        <v>47039.603960396002</v>
      </c>
      <c r="AA396">
        <v>2022</v>
      </c>
      <c r="AB396">
        <v>1.6530909382644301</v>
      </c>
      <c r="AC396">
        <v>0.10100000000000001</v>
      </c>
      <c r="AD396">
        <v>2.86179492738371</v>
      </c>
    </row>
    <row r="397" spans="1:30" x14ac:dyDescent="0.3">
      <c r="A397">
        <v>2022</v>
      </c>
      <c r="B397">
        <v>20</v>
      </c>
      <c r="C397" t="s">
        <v>243</v>
      </c>
      <c r="D397">
        <v>214619.2</v>
      </c>
      <c r="E397">
        <v>18</v>
      </c>
      <c r="F397">
        <v>4988.3</v>
      </c>
      <c r="G397">
        <v>44.3</v>
      </c>
      <c r="H397">
        <v>141043.5</v>
      </c>
      <c r="I397">
        <v>49810.8</v>
      </c>
      <c r="J397">
        <v>0</v>
      </c>
      <c r="K397">
        <v>2.2999999999999998</v>
      </c>
      <c r="L397">
        <v>3.5</v>
      </c>
      <c r="M397">
        <v>10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826608</v>
      </c>
      <c r="V397" t="s">
        <v>291</v>
      </c>
      <c r="W397" t="s">
        <v>90</v>
      </c>
      <c r="Y397" t="s">
        <v>245</v>
      </c>
      <c r="Z397">
        <v>49883</v>
      </c>
      <c r="AA397">
        <v>2021</v>
      </c>
      <c r="AB397">
        <v>1.5216525398192799</v>
      </c>
      <c r="AC397">
        <v>0.1</v>
      </c>
      <c r="AD397">
        <v>2.8274863179840799</v>
      </c>
    </row>
    <row r="398" spans="1:30" x14ac:dyDescent="0.3">
      <c r="A398">
        <v>2022</v>
      </c>
      <c r="B398">
        <v>275</v>
      </c>
      <c r="C398" t="s">
        <v>234</v>
      </c>
      <c r="D398">
        <v>49701.9</v>
      </c>
      <c r="E398">
        <v>5</v>
      </c>
      <c r="F398">
        <v>9489.9</v>
      </c>
      <c r="G398">
        <v>335.2</v>
      </c>
      <c r="H398">
        <v>82587.5</v>
      </c>
      <c r="I398">
        <v>19044.8</v>
      </c>
      <c r="J398">
        <v>0</v>
      </c>
      <c r="K398">
        <v>19.100000000000001</v>
      </c>
      <c r="L398">
        <v>11.5</v>
      </c>
      <c r="M398">
        <v>49.8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181205</v>
      </c>
      <c r="V398" t="s">
        <v>290</v>
      </c>
      <c r="W398" t="s">
        <v>44</v>
      </c>
      <c r="Y398" t="s">
        <v>236</v>
      </c>
      <c r="Z398">
        <v>19056.024096385499</v>
      </c>
      <c r="AA398">
        <v>2021</v>
      </c>
      <c r="AB398">
        <v>0.60180899046465897</v>
      </c>
      <c r="AC398">
        <v>0.498</v>
      </c>
      <c r="AD398">
        <v>4.3339313375272699</v>
      </c>
    </row>
    <row r="399" spans="1:30" x14ac:dyDescent="0.3">
      <c r="A399">
        <v>2022</v>
      </c>
      <c r="B399">
        <v>300</v>
      </c>
      <c r="C399" t="s">
        <v>237</v>
      </c>
      <c r="D399">
        <v>46438.5</v>
      </c>
      <c r="E399">
        <v>-5.4</v>
      </c>
      <c r="F399">
        <v>9620.6</v>
      </c>
      <c r="G399">
        <v>433.7</v>
      </c>
      <c r="H399">
        <v>124175.2</v>
      </c>
      <c r="I399">
        <v>25249.4</v>
      </c>
      <c r="J399">
        <v>0</v>
      </c>
      <c r="K399">
        <v>20.7</v>
      </c>
      <c r="L399">
        <v>7.7</v>
      </c>
      <c r="M399">
        <v>38.1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104150</v>
      </c>
      <c r="V399" t="s">
        <v>289</v>
      </c>
      <c r="W399" t="s">
        <v>44</v>
      </c>
      <c r="Y399" t="s">
        <v>239</v>
      </c>
      <c r="Z399">
        <v>25250.918635170601</v>
      </c>
      <c r="AA399">
        <v>2021</v>
      </c>
      <c r="AB399">
        <v>0.37397564086870799</v>
      </c>
      <c r="AC399">
        <v>0.38100000000000001</v>
      </c>
      <c r="AD399">
        <v>4.9176507910109599</v>
      </c>
    </row>
    <row r="400" spans="1:30" x14ac:dyDescent="0.3">
      <c r="A400">
        <v>2021</v>
      </c>
      <c r="B400">
        <v>499</v>
      </c>
      <c r="C400" t="s">
        <v>293</v>
      </c>
      <c r="D400">
        <v>24124</v>
      </c>
      <c r="E400">
        <v>-0.4</v>
      </c>
      <c r="F400">
        <v>613</v>
      </c>
      <c r="G400">
        <v>599.9</v>
      </c>
      <c r="H400">
        <v>15836</v>
      </c>
      <c r="I400">
        <v>3436</v>
      </c>
      <c r="J400">
        <v>0</v>
      </c>
      <c r="K400">
        <v>2.5</v>
      </c>
      <c r="L400">
        <v>3.9</v>
      </c>
      <c r="M400">
        <v>17.8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167201</v>
      </c>
      <c r="V400" t="s">
        <v>294</v>
      </c>
      <c r="W400" t="s">
        <v>90</v>
      </c>
      <c r="Y400" t="s">
        <v>295</v>
      </c>
      <c r="Z400">
        <v>3443.8202247191002</v>
      </c>
      <c r="AA400">
        <v>2020</v>
      </c>
      <c r="AB400">
        <v>1.52336448598131</v>
      </c>
      <c r="AC400">
        <v>0.17799999999999999</v>
      </c>
      <c r="AD400">
        <v>4.5983817292006499</v>
      </c>
    </row>
    <row r="401" spans="1:30" x14ac:dyDescent="0.3">
      <c r="A401">
        <v>2021</v>
      </c>
      <c r="B401">
        <v>237</v>
      </c>
      <c r="C401" t="s">
        <v>234</v>
      </c>
      <c r="D401">
        <v>47326</v>
      </c>
      <c r="E401">
        <v>-9.6</v>
      </c>
      <c r="F401">
        <v>2180.5</v>
      </c>
      <c r="G401">
        <v>-38</v>
      </c>
      <c r="H401">
        <v>81591</v>
      </c>
      <c r="I401">
        <v>12576.1</v>
      </c>
      <c r="J401">
        <v>0</v>
      </c>
      <c r="K401">
        <v>4.5999999999999996</v>
      </c>
      <c r="L401">
        <v>2.7</v>
      </c>
      <c r="M401">
        <v>17.3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186851</v>
      </c>
      <c r="V401" t="s">
        <v>290</v>
      </c>
      <c r="W401" t="s">
        <v>44</v>
      </c>
      <c r="Y401" t="s">
        <v>236</v>
      </c>
      <c r="Z401">
        <v>12604.046242774601</v>
      </c>
      <c r="AA401">
        <v>2020</v>
      </c>
      <c r="AB401">
        <v>0.58003946513708604</v>
      </c>
      <c r="AC401">
        <v>0.17299999999999999</v>
      </c>
      <c r="AD401">
        <v>6.4733973859206602</v>
      </c>
    </row>
    <row r="402" spans="1:30" x14ac:dyDescent="0.3">
      <c r="A402">
        <v>2021</v>
      </c>
      <c r="B402">
        <v>223</v>
      </c>
      <c r="C402" t="s">
        <v>237</v>
      </c>
      <c r="D402">
        <v>49082.9</v>
      </c>
      <c r="E402">
        <v>-9.4</v>
      </c>
      <c r="F402">
        <v>1802.6</v>
      </c>
      <c r="G402">
        <v>41</v>
      </c>
      <c r="H402">
        <v>128561.4</v>
      </c>
      <c r="I402">
        <v>13749.4</v>
      </c>
      <c r="J402">
        <v>0</v>
      </c>
      <c r="K402">
        <v>3.7</v>
      </c>
      <c r="L402">
        <v>1.4</v>
      </c>
      <c r="M402">
        <v>13.1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112797</v>
      </c>
      <c r="V402" t="s">
        <v>289</v>
      </c>
      <c r="W402" t="s">
        <v>44</v>
      </c>
      <c r="Y402" t="s">
        <v>239</v>
      </c>
      <c r="Z402">
        <v>13760.3053435115</v>
      </c>
      <c r="AA402">
        <v>2020</v>
      </c>
      <c r="AB402">
        <v>0.38178566817100601</v>
      </c>
      <c r="AC402">
        <v>0.13100000000000001</v>
      </c>
      <c r="AD402">
        <v>9.3429176744702094</v>
      </c>
    </row>
    <row r="403" spans="1:30" x14ac:dyDescent="0.3">
      <c r="A403">
        <v>2021</v>
      </c>
      <c r="B403">
        <v>22</v>
      </c>
      <c r="C403" t="s">
        <v>243</v>
      </c>
      <c r="D403">
        <v>181945.4</v>
      </c>
      <c r="E403">
        <v>5.3</v>
      </c>
      <c r="F403">
        <v>3456.7</v>
      </c>
      <c r="G403">
        <v>-7.3</v>
      </c>
      <c r="H403">
        <v>130845.6</v>
      </c>
      <c r="I403">
        <v>46197.7</v>
      </c>
      <c r="J403">
        <v>0</v>
      </c>
      <c r="K403">
        <v>1.9</v>
      </c>
      <c r="L403">
        <v>2.6</v>
      </c>
      <c r="M403">
        <v>7.5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878429</v>
      </c>
      <c r="V403" t="s">
        <v>291</v>
      </c>
      <c r="W403" t="s">
        <v>90</v>
      </c>
      <c r="Y403" t="s">
        <v>245</v>
      </c>
      <c r="Z403">
        <v>46089.333333333299</v>
      </c>
      <c r="AA403">
        <v>2020</v>
      </c>
      <c r="AB403">
        <v>1.3905351039698699</v>
      </c>
      <c r="AC403">
        <v>7.4999999999999997E-2</v>
      </c>
      <c r="AD403">
        <v>2.8389562299302802</v>
      </c>
    </row>
    <row r="404" spans="1:30" x14ac:dyDescent="0.3">
      <c r="A404">
        <v>2020</v>
      </c>
      <c r="B404">
        <v>196</v>
      </c>
      <c r="C404" t="s">
        <v>234</v>
      </c>
      <c r="D404">
        <v>53977.599999999999</v>
      </c>
      <c r="E404">
        <v>-0.1</v>
      </c>
      <c r="F404">
        <v>2733</v>
      </c>
      <c r="G404">
        <v>76.3</v>
      </c>
      <c r="H404">
        <v>72580</v>
      </c>
      <c r="I404">
        <v>9953.2000000000007</v>
      </c>
      <c r="J404">
        <v>0</v>
      </c>
      <c r="K404">
        <v>5.0999999999999996</v>
      </c>
      <c r="L404">
        <v>3.8</v>
      </c>
      <c r="M404">
        <v>27.5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194431</v>
      </c>
      <c r="V404" t="s">
        <v>290</v>
      </c>
      <c r="W404" t="s">
        <v>44</v>
      </c>
      <c r="Y404" t="s">
        <v>236</v>
      </c>
      <c r="Z404">
        <v>9938.1818181818198</v>
      </c>
      <c r="AA404">
        <v>2019</v>
      </c>
      <c r="AB404">
        <v>0.74369798842656398</v>
      </c>
      <c r="AC404">
        <v>0.27500000000000002</v>
      </c>
      <c r="AD404">
        <v>7.3031467252103903</v>
      </c>
    </row>
    <row r="405" spans="1:30" x14ac:dyDescent="0.3">
      <c r="A405">
        <v>2020</v>
      </c>
      <c r="B405">
        <v>176</v>
      </c>
      <c r="C405" t="s">
        <v>237</v>
      </c>
      <c r="D405">
        <v>57465.9</v>
      </c>
      <c r="E405">
        <v>-2</v>
      </c>
      <c r="F405">
        <v>3931.1</v>
      </c>
      <c r="G405">
        <v>11.3</v>
      </c>
      <c r="H405">
        <v>130355.7</v>
      </c>
      <c r="I405">
        <v>20513.400000000001</v>
      </c>
      <c r="J405">
        <v>0</v>
      </c>
      <c r="K405">
        <v>6.8</v>
      </c>
      <c r="L405">
        <v>3</v>
      </c>
      <c r="M405">
        <v>19.2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120138</v>
      </c>
      <c r="V405" t="s">
        <v>289</v>
      </c>
      <c r="W405" t="s">
        <v>44</v>
      </c>
      <c r="Y405" t="s">
        <v>239</v>
      </c>
      <c r="Z405">
        <v>20474.479166666701</v>
      </c>
      <c r="AA405">
        <v>2019</v>
      </c>
      <c r="AB405">
        <v>0.44083918079531598</v>
      </c>
      <c r="AC405">
        <v>0.192</v>
      </c>
      <c r="AD405">
        <v>6.3667407087074901</v>
      </c>
    </row>
    <row r="406" spans="1:30" x14ac:dyDescent="0.3">
      <c r="A406">
        <v>2020</v>
      </c>
      <c r="B406">
        <v>23</v>
      </c>
      <c r="C406" t="s">
        <v>243</v>
      </c>
      <c r="D406">
        <v>175617</v>
      </c>
      <c r="E406">
        <v>13.5</v>
      </c>
      <c r="F406">
        <v>4281.6000000000004</v>
      </c>
      <c r="G406">
        <v>-6.1</v>
      </c>
      <c r="H406">
        <v>110012.9</v>
      </c>
      <c r="I406">
        <v>39428.6</v>
      </c>
      <c r="J406">
        <v>0</v>
      </c>
      <c r="K406">
        <v>2.4</v>
      </c>
      <c r="L406">
        <v>3.9</v>
      </c>
      <c r="M406">
        <v>10.9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667680</v>
      </c>
      <c r="V406" t="s">
        <v>291</v>
      </c>
      <c r="W406" t="s">
        <v>90</v>
      </c>
      <c r="Y406" t="s">
        <v>245</v>
      </c>
      <c r="Z406">
        <v>39280.733944954103</v>
      </c>
      <c r="AA406">
        <v>2019</v>
      </c>
      <c r="AB406">
        <v>1.59633097573103</v>
      </c>
      <c r="AC406">
        <v>0.109</v>
      </c>
      <c r="AD406">
        <v>2.8006834127429001</v>
      </c>
    </row>
    <row r="407" spans="1:30" x14ac:dyDescent="0.3">
      <c r="A407">
        <v>2020</v>
      </c>
      <c r="B407">
        <v>15</v>
      </c>
      <c r="C407" t="s">
        <v>246</v>
      </c>
      <c r="D407">
        <v>221579.4</v>
      </c>
      <c r="E407">
        <v>4.5</v>
      </c>
      <c r="F407">
        <v>39895.199999999997</v>
      </c>
      <c r="G407">
        <v>9.1</v>
      </c>
      <c r="H407">
        <v>304165.3</v>
      </c>
      <c r="I407">
        <v>215173.4</v>
      </c>
      <c r="J407">
        <v>0</v>
      </c>
      <c r="K407">
        <v>18</v>
      </c>
      <c r="L407">
        <v>13.1</v>
      </c>
      <c r="M407">
        <v>18.5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309630</v>
      </c>
      <c r="V407" t="s">
        <v>278</v>
      </c>
      <c r="W407" t="s">
        <v>90</v>
      </c>
      <c r="Y407" t="s">
        <v>248</v>
      </c>
      <c r="Z407">
        <v>215649.72972973</v>
      </c>
      <c r="AA407">
        <v>2019</v>
      </c>
      <c r="AB407">
        <v>0.72848349236418497</v>
      </c>
      <c r="AC407">
        <v>0.185</v>
      </c>
      <c r="AD407">
        <v>1.4104599174838099</v>
      </c>
    </row>
    <row r="408" spans="1:30" x14ac:dyDescent="0.3">
      <c r="A408">
        <v>2019</v>
      </c>
      <c r="B408">
        <v>196</v>
      </c>
      <c r="C408" t="s">
        <v>234</v>
      </c>
      <c r="D408">
        <v>53977.599999999999</v>
      </c>
      <c r="E408">
        <v>-0.1</v>
      </c>
      <c r="F408">
        <v>2733</v>
      </c>
      <c r="G408">
        <v>76.3</v>
      </c>
      <c r="H408">
        <v>72580</v>
      </c>
      <c r="I408">
        <v>9953.2000000000007</v>
      </c>
      <c r="J408">
        <v>0</v>
      </c>
      <c r="K408">
        <v>5.0999999999999996</v>
      </c>
      <c r="L408">
        <v>3.8</v>
      </c>
      <c r="M408">
        <v>27.5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194431</v>
      </c>
      <c r="V408" t="s">
        <v>290</v>
      </c>
      <c r="W408" t="s">
        <v>44</v>
      </c>
      <c r="Y408" t="s">
        <v>236</v>
      </c>
      <c r="Z408">
        <v>9938.1818181818198</v>
      </c>
      <c r="AA408">
        <v>2018</v>
      </c>
      <c r="AB408">
        <v>0.74369798842656398</v>
      </c>
      <c r="AC408">
        <v>0.27500000000000002</v>
      </c>
      <c r="AD408">
        <v>7.3031467252103903</v>
      </c>
    </row>
    <row r="409" spans="1:30" x14ac:dyDescent="0.3">
      <c r="A409">
        <v>2019</v>
      </c>
      <c r="B409">
        <v>176</v>
      </c>
      <c r="C409" t="s">
        <v>237</v>
      </c>
      <c r="D409">
        <v>57465.9</v>
      </c>
      <c r="E409">
        <v>-2</v>
      </c>
      <c r="F409">
        <v>3931.1</v>
      </c>
      <c r="G409">
        <v>11.3</v>
      </c>
      <c r="H409">
        <v>130355.7</v>
      </c>
      <c r="I409">
        <v>20513.400000000001</v>
      </c>
      <c r="J409">
        <v>0</v>
      </c>
      <c r="K409">
        <v>6.8</v>
      </c>
      <c r="L409">
        <v>3</v>
      </c>
      <c r="M409">
        <v>19.2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120138</v>
      </c>
      <c r="V409" t="s">
        <v>289</v>
      </c>
      <c r="W409" t="s">
        <v>44</v>
      </c>
      <c r="Y409" t="s">
        <v>239</v>
      </c>
      <c r="Z409">
        <v>20474.479166666701</v>
      </c>
      <c r="AA409">
        <v>2018</v>
      </c>
      <c r="AB409">
        <v>0.44083918079531598</v>
      </c>
      <c r="AC409">
        <v>0.192</v>
      </c>
      <c r="AD409">
        <v>6.3667407087074901</v>
      </c>
    </row>
    <row r="410" spans="1:30" x14ac:dyDescent="0.3">
      <c r="A410">
        <v>2019</v>
      </c>
      <c r="B410">
        <v>23</v>
      </c>
      <c r="C410" t="s">
        <v>243</v>
      </c>
      <c r="D410">
        <v>175617</v>
      </c>
      <c r="E410">
        <v>13.5</v>
      </c>
      <c r="F410">
        <v>4281.6000000000004</v>
      </c>
      <c r="G410">
        <v>-6.1</v>
      </c>
      <c r="H410">
        <v>110012.9</v>
      </c>
      <c r="I410">
        <v>39428.6</v>
      </c>
      <c r="J410">
        <v>0</v>
      </c>
      <c r="K410">
        <v>2.4</v>
      </c>
      <c r="L410">
        <v>3.9</v>
      </c>
      <c r="M410">
        <v>10.9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667680</v>
      </c>
      <c r="V410" t="s">
        <v>291</v>
      </c>
      <c r="W410" t="s">
        <v>90</v>
      </c>
      <c r="Y410" t="s">
        <v>245</v>
      </c>
      <c r="Z410">
        <v>39280.733944954103</v>
      </c>
      <c r="AA410">
        <v>2018</v>
      </c>
      <c r="AB410">
        <v>1.59633097573103</v>
      </c>
      <c r="AC410">
        <v>0.109</v>
      </c>
      <c r="AD410">
        <v>2.8006834127429001</v>
      </c>
    </row>
    <row r="411" spans="1:30" x14ac:dyDescent="0.3">
      <c r="A411">
        <v>2019</v>
      </c>
      <c r="B411">
        <v>15</v>
      </c>
      <c r="C411" t="s">
        <v>246</v>
      </c>
      <c r="D411">
        <v>221579.4</v>
      </c>
      <c r="E411">
        <v>4.5</v>
      </c>
      <c r="F411">
        <v>39895.199999999997</v>
      </c>
      <c r="G411">
        <v>9.1</v>
      </c>
      <c r="H411">
        <v>304165.3</v>
      </c>
      <c r="I411">
        <v>215173.4</v>
      </c>
      <c r="J411">
        <v>0</v>
      </c>
      <c r="K411">
        <v>18</v>
      </c>
      <c r="L411">
        <v>13.1</v>
      </c>
      <c r="M411">
        <v>18.5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309630</v>
      </c>
      <c r="V411" t="s">
        <v>278</v>
      </c>
      <c r="W411" t="s">
        <v>90</v>
      </c>
      <c r="Y411" t="s">
        <v>248</v>
      </c>
      <c r="Z411">
        <v>215649.72972973</v>
      </c>
      <c r="AA411">
        <v>2018</v>
      </c>
      <c r="AB411">
        <v>0.72848349236418497</v>
      </c>
      <c r="AC411">
        <v>0.185</v>
      </c>
      <c r="AD411">
        <v>1.4104599174838099</v>
      </c>
    </row>
    <row r="412" spans="1:30" x14ac:dyDescent="0.3">
      <c r="A412">
        <v>2018</v>
      </c>
      <c r="B412">
        <v>196</v>
      </c>
      <c r="C412" t="s">
        <v>234</v>
      </c>
      <c r="D412">
        <v>53977.599999999999</v>
      </c>
      <c r="E412">
        <v>-0.1</v>
      </c>
      <c r="F412">
        <v>2733</v>
      </c>
      <c r="G412">
        <v>76.3</v>
      </c>
      <c r="H412">
        <v>72580</v>
      </c>
      <c r="I412">
        <v>9953.2000000000007</v>
      </c>
      <c r="J412">
        <v>0</v>
      </c>
      <c r="K412">
        <v>5.0999999999999996</v>
      </c>
      <c r="L412">
        <v>3.8</v>
      </c>
      <c r="M412">
        <v>27.5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194431</v>
      </c>
      <c r="V412" t="s">
        <v>290</v>
      </c>
      <c r="W412" t="s">
        <v>44</v>
      </c>
      <c r="Y412" t="s">
        <v>236</v>
      </c>
      <c r="Z412">
        <v>9938.1818181818198</v>
      </c>
      <c r="AA412">
        <v>2017</v>
      </c>
      <c r="AB412">
        <v>0.74369798842656398</v>
      </c>
      <c r="AC412">
        <v>0.27500000000000002</v>
      </c>
      <c r="AD412">
        <v>7.3031467252103903</v>
      </c>
    </row>
    <row r="413" spans="1:30" x14ac:dyDescent="0.3">
      <c r="A413">
        <v>2018</v>
      </c>
      <c r="B413">
        <v>176</v>
      </c>
      <c r="C413" t="s">
        <v>237</v>
      </c>
      <c r="D413">
        <v>57465.9</v>
      </c>
      <c r="E413">
        <v>-2</v>
      </c>
      <c r="F413">
        <v>3931.1</v>
      </c>
      <c r="G413">
        <v>11.3</v>
      </c>
      <c r="H413">
        <v>130355.7</v>
      </c>
      <c r="I413">
        <v>20513.400000000001</v>
      </c>
      <c r="J413">
        <v>0</v>
      </c>
      <c r="K413">
        <v>6.8</v>
      </c>
      <c r="L413">
        <v>3</v>
      </c>
      <c r="M413">
        <v>19.2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120138</v>
      </c>
      <c r="V413" t="s">
        <v>289</v>
      </c>
      <c r="W413" t="s">
        <v>44</v>
      </c>
      <c r="Y413" t="s">
        <v>239</v>
      </c>
      <c r="Z413">
        <v>20474.479166666701</v>
      </c>
      <c r="AA413">
        <v>2017</v>
      </c>
      <c r="AB413">
        <v>0.44083918079531598</v>
      </c>
      <c r="AC413">
        <v>0.192</v>
      </c>
      <c r="AD413">
        <v>6.3667407087074901</v>
      </c>
    </row>
    <row r="414" spans="1:30" x14ac:dyDescent="0.3">
      <c r="A414">
        <v>2018</v>
      </c>
      <c r="B414">
        <v>23</v>
      </c>
      <c r="C414" t="s">
        <v>243</v>
      </c>
      <c r="D414">
        <v>175617</v>
      </c>
      <c r="E414">
        <v>13.5</v>
      </c>
      <c r="F414">
        <v>4281.6000000000004</v>
      </c>
      <c r="G414">
        <v>-6.1</v>
      </c>
      <c r="H414">
        <v>110012.9</v>
      </c>
      <c r="I414">
        <v>39428.6</v>
      </c>
      <c r="J414">
        <v>0</v>
      </c>
      <c r="K414">
        <v>2.4</v>
      </c>
      <c r="L414">
        <v>3.9</v>
      </c>
      <c r="M414">
        <v>10.9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667680</v>
      </c>
      <c r="V414" t="s">
        <v>291</v>
      </c>
      <c r="W414" t="s">
        <v>90</v>
      </c>
      <c r="Y414" t="s">
        <v>245</v>
      </c>
      <c r="Z414">
        <v>39280.733944954103</v>
      </c>
      <c r="AA414">
        <v>2017</v>
      </c>
      <c r="AB414">
        <v>1.59633097573103</v>
      </c>
      <c r="AC414">
        <v>0.109</v>
      </c>
      <c r="AD414">
        <v>2.8006834127429001</v>
      </c>
    </row>
    <row r="415" spans="1:30" x14ac:dyDescent="0.3">
      <c r="A415">
        <v>2018</v>
      </c>
      <c r="B415">
        <v>15</v>
      </c>
      <c r="C415" t="s">
        <v>246</v>
      </c>
      <c r="D415">
        <v>221579.4</v>
      </c>
      <c r="E415">
        <v>4.5</v>
      </c>
      <c r="F415">
        <v>39895.199999999997</v>
      </c>
      <c r="G415">
        <v>9.1</v>
      </c>
      <c r="H415">
        <v>304165.3</v>
      </c>
      <c r="I415">
        <v>215173.4</v>
      </c>
      <c r="J415">
        <v>0</v>
      </c>
      <c r="K415">
        <v>18</v>
      </c>
      <c r="L415">
        <v>13.1</v>
      </c>
      <c r="M415">
        <v>18.5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309630</v>
      </c>
      <c r="V415" t="s">
        <v>278</v>
      </c>
      <c r="W415" t="s">
        <v>90</v>
      </c>
      <c r="Y415" t="s">
        <v>248</v>
      </c>
      <c r="Z415">
        <v>215649.72972973</v>
      </c>
      <c r="AA415">
        <v>2017</v>
      </c>
      <c r="AB415">
        <v>0.72848349236418497</v>
      </c>
      <c r="AC415">
        <v>0.185</v>
      </c>
      <c r="AD415">
        <v>1.4104599174838099</v>
      </c>
    </row>
    <row r="416" spans="1:30" x14ac:dyDescent="0.3">
      <c r="A416">
        <v>2017</v>
      </c>
      <c r="B416">
        <v>479</v>
      </c>
      <c r="C416" t="s">
        <v>169</v>
      </c>
      <c r="D416">
        <v>22839.7</v>
      </c>
      <c r="E416">
        <v>-9</v>
      </c>
      <c r="F416">
        <v>781.4</v>
      </c>
      <c r="G416">
        <v>-8.6</v>
      </c>
      <c r="H416">
        <v>20606.400000000001</v>
      </c>
      <c r="I416">
        <v>10728.7</v>
      </c>
      <c r="J416">
        <v>0</v>
      </c>
      <c r="K416">
        <v>3.4</v>
      </c>
      <c r="L416">
        <v>3.8</v>
      </c>
      <c r="M416">
        <v>7.3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49094</v>
      </c>
      <c r="V416" t="s">
        <v>296</v>
      </c>
      <c r="W416" t="s">
        <v>90</v>
      </c>
      <c r="Y416" t="s">
        <v>171</v>
      </c>
      <c r="Z416">
        <v>10704.1095890411</v>
      </c>
      <c r="AA416">
        <v>2016</v>
      </c>
      <c r="AB416">
        <v>1.10837895022906</v>
      </c>
      <c r="AC416">
        <v>7.2999999999999995E-2</v>
      </c>
      <c r="AD416">
        <v>1.92509239825953</v>
      </c>
    </row>
    <row r="417" spans="1:30" x14ac:dyDescent="0.3">
      <c r="A417">
        <v>2017</v>
      </c>
      <c r="B417">
        <v>458</v>
      </c>
      <c r="C417" t="s">
        <v>297</v>
      </c>
      <c r="D417">
        <v>23772.5</v>
      </c>
      <c r="E417">
        <v>-10.9</v>
      </c>
      <c r="F417">
        <v>252.1</v>
      </c>
      <c r="G417">
        <v>-7.9</v>
      </c>
      <c r="H417">
        <v>10768.5</v>
      </c>
      <c r="I417">
        <v>3283.3</v>
      </c>
      <c r="J417">
        <v>0</v>
      </c>
      <c r="K417">
        <v>1.1000000000000001</v>
      </c>
      <c r="L417">
        <v>2.2999999999999998</v>
      </c>
      <c r="M417">
        <v>7.7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64728</v>
      </c>
      <c r="V417" t="s">
        <v>298</v>
      </c>
      <c r="W417" t="s">
        <v>30</v>
      </c>
      <c r="Y417" t="s">
        <v>299</v>
      </c>
      <c r="Z417">
        <v>3274.0259740259698</v>
      </c>
      <c r="AA417">
        <v>2016</v>
      </c>
      <c r="AB417">
        <v>2.2075962297441598</v>
      </c>
      <c r="AC417">
        <v>7.6999999999999999E-2</v>
      </c>
      <c r="AD417">
        <v>3.2890698135660501</v>
      </c>
    </row>
    <row r="418" spans="1:30" x14ac:dyDescent="0.3">
      <c r="A418">
        <v>2017</v>
      </c>
      <c r="B418">
        <v>390</v>
      </c>
      <c r="C418" t="s">
        <v>225</v>
      </c>
      <c r="D418">
        <v>27715.1</v>
      </c>
      <c r="E418">
        <v>-12.7</v>
      </c>
      <c r="F418">
        <v>469.3</v>
      </c>
      <c r="G418">
        <v>-16.399999999999999</v>
      </c>
      <c r="H418">
        <v>18229</v>
      </c>
      <c r="I418">
        <v>4122.7</v>
      </c>
      <c r="J418">
        <v>0</v>
      </c>
      <c r="K418">
        <v>1.7</v>
      </c>
      <c r="L418">
        <v>2.6</v>
      </c>
      <c r="M418">
        <v>11.4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92698</v>
      </c>
      <c r="V418" t="s">
        <v>278</v>
      </c>
      <c r="W418" t="s">
        <v>30</v>
      </c>
      <c r="Y418" t="s">
        <v>227</v>
      </c>
      <c r="Z418">
        <v>4116.6666666666697</v>
      </c>
      <c r="AA418">
        <v>2016</v>
      </c>
      <c r="AB418">
        <v>1.5203851006637801</v>
      </c>
      <c r="AC418">
        <v>0.114</v>
      </c>
      <c r="AD418">
        <v>4.4280971659919004</v>
      </c>
    </row>
    <row r="419" spans="1:30" x14ac:dyDescent="0.3">
      <c r="A419">
        <v>2017</v>
      </c>
      <c r="B419">
        <v>296</v>
      </c>
      <c r="C419" t="s">
        <v>300</v>
      </c>
      <c r="D419">
        <v>35891.199999999997</v>
      </c>
      <c r="E419">
        <v>-6.1</v>
      </c>
      <c r="F419">
        <v>599.6</v>
      </c>
      <c r="G419">
        <v>-20.100000000000001</v>
      </c>
      <c r="H419">
        <v>13776.4</v>
      </c>
      <c r="I419">
        <v>4601.1000000000004</v>
      </c>
      <c r="J419">
        <v>0</v>
      </c>
      <c r="K419">
        <v>1.7</v>
      </c>
      <c r="L419">
        <v>4.4000000000000004</v>
      </c>
      <c r="M419">
        <v>13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196251</v>
      </c>
      <c r="V419" t="s">
        <v>298</v>
      </c>
      <c r="W419" t="s">
        <v>30</v>
      </c>
      <c r="Y419" t="s">
        <v>301</v>
      </c>
      <c r="Z419">
        <v>4612.3076923076896</v>
      </c>
      <c r="AA419">
        <v>2016</v>
      </c>
      <c r="AB419">
        <v>2.6052669783107301</v>
      </c>
      <c r="AC419">
        <v>0.13</v>
      </c>
      <c r="AD419">
        <v>2.9868779186124099</v>
      </c>
    </row>
    <row r="420" spans="1:30" x14ac:dyDescent="0.3">
      <c r="A420">
        <v>2017</v>
      </c>
      <c r="B420">
        <v>201</v>
      </c>
      <c r="C420" t="s">
        <v>302</v>
      </c>
      <c r="D420">
        <v>47712.2</v>
      </c>
      <c r="E420">
        <v>-4.5999999999999996</v>
      </c>
      <c r="F420">
        <v>66.2</v>
      </c>
      <c r="G420">
        <v>-39.799999999999997</v>
      </c>
      <c r="H420">
        <v>31347.5</v>
      </c>
      <c r="I420">
        <v>9926.4</v>
      </c>
      <c r="J420">
        <v>0</v>
      </c>
      <c r="K420">
        <v>0.1</v>
      </c>
      <c r="L420">
        <v>0.2</v>
      </c>
      <c r="M420">
        <v>0.7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75000</v>
      </c>
      <c r="V420" t="s">
        <v>278</v>
      </c>
      <c r="W420" t="s">
        <v>90</v>
      </c>
      <c r="Y420" t="s">
        <v>303</v>
      </c>
      <c r="Z420">
        <v>9457.1428571428605</v>
      </c>
      <c r="AA420">
        <v>2016</v>
      </c>
      <c r="AB420">
        <v>1.52204163011404</v>
      </c>
      <c r="AC420">
        <v>7.0000000000000001E-3</v>
      </c>
      <c r="AD420">
        <v>3.31469033232628</v>
      </c>
    </row>
    <row r="421" spans="1:30" x14ac:dyDescent="0.3">
      <c r="A421">
        <v>2017</v>
      </c>
      <c r="B421">
        <v>176</v>
      </c>
      <c r="C421" t="s">
        <v>234</v>
      </c>
      <c r="D421">
        <v>52201</v>
      </c>
      <c r="E421">
        <v>-7.4</v>
      </c>
      <c r="F421">
        <v>462.9</v>
      </c>
      <c r="G421">
        <v>-79</v>
      </c>
      <c r="H421">
        <v>73554.7</v>
      </c>
      <c r="I421">
        <v>10142.700000000001</v>
      </c>
      <c r="J421">
        <v>0</v>
      </c>
      <c r="K421">
        <v>0.9</v>
      </c>
      <c r="L421">
        <v>0.6</v>
      </c>
      <c r="M421">
        <v>4.5999999999999996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194193</v>
      </c>
      <c r="V421" t="s">
        <v>290</v>
      </c>
      <c r="W421" t="s">
        <v>44</v>
      </c>
      <c r="Y421" t="s">
        <v>236</v>
      </c>
      <c r="Z421">
        <v>10063.043478260901</v>
      </c>
      <c r="AA421">
        <v>2016</v>
      </c>
      <c r="AB421">
        <v>0.70968952357905102</v>
      </c>
      <c r="AC421">
        <v>4.5999999999999999E-2</v>
      </c>
      <c r="AD421">
        <v>7.3093890689133696</v>
      </c>
    </row>
    <row r="422" spans="1:30" x14ac:dyDescent="0.3">
      <c r="A422">
        <v>2017</v>
      </c>
      <c r="B422">
        <v>153</v>
      </c>
      <c r="C422" t="s">
        <v>237</v>
      </c>
      <c r="D422">
        <v>57543.8</v>
      </c>
      <c r="E422">
        <v>-5.5</v>
      </c>
      <c r="F422">
        <v>2619.6999999999998</v>
      </c>
      <c r="G422">
        <v>283.39999999999998</v>
      </c>
      <c r="H422">
        <v>130395.5</v>
      </c>
      <c r="I422">
        <v>19148.900000000001</v>
      </c>
      <c r="J422">
        <v>0</v>
      </c>
      <c r="K422">
        <v>4.5999999999999996</v>
      </c>
      <c r="L422">
        <v>2</v>
      </c>
      <c r="M422">
        <v>13.7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127323</v>
      </c>
      <c r="V422" t="s">
        <v>289</v>
      </c>
      <c r="W422" t="s">
        <v>44</v>
      </c>
      <c r="Y422" t="s">
        <v>239</v>
      </c>
      <c r="Z422">
        <v>19121.897810219001</v>
      </c>
      <c r="AA422">
        <v>2016</v>
      </c>
      <c r="AB422">
        <v>0.44130203879735103</v>
      </c>
      <c r="AC422">
        <v>0.13700000000000001</v>
      </c>
      <c r="AD422">
        <v>6.8191714700156503</v>
      </c>
    </row>
    <row r="423" spans="1:30" x14ac:dyDescent="0.3">
      <c r="A423">
        <v>2017</v>
      </c>
      <c r="B423">
        <v>27</v>
      </c>
      <c r="C423" t="s">
        <v>243</v>
      </c>
      <c r="D423">
        <v>135128.79999999999</v>
      </c>
      <c r="E423">
        <v>-4.3</v>
      </c>
      <c r="F423">
        <v>4608.8</v>
      </c>
      <c r="G423">
        <v>-0.4</v>
      </c>
      <c r="H423">
        <v>80435.8</v>
      </c>
      <c r="I423">
        <v>33475.5</v>
      </c>
      <c r="J423">
        <v>0</v>
      </c>
      <c r="K423">
        <v>3.4</v>
      </c>
      <c r="L423">
        <v>5.7</v>
      </c>
      <c r="M423">
        <v>13.8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726772</v>
      </c>
      <c r="V423" t="s">
        <v>291</v>
      </c>
      <c r="W423" t="s">
        <v>90</v>
      </c>
      <c r="Y423" t="s">
        <v>245</v>
      </c>
      <c r="Z423">
        <v>33397.101449275397</v>
      </c>
      <c r="AA423">
        <v>2016</v>
      </c>
      <c r="AB423">
        <v>1.6799584264717899</v>
      </c>
      <c r="AC423">
        <v>0.13800000000000001</v>
      </c>
      <c r="AD423">
        <v>2.4084664988717202</v>
      </c>
    </row>
    <row r="424" spans="1:30" x14ac:dyDescent="0.3">
      <c r="A424">
        <v>2017</v>
      </c>
      <c r="B424">
        <v>15</v>
      </c>
      <c r="C424" t="s">
        <v>246</v>
      </c>
      <c r="D424">
        <v>173957.3</v>
      </c>
      <c r="E424">
        <v>-2</v>
      </c>
      <c r="F424">
        <v>19316.5</v>
      </c>
      <c r="G424">
        <v>16.8</v>
      </c>
      <c r="H424">
        <v>217103.6</v>
      </c>
      <c r="I424">
        <v>154375.9</v>
      </c>
      <c r="J424">
        <v>0</v>
      </c>
      <c r="K424">
        <v>11.1</v>
      </c>
      <c r="L424">
        <v>8.9</v>
      </c>
      <c r="M424">
        <v>12.5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325000</v>
      </c>
      <c r="V424" t="s">
        <v>304</v>
      </c>
      <c r="W424" t="s">
        <v>90</v>
      </c>
      <c r="Y424" t="s">
        <v>248</v>
      </c>
      <c r="Z424">
        <v>154532</v>
      </c>
      <c r="AA424">
        <v>2016</v>
      </c>
      <c r="AB424">
        <v>0.80126400483455795</v>
      </c>
      <c r="AC424">
        <v>0.125</v>
      </c>
      <c r="AD424">
        <v>1.4049103098387401</v>
      </c>
    </row>
    <row r="425" spans="1:30" x14ac:dyDescent="0.3">
      <c r="A425">
        <v>2016</v>
      </c>
      <c r="B425">
        <v>482</v>
      </c>
      <c r="C425" t="s">
        <v>216</v>
      </c>
      <c r="D425">
        <v>22126.3</v>
      </c>
      <c r="E425">
        <v>-10.199999999999999</v>
      </c>
      <c r="F425">
        <v>3518.5</v>
      </c>
      <c r="G425">
        <v>-10.3</v>
      </c>
      <c r="H425">
        <v>31077.9</v>
      </c>
      <c r="I425">
        <v>10836.7</v>
      </c>
      <c r="J425">
        <v>0</v>
      </c>
      <c r="K425">
        <v>15.9</v>
      </c>
      <c r="L425">
        <v>11.3</v>
      </c>
      <c r="M425">
        <v>32.5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36165</v>
      </c>
      <c r="V425" t="s">
        <v>305</v>
      </c>
      <c r="W425" t="s">
        <v>44</v>
      </c>
      <c r="Y425" t="s">
        <v>218</v>
      </c>
      <c r="Z425">
        <v>10826.1538461538</v>
      </c>
      <c r="AA425">
        <v>2015</v>
      </c>
      <c r="AB425">
        <v>0.71196251999008897</v>
      </c>
      <c r="AC425">
        <v>0.32500000000000001</v>
      </c>
      <c r="AD425">
        <v>2.8706316612192699</v>
      </c>
    </row>
    <row r="426" spans="1:30" x14ac:dyDescent="0.3">
      <c r="A426">
        <v>2016</v>
      </c>
      <c r="B426">
        <v>429</v>
      </c>
      <c r="C426" t="s">
        <v>169</v>
      </c>
      <c r="D426">
        <v>25100.2</v>
      </c>
      <c r="E426">
        <v>-0.1</v>
      </c>
      <c r="F426">
        <v>854.7</v>
      </c>
      <c r="G426">
        <v>-0.5</v>
      </c>
      <c r="H426">
        <v>19258.900000000001</v>
      </c>
      <c r="I426">
        <v>10400.9</v>
      </c>
      <c r="J426">
        <v>0</v>
      </c>
      <c r="K426">
        <v>3.4</v>
      </c>
      <c r="L426">
        <v>4.4000000000000004</v>
      </c>
      <c r="M426">
        <v>8.1999999999999993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49205</v>
      </c>
      <c r="V426" t="s">
        <v>296</v>
      </c>
      <c r="W426" t="s">
        <v>90</v>
      </c>
      <c r="Y426" t="s">
        <v>171</v>
      </c>
      <c r="Z426">
        <v>10423.1707317073</v>
      </c>
      <c r="AA426">
        <v>2015</v>
      </c>
      <c r="AB426">
        <v>1.30330392701556</v>
      </c>
      <c r="AC426">
        <v>8.2000000000000003E-2</v>
      </c>
      <c r="AD426">
        <v>1.84770071370071</v>
      </c>
    </row>
    <row r="427" spans="1:30" x14ac:dyDescent="0.3">
      <c r="A427">
        <v>2016</v>
      </c>
      <c r="B427">
        <v>404</v>
      </c>
      <c r="C427" t="s">
        <v>144</v>
      </c>
      <c r="D427">
        <v>26569.4</v>
      </c>
      <c r="E427">
        <v>-20.100000000000001</v>
      </c>
      <c r="F427">
        <v>-79.900000000000006</v>
      </c>
      <c r="G427">
        <v>-104.5</v>
      </c>
      <c r="H427">
        <v>77372.2</v>
      </c>
      <c r="I427">
        <v>19128</v>
      </c>
      <c r="J427">
        <v>0</v>
      </c>
      <c r="K427">
        <v>-0.3</v>
      </c>
      <c r="L427">
        <v>-0.1</v>
      </c>
      <c r="M427">
        <v>-0.4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82094</v>
      </c>
      <c r="V427" t="s">
        <v>145</v>
      </c>
      <c r="W427" t="s">
        <v>44</v>
      </c>
      <c r="Y427" t="s">
        <v>146</v>
      </c>
      <c r="Z427">
        <v>19975</v>
      </c>
      <c r="AA427">
        <v>2015</v>
      </c>
      <c r="AB427">
        <v>0.34339724086946</v>
      </c>
      <c r="AC427">
        <v>-4.0000000000000001E-3</v>
      </c>
      <c r="AD427">
        <v>3.87345181476846</v>
      </c>
    </row>
    <row r="428" spans="1:30" x14ac:dyDescent="0.3">
      <c r="A428">
        <v>2016</v>
      </c>
      <c r="B428">
        <v>368</v>
      </c>
      <c r="C428" t="s">
        <v>172</v>
      </c>
      <c r="D428">
        <v>28689.200000000001</v>
      </c>
      <c r="E428">
        <v>-7.1</v>
      </c>
      <c r="F428">
        <v>715.5</v>
      </c>
      <c r="G428">
        <v>30</v>
      </c>
      <c r="H428">
        <v>33646.1</v>
      </c>
      <c r="I428">
        <v>12667.3</v>
      </c>
      <c r="J428">
        <v>0</v>
      </c>
      <c r="K428">
        <v>2.5</v>
      </c>
      <c r="L428">
        <v>2.1</v>
      </c>
      <c r="M428">
        <v>5.6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112959</v>
      </c>
      <c r="V428" t="s">
        <v>306</v>
      </c>
      <c r="W428" t="s">
        <v>90</v>
      </c>
      <c r="Y428" t="s">
        <v>174</v>
      </c>
      <c r="Z428">
        <v>12776.785714285699</v>
      </c>
      <c r="AA428">
        <v>2015</v>
      </c>
      <c r="AB428">
        <v>0.85267534721706195</v>
      </c>
      <c r="AC428">
        <v>5.6000000000000001E-2</v>
      </c>
      <c r="AD428">
        <v>2.6333774982529699</v>
      </c>
    </row>
    <row r="429" spans="1:30" x14ac:dyDescent="0.3">
      <c r="A429">
        <v>2016</v>
      </c>
      <c r="B429">
        <v>180</v>
      </c>
      <c r="C429" t="s">
        <v>302</v>
      </c>
      <c r="D429">
        <v>49996.2</v>
      </c>
      <c r="E429">
        <v>-12.3</v>
      </c>
      <c r="F429">
        <v>110</v>
      </c>
      <c r="G429">
        <v>-71</v>
      </c>
      <c r="H429">
        <v>30976.6</v>
      </c>
      <c r="I429">
        <v>9917.7000000000007</v>
      </c>
      <c r="J429">
        <v>0</v>
      </c>
      <c r="K429">
        <v>0.2</v>
      </c>
      <c r="L429">
        <v>0.4</v>
      </c>
      <c r="M429">
        <v>1.1000000000000001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77000</v>
      </c>
      <c r="V429" t="s">
        <v>278</v>
      </c>
      <c r="W429" t="s">
        <v>90</v>
      </c>
      <c r="Y429" t="s">
        <v>303</v>
      </c>
      <c r="Z429">
        <v>10000</v>
      </c>
      <c r="AA429">
        <v>2015</v>
      </c>
      <c r="AB429">
        <v>1.6139989540491899</v>
      </c>
      <c r="AC429">
        <v>1.0999999999999999E-2</v>
      </c>
      <c r="AD429">
        <v>3.0976599999999999</v>
      </c>
    </row>
    <row r="430" spans="1:30" x14ac:dyDescent="0.3">
      <c r="A430">
        <v>2016</v>
      </c>
      <c r="B430">
        <v>154</v>
      </c>
      <c r="C430" t="s">
        <v>234</v>
      </c>
      <c r="D430">
        <v>56361.1</v>
      </c>
      <c r="E430">
        <v>-11.6</v>
      </c>
      <c r="F430">
        <v>2209.4</v>
      </c>
      <c r="G430">
        <v>-36.299999999999997</v>
      </c>
      <c r="H430">
        <v>75080.800000000003</v>
      </c>
      <c r="I430">
        <v>6502.1</v>
      </c>
      <c r="J430">
        <v>0</v>
      </c>
      <c r="K430">
        <v>3.9</v>
      </c>
      <c r="L430">
        <v>2.9</v>
      </c>
      <c r="M430">
        <v>34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195475</v>
      </c>
      <c r="V430" t="s">
        <v>290</v>
      </c>
      <c r="W430" t="s">
        <v>44</v>
      </c>
      <c r="Y430" t="s">
        <v>236</v>
      </c>
      <c r="Z430">
        <v>6498.2352941176496</v>
      </c>
      <c r="AA430">
        <v>2015</v>
      </c>
      <c r="AB430">
        <v>0.75067260870954999</v>
      </c>
      <c r="AC430">
        <v>0.34</v>
      </c>
      <c r="AD430">
        <v>11.554029148185</v>
      </c>
    </row>
    <row r="431" spans="1:30" x14ac:dyDescent="0.3">
      <c r="A431">
        <v>2016</v>
      </c>
      <c r="B431">
        <v>137</v>
      </c>
      <c r="C431" t="s">
        <v>237</v>
      </c>
      <c r="D431">
        <v>60917</v>
      </c>
      <c r="E431">
        <v>-8.8000000000000007</v>
      </c>
      <c r="F431">
        <v>3045</v>
      </c>
      <c r="G431">
        <v>-23.5</v>
      </c>
      <c r="H431">
        <v>133574.29999999999</v>
      </c>
      <c r="I431">
        <v>19433.2</v>
      </c>
      <c r="J431">
        <v>0</v>
      </c>
      <c r="K431">
        <v>5</v>
      </c>
      <c r="L431">
        <v>2.2999999999999998</v>
      </c>
      <c r="M431">
        <v>15.7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129890</v>
      </c>
      <c r="V431" t="s">
        <v>289</v>
      </c>
      <c r="W431" t="s">
        <v>44</v>
      </c>
      <c r="Y431" t="s">
        <v>239</v>
      </c>
      <c r="Z431">
        <v>19394.904458598699</v>
      </c>
      <c r="AA431">
        <v>2015</v>
      </c>
      <c r="AB431">
        <v>0.45605329767777197</v>
      </c>
      <c r="AC431">
        <v>0.157</v>
      </c>
      <c r="AD431">
        <v>6.8870821346469597</v>
      </c>
    </row>
    <row r="432" spans="1:30" x14ac:dyDescent="0.3">
      <c r="A432">
        <v>2016</v>
      </c>
      <c r="B432">
        <v>25</v>
      </c>
      <c r="C432" t="s">
        <v>243</v>
      </c>
      <c r="D432">
        <v>141213.1</v>
      </c>
      <c r="E432">
        <v>1.6</v>
      </c>
      <c r="F432">
        <v>4627.1000000000004</v>
      </c>
      <c r="G432">
        <v>7.4</v>
      </c>
      <c r="H432">
        <v>70287.199999999997</v>
      </c>
      <c r="I432">
        <v>30682.1</v>
      </c>
      <c r="J432">
        <v>0</v>
      </c>
      <c r="K432">
        <v>3.3</v>
      </c>
      <c r="L432">
        <v>6.6</v>
      </c>
      <c r="M432">
        <v>15.1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1060000</v>
      </c>
      <c r="V432" t="s">
        <v>291</v>
      </c>
      <c r="W432" t="s">
        <v>90</v>
      </c>
      <c r="Y432" t="s">
        <v>245</v>
      </c>
      <c r="Z432">
        <v>30643.046357615902</v>
      </c>
      <c r="AA432">
        <v>2015</v>
      </c>
      <c r="AB432">
        <v>2.0090870030389598</v>
      </c>
      <c r="AC432">
        <v>0.151</v>
      </c>
      <c r="AD432">
        <v>2.29374061507208</v>
      </c>
    </row>
    <row r="433" spans="1:30" x14ac:dyDescent="0.3">
      <c r="A433">
        <v>2016</v>
      </c>
      <c r="B433">
        <v>13</v>
      </c>
      <c r="C433" t="s">
        <v>246</v>
      </c>
      <c r="D433">
        <v>177440.2</v>
      </c>
      <c r="E433">
        <v>-9.4</v>
      </c>
      <c r="F433">
        <v>16531.900000000001</v>
      </c>
      <c r="G433">
        <v>-24.6</v>
      </c>
      <c r="H433">
        <v>206585</v>
      </c>
      <c r="I433">
        <v>147468</v>
      </c>
      <c r="J433">
        <v>0</v>
      </c>
      <c r="K433">
        <v>9.3000000000000007</v>
      </c>
      <c r="L433">
        <v>8</v>
      </c>
      <c r="M433">
        <v>11.2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319000</v>
      </c>
      <c r="V433" t="s">
        <v>304</v>
      </c>
      <c r="W433" t="s">
        <v>90</v>
      </c>
      <c r="Y433" t="s">
        <v>248</v>
      </c>
      <c r="Z433">
        <v>147606.25</v>
      </c>
      <c r="AA433">
        <v>2015</v>
      </c>
      <c r="AB433">
        <v>0.85892102524384595</v>
      </c>
      <c r="AC433">
        <v>0.112</v>
      </c>
      <c r="AD433">
        <v>1.3995681077190201</v>
      </c>
    </row>
    <row r="434" spans="1:30" x14ac:dyDescent="0.3">
      <c r="A434">
        <v>2014</v>
      </c>
      <c r="B434">
        <v>481</v>
      </c>
      <c r="C434" t="s">
        <v>169</v>
      </c>
      <c r="D434">
        <v>24697.9</v>
      </c>
      <c r="E434">
        <v>-5.5</v>
      </c>
      <c r="F434">
        <v>389.3</v>
      </c>
      <c r="G434">
        <v>88</v>
      </c>
      <c r="H434">
        <v>20579.3</v>
      </c>
      <c r="I434">
        <v>10056.1019</v>
      </c>
      <c r="J434">
        <v>0</v>
      </c>
      <c r="K434">
        <v>1.6019000000000001</v>
      </c>
      <c r="L434">
        <v>1.9018999999999999</v>
      </c>
      <c r="M434">
        <v>3.9018999999999999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51205</v>
      </c>
      <c r="V434" t="s">
        <v>170</v>
      </c>
      <c r="W434" t="s">
        <v>90</v>
      </c>
      <c r="Y434" t="s">
        <v>171</v>
      </c>
      <c r="Z434">
        <v>9977.1905994515491</v>
      </c>
      <c r="AA434">
        <v>2013</v>
      </c>
      <c r="AB434">
        <v>1.20013314349856</v>
      </c>
      <c r="AC434">
        <v>3.9E-2</v>
      </c>
      <c r="AD434">
        <v>2.0626347462111498</v>
      </c>
    </row>
    <row r="435" spans="1:30" x14ac:dyDescent="0.3">
      <c r="A435">
        <v>2014</v>
      </c>
      <c r="B435">
        <v>453</v>
      </c>
      <c r="C435" t="s">
        <v>216</v>
      </c>
      <c r="D435">
        <v>26641.599999999999</v>
      </c>
      <c r="E435">
        <v>1.3</v>
      </c>
      <c r="F435">
        <v>3910.1</v>
      </c>
      <c r="G435">
        <v>11.3</v>
      </c>
      <c r="H435">
        <v>35256.1</v>
      </c>
      <c r="I435">
        <v>11540.3019</v>
      </c>
      <c r="J435">
        <v>0</v>
      </c>
      <c r="K435">
        <v>14.7019</v>
      </c>
      <c r="L435">
        <v>11.101900000000001</v>
      </c>
      <c r="M435">
        <v>33.901899999999998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37721</v>
      </c>
      <c r="V435" t="s">
        <v>217</v>
      </c>
      <c r="W435" t="s">
        <v>44</v>
      </c>
      <c r="Y435" t="s">
        <v>218</v>
      </c>
      <c r="Z435">
        <v>11533.571864703699</v>
      </c>
      <c r="AA435">
        <v>2013</v>
      </c>
      <c r="AB435">
        <v>0.75565930434733297</v>
      </c>
      <c r="AC435">
        <v>0.33900000000000002</v>
      </c>
      <c r="AD435">
        <v>3.0568240622746199</v>
      </c>
    </row>
    <row r="436" spans="1:30" x14ac:dyDescent="0.3">
      <c r="A436">
        <v>2014</v>
      </c>
      <c r="B436">
        <v>409</v>
      </c>
      <c r="C436" t="s">
        <v>225</v>
      </c>
      <c r="D436">
        <v>29662.6</v>
      </c>
      <c r="E436">
        <v>-13.8</v>
      </c>
      <c r="F436">
        <v>627.29999999999995</v>
      </c>
      <c r="G436">
        <v>-19.5</v>
      </c>
      <c r="H436">
        <v>18727.7</v>
      </c>
      <c r="I436">
        <v>4137.7019</v>
      </c>
      <c r="J436">
        <v>0</v>
      </c>
      <c r="K436">
        <v>2.1019000000000001</v>
      </c>
      <c r="L436">
        <v>3.3018999999999998</v>
      </c>
      <c r="M436">
        <v>15.2019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121917</v>
      </c>
      <c r="V436" t="s">
        <v>226</v>
      </c>
      <c r="W436" t="s">
        <v>30</v>
      </c>
      <c r="Y436" t="s">
        <v>227</v>
      </c>
      <c r="Z436">
        <v>4126.4578769759</v>
      </c>
      <c r="AA436">
        <v>2013</v>
      </c>
      <c r="AB436">
        <v>1.58388910544274</v>
      </c>
      <c r="AC436">
        <v>0.152</v>
      </c>
      <c r="AD436">
        <v>4.5384444863701603</v>
      </c>
    </row>
    <row r="437" spans="1:30" x14ac:dyDescent="0.3">
      <c r="A437">
        <v>2014</v>
      </c>
      <c r="B437">
        <v>370</v>
      </c>
      <c r="C437" t="s">
        <v>172</v>
      </c>
      <c r="D437">
        <v>32449.599999999999</v>
      </c>
      <c r="E437">
        <v>-0.4</v>
      </c>
      <c r="F437">
        <v>1551.9</v>
      </c>
      <c r="G437">
        <v>434.3</v>
      </c>
      <c r="H437">
        <v>36593</v>
      </c>
      <c r="I437">
        <v>15450.6019</v>
      </c>
      <c r="J437">
        <v>0</v>
      </c>
      <c r="K437">
        <v>4.8018999999999998</v>
      </c>
      <c r="L437">
        <v>4.2019000000000002</v>
      </c>
      <c r="M437">
        <v>10.001899999999999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116681</v>
      </c>
      <c r="V437" t="s">
        <v>173</v>
      </c>
      <c r="W437" t="s">
        <v>90</v>
      </c>
      <c r="Y437" t="s">
        <v>174</v>
      </c>
      <c r="Z437">
        <v>15516.0519501295</v>
      </c>
      <c r="AA437">
        <v>2013</v>
      </c>
      <c r="AB437">
        <v>0.88677069384855001</v>
      </c>
      <c r="AC437">
        <v>0.1</v>
      </c>
      <c r="AD437">
        <v>2.3583963315935299</v>
      </c>
    </row>
    <row r="438" spans="1:30" x14ac:dyDescent="0.3">
      <c r="A438">
        <v>2014</v>
      </c>
      <c r="B438">
        <v>156</v>
      </c>
      <c r="C438" t="s">
        <v>234</v>
      </c>
      <c r="D438">
        <v>61562.2</v>
      </c>
      <c r="E438">
        <v>4.5</v>
      </c>
      <c r="F438">
        <v>5844.1</v>
      </c>
      <c r="G438">
        <v>-15.9</v>
      </c>
      <c r="H438">
        <v>78312.2</v>
      </c>
      <c r="I438">
        <v>15454.901900000001</v>
      </c>
      <c r="J438">
        <v>0</v>
      </c>
      <c r="K438">
        <v>9.5018999999999991</v>
      </c>
      <c r="L438">
        <v>7.5019</v>
      </c>
      <c r="M438">
        <v>37.801900000000003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173174</v>
      </c>
      <c r="V438" t="s">
        <v>235</v>
      </c>
      <c r="W438" t="s">
        <v>44</v>
      </c>
      <c r="Y438" t="s">
        <v>236</v>
      </c>
      <c r="Z438">
        <v>15459.804930439999</v>
      </c>
      <c r="AA438">
        <v>2013</v>
      </c>
      <c r="AB438">
        <v>0.78611250865127003</v>
      </c>
      <c r="AC438">
        <v>0.378</v>
      </c>
      <c r="AD438">
        <v>5.0655361016751899</v>
      </c>
    </row>
    <row r="439" spans="1:30" x14ac:dyDescent="0.3">
      <c r="A439">
        <v>2014</v>
      </c>
      <c r="B439">
        <v>109</v>
      </c>
      <c r="C439" t="s">
        <v>237</v>
      </c>
      <c r="D439">
        <v>75752</v>
      </c>
      <c r="E439">
        <v>-5.5</v>
      </c>
      <c r="F439">
        <v>6097.5</v>
      </c>
      <c r="G439">
        <v>20.8</v>
      </c>
      <c r="H439">
        <v>163768.1</v>
      </c>
      <c r="I439">
        <v>29188.7019</v>
      </c>
      <c r="J439">
        <v>0</v>
      </c>
      <c r="K439">
        <v>8.0018999999999991</v>
      </c>
      <c r="L439">
        <v>3.7019000000000002</v>
      </c>
      <c r="M439">
        <v>20.901900000000001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126730</v>
      </c>
      <c r="V439" t="s">
        <v>238</v>
      </c>
      <c r="W439" t="s">
        <v>44</v>
      </c>
      <c r="Y439" t="s">
        <v>239</v>
      </c>
      <c r="Z439">
        <v>29171.989149311801</v>
      </c>
      <c r="AA439">
        <v>2013</v>
      </c>
      <c r="AB439">
        <v>0.462556505204616</v>
      </c>
      <c r="AC439">
        <v>0.20899999999999999</v>
      </c>
      <c r="AD439">
        <v>5.6138818358179599</v>
      </c>
    </row>
    <row r="440" spans="1:30" x14ac:dyDescent="0.3">
      <c r="A440">
        <v>2014</v>
      </c>
      <c r="B440">
        <v>32</v>
      </c>
      <c r="C440" t="s">
        <v>243</v>
      </c>
      <c r="D440">
        <v>133161.70000000001</v>
      </c>
      <c r="E440">
        <v>0.8</v>
      </c>
      <c r="F440">
        <v>3594.8</v>
      </c>
      <c r="G440">
        <v>12.3</v>
      </c>
      <c r="H440">
        <v>77599.399999999994</v>
      </c>
      <c r="I440">
        <v>25660.101900000001</v>
      </c>
      <c r="J440">
        <v>0</v>
      </c>
      <c r="K440">
        <v>2.7019000000000002</v>
      </c>
      <c r="L440">
        <v>4.6018999999999997</v>
      </c>
      <c r="M440">
        <v>14.001899999999999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1110000</v>
      </c>
      <c r="V440" t="s">
        <v>244</v>
      </c>
      <c r="W440" t="s">
        <v>90</v>
      </c>
      <c r="Y440" t="s">
        <v>245</v>
      </c>
      <c r="Z440">
        <v>25673.658574907698</v>
      </c>
      <c r="AA440">
        <v>2013</v>
      </c>
      <c r="AB440">
        <v>1.7160145568135801</v>
      </c>
      <c r="AC440">
        <v>0.14000000000000001</v>
      </c>
      <c r="AD440">
        <v>3.0225298733170098</v>
      </c>
    </row>
    <row r="441" spans="1:30" x14ac:dyDescent="0.3">
      <c r="A441">
        <v>2014</v>
      </c>
      <c r="B441">
        <v>13</v>
      </c>
      <c r="C441" t="s">
        <v>246</v>
      </c>
      <c r="D441">
        <v>208938.4</v>
      </c>
      <c r="E441">
        <v>17</v>
      </c>
      <c r="F441">
        <v>27245.3</v>
      </c>
      <c r="G441">
        <v>32.4</v>
      </c>
      <c r="H441">
        <v>202876.2</v>
      </c>
      <c r="I441">
        <v>136886.5019</v>
      </c>
      <c r="J441">
        <v>0</v>
      </c>
      <c r="K441">
        <v>13.001899999999999</v>
      </c>
      <c r="L441">
        <v>13.401899999999999</v>
      </c>
      <c r="M441">
        <v>19.901900000000001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286000</v>
      </c>
      <c r="V441" t="s">
        <v>247</v>
      </c>
      <c r="W441" t="s">
        <v>90</v>
      </c>
      <c r="Y441" t="s">
        <v>248</v>
      </c>
      <c r="Z441">
        <v>136897.98461453401</v>
      </c>
      <c r="AA441">
        <v>2013</v>
      </c>
      <c r="AB441">
        <v>1.02988127735042</v>
      </c>
      <c r="AC441">
        <v>0.19900000000000001</v>
      </c>
      <c r="AD441">
        <v>1.48195169250476</v>
      </c>
    </row>
    <row r="442" spans="1:30" x14ac:dyDescent="0.3">
      <c r="A442">
        <v>2012</v>
      </c>
      <c r="B442">
        <v>479</v>
      </c>
      <c r="C442" t="s">
        <v>169</v>
      </c>
      <c r="D442">
        <v>22839.7</v>
      </c>
      <c r="E442">
        <v>-9</v>
      </c>
      <c r="F442">
        <v>781.4</v>
      </c>
      <c r="G442">
        <v>-8.6</v>
      </c>
      <c r="H442">
        <v>20606.400000000001</v>
      </c>
      <c r="I442">
        <v>10728.7</v>
      </c>
      <c r="J442">
        <v>0</v>
      </c>
      <c r="K442">
        <v>3.4</v>
      </c>
      <c r="L442">
        <v>3.8</v>
      </c>
      <c r="M442">
        <v>7.3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49094</v>
      </c>
      <c r="V442" t="s">
        <v>170</v>
      </c>
      <c r="W442" t="s">
        <v>90</v>
      </c>
      <c r="Y442" t="s">
        <v>171</v>
      </c>
      <c r="Z442">
        <v>10704.1095890411</v>
      </c>
      <c r="AA442">
        <v>2011</v>
      </c>
      <c r="AB442">
        <v>1.10837895022906</v>
      </c>
      <c r="AC442">
        <v>7.2999999999999995E-2</v>
      </c>
      <c r="AD442">
        <v>1.92509239825953</v>
      </c>
    </row>
    <row r="443" spans="1:30" x14ac:dyDescent="0.3">
      <c r="A443">
        <v>2012</v>
      </c>
      <c r="B443">
        <v>458</v>
      </c>
      <c r="C443" t="s">
        <v>297</v>
      </c>
      <c r="D443">
        <v>23772.5</v>
      </c>
      <c r="E443">
        <v>-10.9</v>
      </c>
      <c r="F443">
        <v>252.1</v>
      </c>
      <c r="G443">
        <v>-7.9</v>
      </c>
      <c r="H443">
        <v>10768.5</v>
      </c>
      <c r="I443">
        <v>3283.3</v>
      </c>
      <c r="J443">
        <v>0</v>
      </c>
      <c r="K443">
        <v>1.1000000000000001</v>
      </c>
      <c r="L443">
        <v>2.2999999999999998</v>
      </c>
      <c r="M443">
        <v>7.7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64728</v>
      </c>
      <c r="V443" t="s">
        <v>307</v>
      </c>
      <c r="W443" t="s">
        <v>30</v>
      </c>
      <c r="Y443" t="s">
        <v>299</v>
      </c>
      <c r="Z443">
        <v>3274.0259740259698</v>
      </c>
      <c r="AA443">
        <v>2011</v>
      </c>
      <c r="AB443">
        <v>2.2075962297441598</v>
      </c>
      <c r="AC443">
        <v>7.6999999999999999E-2</v>
      </c>
      <c r="AD443">
        <v>3.2890698135660501</v>
      </c>
    </row>
    <row r="444" spans="1:30" x14ac:dyDescent="0.3">
      <c r="A444">
        <v>2012</v>
      </c>
      <c r="B444">
        <v>390</v>
      </c>
      <c r="C444" t="s">
        <v>225</v>
      </c>
      <c r="D444">
        <v>27715.1</v>
      </c>
      <c r="E444">
        <v>-12.7</v>
      </c>
      <c r="F444">
        <v>469.3</v>
      </c>
      <c r="G444">
        <v>-16.399999999999999</v>
      </c>
      <c r="H444">
        <v>18229</v>
      </c>
      <c r="I444">
        <v>4122.7</v>
      </c>
      <c r="J444">
        <v>0</v>
      </c>
      <c r="K444">
        <v>1.7</v>
      </c>
      <c r="L444">
        <v>2.6</v>
      </c>
      <c r="M444">
        <v>11.4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92698</v>
      </c>
      <c r="V444" t="s">
        <v>282</v>
      </c>
      <c r="W444" t="s">
        <v>30</v>
      </c>
      <c r="Y444" t="s">
        <v>227</v>
      </c>
      <c r="Z444">
        <v>4116.6666666666697</v>
      </c>
      <c r="AA444">
        <v>2011</v>
      </c>
      <c r="AB444">
        <v>1.5203851006637801</v>
      </c>
      <c r="AC444">
        <v>0.114</v>
      </c>
      <c r="AD444">
        <v>4.4280971659919004</v>
      </c>
    </row>
    <row r="445" spans="1:30" x14ac:dyDescent="0.3">
      <c r="A445">
        <v>2012</v>
      </c>
      <c r="B445">
        <v>296</v>
      </c>
      <c r="C445" t="s">
        <v>300</v>
      </c>
      <c r="D445">
        <v>35891.199999999997</v>
      </c>
      <c r="E445">
        <v>-6.1</v>
      </c>
      <c r="F445">
        <v>599.6</v>
      </c>
      <c r="G445">
        <v>-20.100000000000001</v>
      </c>
      <c r="H445">
        <v>13776.4</v>
      </c>
      <c r="I445">
        <v>4601.1000000000004</v>
      </c>
      <c r="J445">
        <v>0</v>
      </c>
      <c r="K445">
        <v>1.7</v>
      </c>
      <c r="L445">
        <v>4.4000000000000004</v>
      </c>
      <c r="M445">
        <v>13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196251</v>
      </c>
      <c r="V445" t="s">
        <v>307</v>
      </c>
      <c r="W445" t="s">
        <v>30</v>
      </c>
      <c r="Y445" t="s">
        <v>301</v>
      </c>
      <c r="Z445">
        <v>4612.3076923076896</v>
      </c>
      <c r="AA445">
        <v>2011</v>
      </c>
      <c r="AB445">
        <v>2.6052669783107301</v>
      </c>
      <c r="AC445">
        <v>0.13</v>
      </c>
      <c r="AD445">
        <v>2.9868779186124099</v>
      </c>
    </row>
    <row r="446" spans="1:30" x14ac:dyDescent="0.3">
      <c r="A446">
        <v>2012</v>
      </c>
      <c r="B446">
        <v>201</v>
      </c>
      <c r="C446" t="s">
        <v>302</v>
      </c>
      <c r="D446">
        <v>47712.2</v>
      </c>
      <c r="E446">
        <v>-4.5999999999999996</v>
      </c>
      <c r="F446">
        <v>66.2</v>
      </c>
      <c r="G446">
        <v>-39.799999999999997</v>
      </c>
      <c r="H446">
        <v>31347.5</v>
      </c>
      <c r="I446">
        <v>9926.4</v>
      </c>
      <c r="J446">
        <v>0</v>
      </c>
      <c r="K446">
        <v>0.1</v>
      </c>
      <c r="L446">
        <v>0.2</v>
      </c>
      <c r="M446">
        <v>0.7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75000</v>
      </c>
      <c r="V446" t="s">
        <v>282</v>
      </c>
      <c r="W446" t="s">
        <v>90</v>
      </c>
      <c r="Y446" t="s">
        <v>303</v>
      </c>
      <c r="Z446">
        <v>9457.1428571428605</v>
      </c>
      <c r="AA446">
        <v>2011</v>
      </c>
      <c r="AB446">
        <v>1.52204163011404</v>
      </c>
      <c r="AC446">
        <v>7.0000000000000001E-3</v>
      </c>
      <c r="AD446">
        <v>3.31469033232628</v>
      </c>
    </row>
    <row r="447" spans="1:30" x14ac:dyDescent="0.3">
      <c r="A447">
        <v>2012</v>
      </c>
      <c r="B447">
        <v>176</v>
      </c>
      <c r="C447" t="s">
        <v>234</v>
      </c>
      <c r="D447">
        <v>52201</v>
      </c>
      <c r="E447">
        <v>-7.4</v>
      </c>
      <c r="F447">
        <v>462.9</v>
      </c>
      <c r="G447">
        <v>-79</v>
      </c>
      <c r="H447">
        <v>73554.7</v>
      </c>
      <c r="I447">
        <v>10142.700000000001</v>
      </c>
      <c r="J447">
        <v>0</v>
      </c>
      <c r="K447">
        <v>0.9</v>
      </c>
      <c r="L447">
        <v>0.6</v>
      </c>
      <c r="M447">
        <v>4.5999999999999996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194193</v>
      </c>
      <c r="V447" t="s">
        <v>235</v>
      </c>
      <c r="W447" t="s">
        <v>44</v>
      </c>
      <c r="Y447" t="s">
        <v>236</v>
      </c>
      <c r="Z447">
        <v>10063.043478260901</v>
      </c>
      <c r="AA447">
        <v>2011</v>
      </c>
      <c r="AB447">
        <v>0.70968952357905102</v>
      </c>
      <c r="AC447">
        <v>4.5999999999999999E-2</v>
      </c>
      <c r="AD447">
        <v>7.3093890689133696</v>
      </c>
    </row>
    <row r="448" spans="1:30" x14ac:dyDescent="0.3">
      <c r="A448">
        <v>2012</v>
      </c>
      <c r="B448">
        <v>153</v>
      </c>
      <c r="C448" t="s">
        <v>237</v>
      </c>
      <c r="D448">
        <v>57543.8</v>
      </c>
      <c r="E448">
        <v>-5.5</v>
      </c>
      <c r="F448">
        <v>2619.6999999999998</v>
      </c>
      <c r="G448">
        <v>283.39999999999998</v>
      </c>
      <c r="H448">
        <v>130395.5</v>
      </c>
      <c r="I448">
        <v>19148.900000000001</v>
      </c>
      <c r="J448">
        <v>0</v>
      </c>
      <c r="K448">
        <v>4.5999999999999996</v>
      </c>
      <c r="L448">
        <v>2</v>
      </c>
      <c r="M448">
        <v>13.7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127323</v>
      </c>
      <c r="V448" t="s">
        <v>238</v>
      </c>
      <c r="W448" t="s">
        <v>44</v>
      </c>
      <c r="Y448" t="s">
        <v>239</v>
      </c>
      <c r="Z448">
        <v>19121.897810219001</v>
      </c>
      <c r="AA448">
        <v>2011</v>
      </c>
      <c r="AB448">
        <v>0.44130203879735103</v>
      </c>
      <c r="AC448">
        <v>0.13700000000000001</v>
      </c>
      <c r="AD448">
        <v>6.8191714700156503</v>
      </c>
    </row>
    <row r="449" spans="1:30" x14ac:dyDescent="0.3">
      <c r="A449">
        <v>2012</v>
      </c>
      <c r="B449">
        <v>27</v>
      </c>
      <c r="C449" t="s">
        <v>243</v>
      </c>
      <c r="D449">
        <v>135128.79999999999</v>
      </c>
      <c r="E449">
        <v>-4.3</v>
      </c>
      <c r="F449">
        <v>4608.8</v>
      </c>
      <c r="G449">
        <v>-0.4</v>
      </c>
      <c r="H449">
        <v>80435.8</v>
      </c>
      <c r="I449">
        <v>33475.5</v>
      </c>
      <c r="J449">
        <v>0</v>
      </c>
      <c r="K449">
        <v>3.4</v>
      </c>
      <c r="L449">
        <v>5.7</v>
      </c>
      <c r="M449">
        <v>13.8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726772</v>
      </c>
      <c r="V449" t="s">
        <v>244</v>
      </c>
      <c r="W449" t="s">
        <v>90</v>
      </c>
      <c r="Y449" t="s">
        <v>245</v>
      </c>
      <c r="Z449">
        <v>33397.101449275397</v>
      </c>
      <c r="AA449">
        <v>2011</v>
      </c>
      <c r="AB449">
        <v>1.6799584264717899</v>
      </c>
      <c r="AC449">
        <v>0.13800000000000001</v>
      </c>
      <c r="AD449">
        <v>2.4084664988717202</v>
      </c>
    </row>
    <row r="450" spans="1:30" x14ac:dyDescent="0.3">
      <c r="A450">
        <v>2012</v>
      </c>
      <c r="B450">
        <v>15</v>
      </c>
      <c r="C450" t="s">
        <v>246</v>
      </c>
      <c r="D450">
        <v>173957.3</v>
      </c>
      <c r="E450">
        <v>-2</v>
      </c>
      <c r="F450">
        <v>19316.5</v>
      </c>
      <c r="G450">
        <v>16.8</v>
      </c>
      <c r="H450">
        <v>217103.6</v>
      </c>
      <c r="I450">
        <v>154375.9</v>
      </c>
      <c r="J450">
        <v>0</v>
      </c>
      <c r="K450">
        <v>11.1</v>
      </c>
      <c r="L450">
        <v>8.9</v>
      </c>
      <c r="M450">
        <v>12.5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325000</v>
      </c>
      <c r="V450" t="s">
        <v>247</v>
      </c>
      <c r="W450" t="s">
        <v>90</v>
      </c>
      <c r="Y450" t="s">
        <v>248</v>
      </c>
      <c r="Z450">
        <v>154532</v>
      </c>
      <c r="AA450">
        <v>2011</v>
      </c>
      <c r="AB450">
        <v>0.80126400483455795</v>
      </c>
      <c r="AC450">
        <v>0.125</v>
      </c>
      <c r="AD450">
        <v>1.4049103098387401</v>
      </c>
    </row>
    <row r="451" spans="1:30" x14ac:dyDescent="0.3">
      <c r="A451">
        <v>2023</v>
      </c>
      <c r="B451">
        <v>463</v>
      </c>
      <c r="C451" t="s">
        <v>308</v>
      </c>
      <c r="D451">
        <v>33063.599999999999</v>
      </c>
      <c r="E451">
        <v>7.1</v>
      </c>
      <c r="F451">
        <v>374.8</v>
      </c>
      <c r="G451">
        <v>0</v>
      </c>
      <c r="H451">
        <v>14097.1</v>
      </c>
      <c r="I451">
        <v>3138.6</v>
      </c>
      <c r="J451">
        <v>0</v>
      </c>
      <c r="K451">
        <v>1.1000000000000001</v>
      </c>
      <c r="L451">
        <v>2.7</v>
      </c>
      <c r="M451">
        <v>11.9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65000</v>
      </c>
      <c r="W451" t="s">
        <v>30</v>
      </c>
      <c r="Y451" t="s">
        <v>309</v>
      </c>
      <c r="Z451">
        <v>3149.57983193277</v>
      </c>
      <c r="AA451">
        <v>2022</v>
      </c>
      <c r="AB451">
        <v>2.3454185612643701</v>
      </c>
      <c r="AC451">
        <v>0.11899999999999999</v>
      </c>
      <c r="AD451">
        <v>4.4758668623265701</v>
      </c>
    </row>
    <row r="452" spans="1:30" x14ac:dyDescent="0.3">
      <c r="A452">
        <v>2015</v>
      </c>
      <c r="B452">
        <v>359</v>
      </c>
      <c r="C452" t="s">
        <v>144</v>
      </c>
      <c r="D452">
        <v>33262.699999999997</v>
      </c>
      <c r="E452">
        <v>-8.9</v>
      </c>
      <c r="F452">
        <v>1790.8</v>
      </c>
      <c r="G452">
        <v>0</v>
      </c>
      <c r="H452">
        <v>86571.1</v>
      </c>
      <c r="I452">
        <v>21954</v>
      </c>
      <c r="J452">
        <v>0</v>
      </c>
      <c r="K452">
        <v>5.3838082897660096</v>
      </c>
      <c r="L452">
        <v>2.0685887091650699</v>
      </c>
      <c r="M452">
        <v>8.15705566183839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82441</v>
      </c>
      <c r="W452" t="s">
        <v>44</v>
      </c>
      <c r="Y452" t="s">
        <v>146</v>
      </c>
      <c r="Z452">
        <v>21954</v>
      </c>
      <c r="AA452">
        <v>2014</v>
      </c>
      <c r="AB452">
        <v>0.38422406553688199</v>
      </c>
      <c r="AC452">
        <v>8.1600000000000006E-2</v>
      </c>
      <c r="AD452">
        <v>3.9432950715131598</v>
      </c>
    </row>
    <row r="453" spans="1:30" x14ac:dyDescent="0.3">
      <c r="A453">
        <v>2015</v>
      </c>
      <c r="B453">
        <v>157</v>
      </c>
      <c r="C453" t="s">
        <v>132</v>
      </c>
      <c r="D453">
        <v>63175.8</v>
      </c>
      <c r="E453">
        <v>-2.7</v>
      </c>
      <c r="F453">
        <v>0</v>
      </c>
      <c r="G453">
        <v>0</v>
      </c>
      <c r="H453">
        <v>58191.1</v>
      </c>
      <c r="I453">
        <v>11899.1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198741</v>
      </c>
      <c r="W453" t="s">
        <v>90</v>
      </c>
      <c r="Y453" t="s">
        <v>176</v>
      </c>
      <c r="Z453" t="s">
        <v>330</v>
      </c>
      <c r="AA453">
        <v>2014</v>
      </c>
      <c r="AB453">
        <v>1.08566086566502</v>
      </c>
      <c r="AC453" t="s">
        <v>330</v>
      </c>
      <c r="AD453" t="s">
        <v>330</v>
      </c>
    </row>
    <row r="454" spans="1:30" x14ac:dyDescent="0.3">
      <c r="A454">
        <v>2015</v>
      </c>
      <c r="B454">
        <v>116</v>
      </c>
      <c r="C454" t="s">
        <v>150</v>
      </c>
      <c r="D454">
        <v>74724.899999999994</v>
      </c>
      <c r="E454">
        <v>-3.6</v>
      </c>
      <c r="F454">
        <v>-1145.8</v>
      </c>
      <c r="G454">
        <v>0</v>
      </c>
      <c r="H454">
        <v>132051.79999999999</v>
      </c>
      <c r="I454">
        <v>19323.5</v>
      </c>
      <c r="J454">
        <v>0</v>
      </c>
      <c r="K454">
        <v>-1.53335768933782</v>
      </c>
      <c r="L454">
        <v>-0.86768980051767597</v>
      </c>
      <c r="M454">
        <v>-5.9295676249126696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131700</v>
      </c>
      <c r="W454" t="s">
        <v>90</v>
      </c>
      <c r="Y454" t="s">
        <v>152</v>
      </c>
      <c r="Z454">
        <v>19323.5</v>
      </c>
      <c r="AA454">
        <v>2014</v>
      </c>
      <c r="AB454">
        <v>0.56587566394399802</v>
      </c>
      <c r="AC454">
        <v>-5.9299999999999999E-2</v>
      </c>
      <c r="AD454">
        <v>6.8337412994540303</v>
      </c>
    </row>
    <row r="455" spans="1:30" x14ac:dyDescent="0.3">
      <c r="A455">
        <v>2013</v>
      </c>
      <c r="B455">
        <v>225</v>
      </c>
      <c r="C455" t="s">
        <v>302</v>
      </c>
      <c r="D455">
        <v>45246.1</v>
      </c>
      <c r="E455">
        <v>-7.6</v>
      </c>
      <c r="F455">
        <v>59.3</v>
      </c>
      <c r="G455">
        <v>0</v>
      </c>
      <c r="H455">
        <v>29387.1</v>
      </c>
      <c r="I455">
        <v>11634.7</v>
      </c>
      <c r="J455">
        <v>0</v>
      </c>
      <c r="K455">
        <v>0.1</v>
      </c>
      <c r="L455">
        <v>0.20169999999999999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86697</v>
      </c>
      <c r="W455" t="s">
        <v>90</v>
      </c>
      <c r="Y455" t="s">
        <v>303</v>
      </c>
      <c r="Z455" t="s">
        <v>329</v>
      </c>
      <c r="AA455">
        <v>2012</v>
      </c>
      <c r="AB455">
        <v>1.5396585576664601</v>
      </c>
      <c r="AC455">
        <v>0</v>
      </c>
      <c r="AD455">
        <v>0</v>
      </c>
    </row>
    <row r="456" spans="1:30" x14ac:dyDescent="0.3">
      <c r="A456">
        <v>2015</v>
      </c>
      <c r="B456">
        <v>481</v>
      </c>
      <c r="C456" t="s">
        <v>216</v>
      </c>
      <c r="D456">
        <v>24640.400000000001</v>
      </c>
      <c r="E456">
        <v>-7.5</v>
      </c>
      <c r="F456">
        <v>3923.5</v>
      </c>
      <c r="G456">
        <v>0.3</v>
      </c>
      <c r="H456">
        <v>37142.6</v>
      </c>
      <c r="I456">
        <v>13043.3</v>
      </c>
      <c r="J456">
        <v>0</v>
      </c>
      <c r="K456">
        <v>15.9230369636857</v>
      </c>
      <c r="L456">
        <v>10.563342361601</v>
      </c>
      <c r="M456">
        <v>30.080577767896202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31931</v>
      </c>
      <c r="W456" t="s">
        <v>44</v>
      </c>
      <c r="Y456" t="s">
        <v>218</v>
      </c>
      <c r="Z456">
        <v>13043.3</v>
      </c>
      <c r="AA456">
        <v>2014</v>
      </c>
      <c r="AB456">
        <v>0.66339997738445899</v>
      </c>
      <c r="AC456">
        <v>0.30080000000000001</v>
      </c>
      <c r="AD456">
        <v>2.8476382510560998</v>
      </c>
    </row>
    <row r="457" spans="1:30" x14ac:dyDescent="0.3">
      <c r="A457">
        <v>2015</v>
      </c>
      <c r="B457">
        <v>473</v>
      </c>
      <c r="C457" t="s">
        <v>169</v>
      </c>
      <c r="D457">
        <v>25126.3</v>
      </c>
      <c r="E457">
        <v>1.7</v>
      </c>
      <c r="F457">
        <v>858.8</v>
      </c>
      <c r="G457">
        <v>120.6</v>
      </c>
      <c r="H457">
        <v>20898.099999999999</v>
      </c>
      <c r="I457">
        <v>10401.6</v>
      </c>
      <c r="J457">
        <v>0</v>
      </c>
      <c r="K457">
        <v>3.4179326044821599</v>
      </c>
      <c r="L457">
        <v>4.1094644967724303</v>
      </c>
      <c r="M457">
        <v>8.2564220889093995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49421</v>
      </c>
      <c r="W457" t="s">
        <v>90</v>
      </c>
      <c r="Y457" t="s">
        <v>171</v>
      </c>
      <c r="Z457">
        <v>10401.6</v>
      </c>
      <c r="AA457">
        <v>2014</v>
      </c>
      <c r="AB457">
        <v>1.20232461324235</v>
      </c>
      <c r="AC457">
        <v>8.2600000000000007E-2</v>
      </c>
      <c r="AD457">
        <v>2.0091235963697902</v>
      </c>
    </row>
    <row r="458" spans="1:30" x14ac:dyDescent="0.3">
      <c r="A458">
        <v>2015</v>
      </c>
      <c r="B458">
        <v>470</v>
      </c>
      <c r="C458" t="s">
        <v>153</v>
      </c>
      <c r="D458">
        <v>25341.5</v>
      </c>
      <c r="E458">
        <v>-13.3</v>
      </c>
      <c r="F458">
        <v>-2022.3</v>
      </c>
      <c r="G458">
        <v>-1852.7</v>
      </c>
      <c r="H458">
        <v>16361.5</v>
      </c>
      <c r="I458">
        <v>971.5</v>
      </c>
      <c r="J458">
        <v>0</v>
      </c>
      <c r="K458">
        <v>-7.9801905964524602</v>
      </c>
      <c r="L458">
        <v>-12.3601136815084</v>
      </c>
      <c r="M458">
        <v>-208.16263510036001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49096</v>
      </c>
      <c r="W458" t="s">
        <v>90</v>
      </c>
      <c r="Y458" t="s">
        <v>155</v>
      </c>
      <c r="Z458">
        <v>971.5</v>
      </c>
      <c r="AA458">
        <v>2014</v>
      </c>
      <c r="AB458">
        <v>1.5488494331204401</v>
      </c>
      <c r="AC458">
        <v>-2.0815999999999999</v>
      </c>
      <c r="AD458">
        <v>16.841482243952701</v>
      </c>
    </row>
    <row r="459" spans="1:30" x14ac:dyDescent="0.3">
      <c r="A459">
        <v>2015</v>
      </c>
      <c r="B459">
        <v>461</v>
      </c>
      <c r="C459" t="s">
        <v>213</v>
      </c>
      <c r="D459">
        <v>25674</v>
      </c>
      <c r="E459">
        <v>0.1</v>
      </c>
      <c r="F459">
        <v>1089.3</v>
      </c>
      <c r="G459">
        <v>63.5</v>
      </c>
      <c r="H459">
        <v>24399.8</v>
      </c>
      <c r="I459">
        <v>9931.9</v>
      </c>
      <c r="J459">
        <v>0</v>
      </c>
      <c r="K459">
        <v>4.2428137415283897</v>
      </c>
      <c r="L459">
        <v>4.4643808555807798</v>
      </c>
      <c r="M459">
        <v>10.9676899686868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240798</v>
      </c>
      <c r="W459" t="s">
        <v>90</v>
      </c>
      <c r="Y459" t="s">
        <v>310</v>
      </c>
      <c r="Z459">
        <v>9931.9</v>
      </c>
      <c r="AA459">
        <v>2014</v>
      </c>
      <c r="AB459">
        <v>1.05222173952246</v>
      </c>
      <c r="AC459">
        <v>0.10970000000000001</v>
      </c>
      <c r="AD459">
        <v>2.45671019643774</v>
      </c>
    </row>
    <row r="460" spans="1:30" x14ac:dyDescent="0.3">
      <c r="A460">
        <v>2015</v>
      </c>
      <c r="B460">
        <v>423</v>
      </c>
      <c r="C460" t="s">
        <v>297</v>
      </c>
      <c r="D460">
        <v>27909.1</v>
      </c>
      <c r="E460">
        <v>19.600000000000001</v>
      </c>
      <c r="F460">
        <v>232.1</v>
      </c>
      <c r="G460">
        <v>179.3</v>
      </c>
      <c r="H460">
        <v>11985.8</v>
      </c>
      <c r="I460">
        <v>3201.7</v>
      </c>
      <c r="J460">
        <v>0</v>
      </c>
      <c r="K460">
        <v>0.83162839360638596</v>
      </c>
      <c r="L460">
        <v>1.9364581421348599</v>
      </c>
      <c r="M460">
        <v>7.2492738232813796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64473</v>
      </c>
      <c r="W460" t="s">
        <v>30</v>
      </c>
      <c r="Y460" t="s">
        <v>299</v>
      </c>
      <c r="Z460">
        <v>3201.7</v>
      </c>
      <c r="AA460">
        <v>2014</v>
      </c>
      <c r="AB460">
        <v>2.3285137412604899</v>
      </c>
      <c r="AC460">
        <v>7.2499999999999995E-2</v>
      </c>
      <c r="AD460">
        <v>3.7435737264578202</v>
      </c>
    </row>
    <row r="461" spans="1:30" x14ac:dyDescent="0.3">
      <c r="A461">
        <v>2015</v>
      </c>
      <c r="B461">
        <v>411</v>
      </c>
      <c r="C461" t="s">
        <v>219</v>
      </c>
      <c r="D461">
        <v>28928.799999999999</v>
      </c>
      <c r="E461">
        <v>-0.4</v>
      </c>
      <c r="F461">
        <v>3435.3</v>
      </c>
      <c r="G461">
        <v>7.2</v>
      </c>
      <c r="H461">
        <v>40360.699999999997</v>
      </c>
      <c r="I461">
        <v>1199.3</v>
      </c>
      <c r="J461">
        <v>0</v>
      </c>
      <c r="K461">
        <v>11.875017283814101</v>
      </c>
      <c r="L461">
        <v>8.5114975706565996</v>
      </c>
      <c r="M461">
        <v>286.44209121987802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88500</v>
      </c>
      <c r="W461" t="s">
        <v>44</v>
      </c>
      <c r="Y461" t="s">
        <v>221</v>
      </c>
      <c r="Z461">
        <v>1199.3</v>
      </c>
      <c r="AA461">
        <v>2014</v>
      </c>
      <c r="AB461">
        <v>0.71675664693625196</v>
      </c>
      <c r="AC461">
        <v>2.8643999999999998</v>
      </c>
      <c r="AD461">
        <v>33.653547902943401</v>
      </c>
    </row>
    <row r="462" spans="1:30" x14ac:dyDescent="0.3">
      <c r="A462">
        <v>2015</v>
      </c>
      <c r="B462">
        <v>389</v>
      </c>
      <c r="C462" t="s">
        <v>225</v>
      </c>
      <c r="D462">
        <v>30569.599999999999</v>
      </c>
      <c r="E462">
        <v>3.1</v>
      </c>
      <c r="F462">
        <v>623.20000000000005</v>
      </c>
      <c r="G462">
        <v>-0.6</v>
      </c>
      <c r="H462">
        <v>19234.599999999999</v>
      </c>
      <c r="I462">
        <v>4188.7</v>
      </c>
      <c r="J462">
        <v>0</v>
      </c>
      <c r="K462">
        <v>2.0386266094420602</v>
      </c>
      <c r="L462">
        <v>3.2399945930770602</v>
      </c>
      <c r="M462">
        <v>14.878124477761601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120370</v>
      </c>
      <c r="W462" t="s">
        <v>30</v>
      </c>
      <c r="Y462" t="s">
        <v>227</v>
      </c>
      <c r="Z462">
        <v>4188.7</v>
      </c>
      <c r="AA462">
        <v>2014</v>
      </c>
      <c r="AB462">
        <v>1.5893026109199</v>
      </c>
      <c r="AC462">
        <v>0.14879999999999999</v>
      </c>
      <c r="AD462">
        <v>4.5920213908849998</v>
      </c>
    </row>
    <row r="463" spans="1:30" x14ac:dyDescent="0.3">
      <c r="A463">
        <v>2015</v>
      </c>
      <c r="B463">
        <v>385</v>
      </c>
      <c r="C463" t="s">
        <v>172</v>
      </c>
      <c r="D463">
        <v>30876.3</v>
      </c>
      <c r="E463">
        <v>-4.8</v>
      </c>
      <c r="F463">
        <v>550.5</v>
      </c>
      <c r="G463">
        <v>-64.5</v>
      </c>
      <c r="H463">
        <v>34303.699999999997</v>
      </c>
      <c r="I463">
        <v>13148.2</v>
      </c>
      <c r="J463">
        <v>0</v>
      </c>
      <c r="K463">
        <v>1.7829208810641199</v>
      </c>
      <c r="L463">
        <v>1.60478315750196</v>
      </c>
      <c r="M463">
        <v>4.1868848967919599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113678</v>
      </c>
      <c r="W463" t="s">
        <v>90</v>
      </c>
      <c r="Y463" t="s">
        <v>174</v>
      </c>
      <c r="Z463">
        <v>13148.2</v>
      </c>
      <c r="AA463">
        <v>2014</v>
      </c>
      <c r="AB463">
        <v>0.90008657958179406</v>
      </c>
      <c r="AC463">
        <v>4.19E-2</v>
      </c>
      <c r="AD463">
        <v>2.6090035137889598</v>
      </c>
    </row>
    <row r="464" spans="1:30" x14ac:dyDescent="0.3">
      <c r="A464">
        <v>2015</v>
      </c>
      <c r="B464">
        <v>367</v>
      </c>
      <c r="C464" t="s">
        <v>222</v>
      </c>
      <c r="D464">
        <v>33082.300000000003</v>
      </c>
      <c r="E464">
        <v>5.8</v>
      </c>
      <c r="F464">
        <v>2574.8000000000002</v>
      </c>
      <c r="G464">
        <v>2.7</v>
      </c>
      <c r="H464">
        <v>49797.9</v>
      </c>
      <c r="I464">
        <v>23874.2</v>
      </c>
      <c r="J464">
        <v>0</v>
      </c>
      <c r="K464">
        <v>7.7830138775115403</v>
      </c>
      <c r="L464">
        <v>5.1704991575949997</v>
      </c>
      <c r="M464">
        <v>10.7848639954428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167124</v>
      </c>
      <c r="W464" t="s">
        <v>90</v>
      </c>
      <c r="Y464" t="s">
        <v>224</v>
      </c>
      <c r="Z464">
        <v>23874.2</v>
      </c>
      <c r="AA464">
        <v>2014</v>
      </c>
      <c r="AB464">
        <v>0.66433122681880197</v>
      </c>
      <c r="AC464">
        <v>0.10780000000000001</v>
      </c>
      <c r="AD464">
        <v>2.0858458084459399</v>
      </c>
    </row>
    <row r="465" spans="1:30" x14ac:dyDescent="0.3">
      <c r="A465">
        <v>2015</v>
      </c>
      <c r="B465">
        <v>355</v>
      </c>
      <c r="C465" t="s">
        <v>300</v>
      </c>
      <c r="D465">
        <v>33652.5</v>
      </c>
      <c r="E465">
        <v>5.2</v>
      </c>
      <c r="F465">
        <v>483.7</v>
      </c>
      <c r="G465">
        <v>50.3</v>
      </c>
      <c r="H465">
        <v>14465</v>
      </c>
      <c r="I465">
        <v>4230.1000000000004</v>
      </c>
      <c r="J465">
        <v>0</v>
      </c>
      <c r="K465">
        <v>1.43733749349974</v>
      </c>
      <c r="L465">
        <v>3.3439336329070199</v>
      </c>
      <c r="M465">
        <v>11.434717855369801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196251</v>
      </c>
      <c r="W465" t="s">
        <v>30</v>
      </c>
      <c r="Y465" t="s">
        <v>301</v>
      </c>
      <c r="Z465">
        <v>4230.1000000000004</v>
      </c>
      <c r="AA465">
        <v>2014</v>
      </c>
      <c r="AB465">
        <v>2.3264777048047001</v>
      </c>
      <c r="AC465">
        <v>0.1143</v>
      </c>
      <c r="AD465">
        <v>3.4195409091983602</v>
      </c>
    </row>
    <row r="466" spans="1:30" x14ac:dyDescent="0.3">
      <c r="A466">
        <v>2015</v>
      </c>
      <c r="B466">
        <v>334</v>
      </c>
      <c r="C466" t="s">
        <v>195</v>
      </c>
      <c r="D466">
        <v>35215</v>
      </c>
      <c r="E466">
        <v>-7.9</v>
      </c>
      <c r="F466">
        <v>2407.3000000000002</v>
      </c>
      <c r="G466">
        <v>1.9</v>
      </c>
      <c r="H466">
        <v>37209</v>
      </c>
      <c r="I466">
        <v>24843</v>
      </c>
      <c r="J466">
        <v>0</v>
      </c>
      <c r="K466">
        <v>6.83600738321738</v>
      </c>
      <c r="L466">
        <v>6.4696713160794399</v>
      </c>
      <c r="M466">
        <v>9.6900535362073796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191889</v>
      </c>
      <c r="W466" t="s">
        <v>30</v>
      </c>
      <c r="Y466" t="s">
        <v>198</v>
      </c>
      <c r="Z466">
        <v>24843</v>
      </c>
      <c r="AA466">
        <v>2014</v>
      </c>
      <c r="AB466">
        <v>0.94641081458786902</v>
      </c>
      <c r="AC466">
        <v>9.69E-2</v>
      </c>
      <c r="AD466">
        <v>1.4977659702934401</v>
      </c>
    </row>
    <row r="467" spans="1:30" x14ac:dyDescent="0.3">
      <c r="A467">
        <v>2015</v>
      </c>
      <c r="B467">
        <v>291</v>
      </c>
      <c r="C467" t="s">
        <v>182</v>
      </c>
      <c r="D467">
        <v>39318.800000000003</v>
      </c>
      <c r="E467">
        <v>-2.8</v>
      </c>
      <c r="F467">
        <v>2134.6</v>
      </c>
      <c r="G467">
        <v>39.299999999999997</v>
      </c>
      <c r="H467">
        <v>33854.1</v>
      </c>
      <c r="I467">
        <v>15363.2</v>
      </c>
      <c r="J467">
        <v>0</v>
      </c>
      <c r="K467">
        <v>5.4289551054457403</v>
      </c>
      <c r="L467">
        <v>6.3052924165758402</v>
      </c>
      <c r="M467">
        <v>13.894240783170201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129249</v>
      </c>
      <c r="W467" t="s">
        <v>90</v>
      </c>
      <c r="Y467" t="s">
        <v>184</v>
      </c>
      <c r="Z467">
        <v>15363.2</v>
      </c>
      <c r="AA467">
        <v>2014</v>
      </c>
      <c r="AB467">
        <v>1.1614191486407901</v>
      </c>
      <c r="AC467">
        <v>0.1389</v>
      </c>
      <c r="AD467">
        <v>2.2035838887731698</v>
      </c>
    </row>
    <row r="468" spans="1:30" x14ac:dyDescent="0.3">
      <c r="A468">
        <v>2015</v>
      </c>
      <c r="B468">
        <v>267</v>
      </c>
      <c r="C468" t="s">
        <v>185</v>
      </c>
      <c r="D468">
        <v>41593.5</v>
      </c>
      <c r="E468">
        <v>-3.8</v>
      </c>
      <c r="F468">
        <v>3892.1</v>
      </c>
      <c r="G468">
        <v>21.1</v>
      </c>
      <c r="H468">
        <v>43785.9</v>
      </c>
      <c r="I468">
        <v>24619.4</v>
      </c>
      <c r="J468">
        <v>0</v>
      </c>
      <c r="K468">
        <v>9.3574717203409197</v>
      </c>
      <c r="L468">
        <v>8.8889345656935195</v>
      </c>
      <c r="M468">
        <v>15.8090773942501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28173</v>
      </c>
      <c r="W468" t="s">
        <v>44</v>
      </c>
      <c r="Y468" t="s">
        <v>187</v>
      </c>
      <c r="Z468">
        <v>24619.4</v>
      </c>
      <c r="AA468">
        <v>2014</v>
      </c>
      <c r="AB468">
        <v>0.94992908676080701</v>
      </c>
      <c r="AC468">
        <v>0.15809999999999999</v>
      </c>
      <c r="AD468">
        <v>1.7785120677189501</v>
      </c>
    </row>
    <row r="469" spans="1:30" x14ac:dyDescent="0.3">
      <c r="A469">
        <v>2015</v>
      </c>
      <c r="B469">
        <v>199</v>
      </c>
      <c r="C469" t="s">
        <v>251</v>
      </c>
      <c r="D469">
        <v>52325</v>
      </c>
      <c r="E469">
        <v>-3.8</v>
      </c>
      <c r="F469">
        <v>1227</v>
      </c>
      <c r="G469">
        <v>-50.7</v>
      </c>
      <c r="H469">
        <v>106961.9</v>
      </c>
      <c r="I469">
        <v>35764.1</v>
      </c>
      <c r="J469">
        <v>0</v>
      </c>
      <c r="K469">
        <v>2.3449593884376498</v>
      </c>
      <c r="L469">
        <v>1.1471374386580599</v>
      </c>
      <c r="M469">
        <v>3.4308146996569202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156233</v>
      </c>
      <c r="W469" t="s">
        <v>44</v>
      </c>
      <c r="Y469" t="s">
        <v>233</v>
      </c>
      <c r="Z469">
        <v>35764.1</v>
      </c>
      <c r="AA469">
        <v>2014</v>
      </c>
      <c r="AB469">
        <v>0.489192880829529</v>
      </c>
      <c r="AC469">
        <v>3.4299999999999997E-2</v>
      </c>
      <c r="AD469">
        <v>2.99076168560092</v>
      </c>
    </row>
    <row r="470" spans="1:30" x14ac:dyDescent="0.3">
      <c r="A470">
        <v>2015</v>
      </c>
      <c r="B470">
        <v>175</v>
      </c>
      <c r="C470" t="s">
        <v>302</v>
      </c>
      <c r="D470">
        <v>57038.6</v>
      </c>
      <c r="E470">
        <v>7.4</v>
      </c>
      <c r="F470">
        <v>379.3</v>
      </c>
      <c r="G470">
        <v>134.9</v>
      </c>
      <c r="H470">
        <v>33729.199999999997</v>
      </c>
      <c r="I470">
        <v>10663.7</v>
      </c>
      <c r="J470">
        <v>0</v>
      </c>
      <c r="K470">
        <v>0.66498827110062297</v>
      </c>
      <c r="L470">
        <v>1.12454490471164</v>
      </c>
      <c r="M470">
        <v>3.5569267702579799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83000</v>
      </c>
      <c r="W470" t="s">
        <v>90</v>
      </c>
      <c r="Y470" t="s">
        <v>303</v>
      </c>
      <c r="Z470">
        <v>10663.7</v>
      </c>
      <c r="AA470">
        <v>2014</v>
      </c>
      <c r="AB470">
        <v>1.69107479572596</v>
      </c>
      <c r="AC470">
        <v>3.56E-2</v>
      </c>
      <c r="AD470">
        <v>3.1629922072076302</v>
      </c>
    </row>
    <row r="471" spans="1:30" x14ac:dyDescent="0.3">
      <c r="A471">
        <v>2015</v>
      </c>
      <c r="B471">
        <v>155</v>
      </c>
      <c r="C471" t="s">
        <v>234</v>
      </c>
      <c r="D471">
        <v>63744.800000000003</v>
      </c>
      <c r="E471">
        <v>3.5</v>
      </c>
      <c r="F471">
        <v>3467.8</v>
      </c>
      <c r="G471">
        <v>-40.700000000000003</v>
      </c>
      <c r="H471">
        <v>86739.4</v>
      </c>
      <c r="I471">
        <v>12510.9</v>
      </c>
      <c r="J471">
        <v>0</v>
      </c>
      <c r="K471">
        <v>5.4401300184485599</v>
      </c>
      <c r="L471">
        <v>3.9979524875662</v>
      </c>
      <c r="M471">
        <v>27.718229703698398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191156</v>
      </c>
      <c r="W471" t="s">
        <v>44</v>
      </c>
      <c r="Y471" t="s">
        <v>236</v>
      </c>
      <c r="Z471">
        <v>12510.9</v>
      </c>
      <c r="AA471">
        <v>2014</v>
      </c>
      <c r="AB471">
        <v>0.73490017224006599</v>
      </c>
      <c r="AC471">
        <v>0.2772</v>
      </c>
      <c r="AD471">
        <v>6.9331063312791201</v>
      </c>
    </row>
    <row r="472" spans="1:30" x14ac:dyDescent="0.3">
      <c r="A472">
        <v>2015</v>
      </c>
      <c r="B472">
        <v>140</v>
      </c>
      <c r="C472" t="s">
        <v>237</v>
      </c>
      <c r="D472">
        <v>66826.600000000006</v>
      </c>
      <c r="E472">
        <v>-11.8</v>
      </c>
      <c r="F472">
        <v>3980.9</v>
      </c>
      <c r="G472">
        <v>-34.700000000000003</v>
      </c>
      <c r="H472">
        <v>147972.20000000001</v>
      </c>
      <c r="I472">
        <v>25547.5</v>
      </c>
      <c r="J472">
        <v>0</v>
      </c>
      <c r="K472">
        <v>5.9570590154219998</v>
      </c>
      <c r="L472">
        <v>2.69030263792793</v>
      </c>
      <c r="M472">
        <v>15.5823466092573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123700</v>
      </c>
      <c r="W472" t="s">
        <v>44</v>
      </c>
      <c r="Y472" t="s">
        <v>239</v>
      </c>
      <c r="Z472">
        <v>25547.5</v>
      </c>
      <c r="AA472">
        <v>2014</v>
      </c>
      <c r="AB472">
        <v>0.45161591163745601</v>
      </c>
      <c r="AC472">
        <v>0.15579999999999999</v>
      </c>
      <c r="AD472">
        <v>5.7920422741951301</v>
      </c>
    </row>
    <row r="473" spans="1:30" x14ac:dyDescent="0.3">
      <c r="A473">
        <v>2015</v>
      </c>
      <c r="B473">
        <v>136</v>
      </c>
      <c r="C473" t="s">
        <v>135</v>
      </c>
      <c r="D473">
        <v>67944.600000000006</v>
      </c>
      <c r="E473">
        <v>3</v>
      </c>
      <c r="F473">
        <v>9269.6</v>
      </c>
      <c r="G473">
        <v>-90.2</v>
      </c>
      <c r="H473">
        <v>181940</v>
      </c>
      <c r="I473">
        <v>98181.7</v>
      </c>
      <c r="J473">
        <v>0</v>
      </c>
      <c r="K473">
        <v>13.6428796401774</v>
      </c>
      <c r="L473">
        <v>5.0948664394855498</v>
      </c>
      <c r="M473">
        <v>9.4412706237516808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105970</v>
      </c>
      <c r="W473" t="s">
        <v>44</v>
      </c>
      <c r="Y473" t="s">
        <v>137</v>
      </c>
      <c r="Z473">
        <v>98181.7</v>
      </c>
      <c r="AA473">
        <v>2014</v>
      </c>
      <c r="AB473">
        <v>0.37344509178850199</v>
      </c>
      <c r="AC473">
        <v>9.4399999999999998E-2</v>
      </c>
      <c r="AD473">
        <v>1.85309482316969</v>
      </c>
    </row>
    <row r="474" spans="1:30" x14ac:dyDescent="0.3">
      <c r="A474">
        <v>2015</v>
      </c>
      <c r="B474">
        <v>131</v>
      </c>
      <c r="C474" t="s">
        <v>160</v>
      </c>
      <c r="D474">
        <v>70169.600000000006</v>
      </c>
      <c r="E474">
        <v>-9.1</v>
      </c>
      <c r="F474">
        <v>1632.4</v>
      </c>
      <c r="G474">
        <v>35.799999999999997</v>
      </c>
      <c r="H474">
        <v>49678.5</v>
      </c>
      <c r="I474">
        <v>15205.5</v>
      </c>
      <c r="J474">
        <v>0</v>
      </c>
      <c r="K474">
        <v>2.3263635534476501</v>
      </c>
      <c r="L474">
        <v>3.2859285203860802</v>
      </c>
      <c r="M474">
        <v>10.7355890960508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254084</v>
      </c>
      <c r="W474" t="s">
        <v>90</v>
      </c>
      <c r="Y474" t="s">
        <v>311</v>
      </c>
      <c r="Z474">
        <v>15205.5</v>
      </c>
      <c r="AA474">
        <v>2014</v>
      </c>
      <c r="AB474">
        <v>1.4124742091649301</v>
      </c>
      <c r="AC474">
        <v>0.1074</v>
      </c>
      <c r="AD474">
        <v>3.2671401795402999</v>
      </c>
    </row>
    <row r="475" spans="1:30" x14ac:dyDescent="0.3">
      <c r="A475">
        <v>2015</v>
      </c>
      <c r="B475">
        <v>110</v>
      </c>
      <c r="C475" t="s">
        <v>126</v>
      </c>
      <c r="D475">
        <v>78857.2</v>
      </c>
      <c r="E475">
        <v>18.5</v>
      </c>
      <c r="F475">
        <v>6078.9</v>
      </c>
      <c r="G475">
        <v>15.5</v>
      </c>
      <c r="H475">
        <v>175416.3</v>
      </c>
      <c r="I475">
        <v>23737</v>
      </c>
      <c r="J475">
        <v>0</v>
      </c>
      <c r="K475">
        <v>7.7087444139533199</v>
      </c>
      <c r="L475">
        <v>3.4654134193914699</v>
      </c>
      <c r="M475">
        <v>25.609386190335801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66154</v>
      </c>
      <c r="W475" t="s">
        <v>44</v>
      </c>
      <c r="Y475" t="s">
        <v>201</v>
      </c>
      <c r="Z475">
        <v>23737</v>
      </c>
      <c r="AA475">
        <v>2014</v>
      </c>
      <c r="AB475">
        <v>0.44954317244178599</v>
      </c>
      <c r="AC475">
        <v>0.25609999999999999</v>
      </c>
      <c r="AD475">
        <v>7.3899945233180304</v>
      </c>
    </row>
    <row r="476" spans="1:30" x14ac:dyDescent="0.3">
      <c r="A476">
        <v>2015</v>
      </c>
      <c r="B476">
        <v>102</v>
      </c>
      <c r="C476" t="s">
        <v>163</v>
      </c>
      <c r="D476">
        <v>83117.7</v>
      </c>
      <c r="E476">
        <v>4.0999999999999996</v>
      </c>
      <c r="F476">
        <v>3878.8</v>
      </c>
      <c r="G476">
        <v>214.2</v>
      </c>
      <c r="H476">
        <v>156515.4</v>
      </c>
      <c r="I476">
        <v>30776.799999999999</v>
      </c>
      <c r="J476">
        <v>0</v>
      </c>
      <c r="K476">
        <v>4.6666353857241001</v>
      </c>
      <c r="L476">
        <v>2.47822259023713</v>
      </c>
      <c r="M476">
        <v>12.6029996620831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228000</v>
      </c>
      <c r="W476" t="s">
        <v>44</v>
      </c>
      <c r="Y476" t="s">
        <v>165</v>
      </c>
      <c r="Z476">
        <v>30776.799999999999</v>
      </c>
      <c r="AA476">
        <v>2014</v>
      </c>
      <c r="AB476">
        <v>0.53105125757593197</v>
      </c>
      <c r="AC476">
        <v>0.126</v>
      </c>
      <c r="AD476">
        <v>5.0854994671310898</v>
      </c>
    </row>
    <row r="477" spans="1:30" x14ac:dyDescent="0.3">
      <c r="A477">
        <v>2015</v>
      </c>
      <c r="B477">
        <v>89</v>
      </c>
      <c r="C477" t="s">
        <v>188</v>
      </c>
      <c r="D477">
        <v>88786.9</v>
      </c>
      <c r="E477">
        <v>-7.5</v>
      </c>
      <c r="F477">
        <v>2194.6999999999998</v>
      </c>
      <c r="G477">
        <v>-17</v>
      </c>
      <c r="H477">
        <v>103372.4</v>
      </c>
      <c r="I477">
        <v>24437.599999999999</v>
      </c>
      <c r="J477">
        <v>0</v>
      </c>
      <c r="K477">
        <v>2.4718736660475802</v>
      </c>
      <c r="L477">
        <v>2.1231005568217398</v>
      </c>
      <c r="M477">
        <v>8.9808328150063801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333150</v>
      </c>
      <c r="W477" t="s">
        <v>90</v>
      </c>
      <c r="Y477" t="s">
        <v>190</v>
      </c>
      <c r="Z477">
        <v>24437.599999999999</v>
      </c>
      <c r="AA477">
        <v>2014</v>
      </c>
      <c r="AB477">
        <v>0.85890334363911403</v>
      </c>
      <c r="AC477">
        <v>8.9800000000000005E-2</v>
      </c>
      <c r="AD477">
        <v>4.23005532458179</v>
      </c>
    </row>
    <row r="478" spans="1:30" x14ac:dyDescent="0.3">
      <c r="A478">
        <v>2015</v>
      </c>
      <c r="B478">
        <v>65</v>
      </c>
      <c r="C478" t="s">
        <v>199</v>
      </c>
      <c r="D478">
        <v>100913.9</v>
      </c>
      <c r="E478">
        <v>-7.5</v>
      </c>
      <c r="F478">
        <v>4711.8999999999996</v>
      </c>
      <c r="G478">
        <v>-19.399999999999999</v>
      </c>
      <c r="H478">
        <v>172649.7</v>
      </c>
      <c r="I478">
        <v>72403.100000000006</v>
      </c>
      <c r="J478">
        <v>0</v>
      </c>
      <c r="K478">
        <v>4.6692279259844298</v>
      </c>
      <c r="L478">
        <v>2.72916778888119</v>
      </c>
      <c r="M478">
        <v>6.5078705193562101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241600</v>
      </c>
      <c r="W478" t="s">
        <v>44</v>
      </c>
      <c r="Y478" t="s">
        <v>200</v>
      </c>
      <c r="Z478">
        <v>72403.100000000006</v>
      </c>
      <c r="AA478">
        <v>2014</v>
      </c>
      <c r="AB478">
        <v>0.58450087083846602</v>
      </c>
      <c r="AC478">
        <v>6.5100000000000005E-2</v>
      </c>
      <c r="AD478">
        <v>2.3845622632180099</v>
      </c>
    </row>
    <row r="479" spans="1:30" x14ac:dyDescent="0.3">
      <c r="A479">
        <v>2015</v>
      </c>
      <c r="B479">
        <v>63</v>
      </c>
      <c r="C479" t="s">
        <v>240</v>
      </c>
      <c r="D479">
        <v>101560.3</v>
      </c>
      <c r="E479">
        <v>-4.3</v>
      </c>
      <c r="F479">
        <v>7288.3</v>
      </c>
      <c r="G479">
        <v>29.7</v>
      </c>
      <c r="H479">
        <v>132473.20000000001</v>
      </c>
      <c r="I479">
        <v>39098.1</v>
      </c>
      <c r="J479">
        <v>0</v>
      </c>
      <c r="K479">
        <v>7.1763277579920501</v>
      </c>
      <c r="L479">
        <v>5.5017165736163998</v>
      </c>
      <c r="M479">
        <v>18.641059284210701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357000</v>
      </c>
      <c r="W479" t="s">
        <v>90</v>
      </c>
      <c r="Y479" t="s">
        <v>242</v>
      </c>
      <c r="Z479">
        <v>39098.1</v>
      </c>
      <c r="AA479">
        <v>2014</v>
      </c>
      <c r="AB479">
        <v>0.76664789557434998</v>
      </c>
      <c r="AC479">
        <v>0.18640000000000001</v>
      </c>
      <c r="AD479">
        <v>3.3882260263286499</v>
      </c>
    </row>
    <row r="480" spans="1:30" x14ac:dyDescent="0.3">
      <c r="A480">
        <v>2015</v>
      </c>
      <c r="B480">
        <v>31</v>
      </c>
      <c r="C480" t="s">
        <v>243</v>
      </c>
      <c r="D480">
        <v>139039.4</v>
      </c>
      <c r="E480">
        <v>4.4000000000000004</v>
      </c>
      <c r="F480">
        <v>4307.8</v>
      </c>
      <c r="G480">
        <v>19.8</v>
      </c>
      <c r="H480">
        <v>77934</v>
      </c>
      <c r="I480">
        <v>29437.7</v>
      </c>
      <c r="J480">
        <v>0</v>
      </c>
      <c r="K480">
        <v>3.0982584792512098</v>
      </c>
      <c r="L480">
        <v>5.5274976261965296</v>
      </c>
      <c r="M480">
        <v>14.633616077343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1060000</v>
      </c>
      <c r="W480" t="s">
        <v>90</v>
      </c>
      <c r="Y480" t="s">
        <v>245</v>
      </c>
      <c r="Z480">
        <v>29437.7</v>
      </c>
      <c r="AA480">
        <v>2014</v>
      </c>
      <c r="AB480">
        <v>1.7840660045679699</v>
      </c>
      <c r="AC480">
        <v>0.14630000000000001</v>
      </c>
      <c r="AD480">
        <v>2.6474215037180202</v>
      </c>
    </row>
    <row r="481" spans="1:30" x14ac:dyDescent="0.3">
      <c r="A481">
        <v>2015</v>
      </c>
      <c r="B481">
        <v>13</v>
      </c>
      <c r="C481" t="s">
        <v>246</v>
      </c>
      <c r="D481">
        <v>195845.3</v>
      </c>
      <c r="E481">
        <v>-6.3</v>
      </c>
      <c r="F481">
        <v>21922.7</v>
      </c>
      <c r="G481">
        <v>-19.5</v>
      </c>
      <c r="H481">
        <v>209666</v>
      </c>
      <c r="I481">
        <v>147572.1</v>
      </c>
      <c r="J481">
        <v>0</v>
      </c>
      <c r="K481">
        <v>11.1938861948691</v>
      </c>
      <c r="L481">
        <v>10.456010988906201</v>
      </c>
      <c r="M481">
        <v>14.855585845834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307000</v>
      </c>
      <c r="W481" t="s">
        <v>90</v>
      </c>
      <c r="Y481" t="s">
        <v>248</v>
      </c>
      <c r="Z481">
        <v>147572.1</v>
      </c>
      <c r="AA481">
        <v>2014</v>
      </c>
      <c r="AB481">
        <v>0.93408230232846501</v>
      </c>
      <c r="AC481">
        <v>0.14860000000000001</v>
      </c>
      <c r="AD481">
        <v>1.42076991518044</v>
      </c>
    </row>
    <row r="482" spans="1:30" x14ac:dyDescent="0.3">
      <c r="A482">
        <v>2023</v>
      </c>
      <c r="B482">
        <v>420</v>
      </c>
      <c r="C482" t="s">
        <v>297</v>
      </c>
      <c r="D482">
        <v>36039.699999999997</v>
      </c>
      <c r="E482">
        <v>-18.5</v>
      </c>
      <c r="F482">
        <v>244.7</v>
      </c>
      <c r="G482">
        <v>-45.9</v>
      </c>
      <c r="H482">
        <v>14767.2</v>
      </c>
      <c r="I482">
        <v>3787</v>
      </c>
      <c r="J482">
        <v>0</v>
      </c>
      <c r="K482">
        <v>0.7</v>
      </c>
      <c r="L482">
        <v>1.7</v>
      </c>
      <c r="M482">
        <v>6.5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73120</v>
      </c>
      <c r="W482" t="s">
        <v>30</v>
      </c>
      <c r="Y482" t="s">
        <v>299</v>
      </c>
      <c r="Z482">
        <v>3764.6153846153802</v>
      </c>
      <c r="AA482">
        <v>2022</v>
      </c>
      <c r="AB482">
        <v>2.4405235928273501</v>
      </c>
      <c r="AC482">
        <v>6.5000000000000002E-2</v>
      </c>
      <c r="AD482">
        <v>3.92263179403351</v>
      </c>
    </row>
    <row r="483" spans="1:30" x14ac:dyDescent="0.3">
      <c r="A483">
        <v>2023</v>
      </c>
      <c r="B483">
        <v>345</v>
      </c>
      <c r="C483" t="s">
        <v>225</v>
      </c>
      <c r="D483">
        <v>42997</v>
      </c>
      <c r="E483">
        <v>6.3</v>
      </c>
      <c r="F483">
        <v>972.4</v>
      </c>
      <c r="G483">
        <v>-19.3</v>
      </c>
      <c r="H483">
        <v>26576.400000000001</v>
      </c>
      <c r="I483">
        <v>5508.4</v>
      </c>
      <c r="J483">
        <v>0</v>
      </c>
      <c r="K483">
        <v>2.2999999999999998</v>
      </c>
      <c r="L483">
        <v>3.7</v>
      </c>
      <c r="M483">
        <v>17.7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67979</v>
      </c>
      <c r="W483" t="s">
        <v>30</v>
      </c>
      <c r="Y483" t="s">
        <v>227</v>
      </c>
      <c r="Z483">
        <v>5493.7853107344599</v>
      </c>
      <c r="AA483">
        <v>2022</v>
      </c>
      <c r="AB483">
        <v>1.6178639695368799</v>
      </c>
      <c r="AC483">
        <v>0.17699999999999999</v>
      </c>
      <c r="AD483">
        <v>4.8375388728918098</v>
      </c>
    </row>
    <row r="484" spans="1:30" x14ac:dyDescent="0.3">
      <c r="A484">
        <v>2023</v>
      </c>
      <c r="B484">
        <v>333</v>
      </c>
      <c r="C484" t="s">
        <v>300</v>
      </c>
      <c r="D484">
        <v>44272.5</v>
      </c>
      <c r="E484">
        <v>-2.2000000000000002</v>
      </c>
      <c r="F484">
        <v>506.9</v>
      </c>
      <c r="G484">
        <v>-31.1</v>
      </c>
      <c r="H484">
        <v>20717.8</v>
      </c>
      <c r="I484">
        <v>5942.5</v>
      </c>
      <c r="J484">
        <v>0</v>
      </c>
      <c r="K484">
        <v>1.1000000000000001</v>
      </c>
      <c r="L484">
        <v>2.4</v>
      </c>
      <c r="M484">
        <v>8.5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161836</v>
      </c>
      <c r="W484" t="s">
        <v>90</v>
      </c>
      <c r="Y484" t="s">
        <v>301</v>
      </c>
      <c r="Z484">
        <v>5963.5294117647099</v>
      </c>
      <c r="AA484">
        <v>2022</v>
      </c>
      <c r="AB484">
        <v>2.1369305621253201</v>
      </c>
      <c r="AC484">
        <v>8.5000000000000006E-2</v>
      </c>
      <c r="AD484">
        <v>3.4740836456894901</v>
      </c>
    </row>
    <row r="485" spans="1:30" x14ac:dyDescent="0.3">
      <c r="A485">
        <v>2023</v>
      </c>
      <c r="B485">
        <v>204</v>
      </c>
      <c r="C485" t="s">
        <v>302</v>
      </c>
      <c r="D485">
        <v>64952.800000000003</v>
      </c>
      <c r="E485">
        <v>-2.9</v>
      </c>
      <c r="F485">
        <v>926.8</v>
      </c>
      <c r="G485">
        <v>2.8</v>
      </c>
      <c r="H485">
        <v>43845.7</v>
      </c>
      <c r="I485">
        <v>15097.5</v>
      </c>
      <c r="J485">
        <v>0</v>
      </c>
      <c r="K485">
        <v>1.4</v>
      </c>
      <c r="L485">
        <v>2.1</v>
      </c>
      <c r="M485">
        <v>6.1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74000</v>
      </c>
      <c r="W485" t="s">
        <v>90</v>
      </c>
      <c r="Y485" t="s">
        <v>303</v>
      </c>
      <c r="Z485">
        <v>15193.442622950801</v>
      </c>
      <c r="AA485">
        <v>2022</v>
      </c>
      <c r="AB485">
        <v>1.4813949828603501</v>
      </c>
      <c r="AC485">
        <v>6.0999999999999999E-2</v>
      </c>
      <c r="AD485">
        <v>2.8858304920155402</v>
      </c>
    </row>
    <row r="486" spans="1:30" x14ac:dyDescent="0.3">
      <c r="A486">
        <v>2023</v>
      </c>
      <c r="B486">
        <v>25</v>
      </c>
      <c r="C486" t="s">
        <v>246</v>
      </c>
      <c r="D486">
        <v>234129.3</v>
      </c>
      <c r="E486">
        <v>-4.2</v>
      </c>
      <c r="F486">
        <v>42397.7</v>
      </c>
      <c r="G486">
        <v>23.6</v>
      </c>
      <c r="H486">
        <v>356469.6</v>
      </c>
      <c r="I486">
        <v>274401.5</v>
      </c>
      <c r="J486">
        <v>0</v>
      </c>
      <c r="K486">
        <v>18.100000000000001</v>
      </c>
      <c r="L486">
        <v>11.9</v>
      </c>
      <c r="M486">
        <v>15.5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270372</v>
      </c>
      <c r="W486" t="s">
        <v>90</v>
      </c>
      <c r="Y486" t="s">
        <v>248</v>
      </c>
      <c r="Z486">
        <v>273533.54838709702</v>
      </c>
      <c r="AA486">
        <v>2022</v>
      </c>
      <c r="AB486">
        <v>0.65680018716883604</v>
      </c>
      <c r="AC486">
        <v>0.155</v>
      </c>
      <c r="AD486">
        <v>1.30320248504046</v>
      </c>
    </row>
    <row r="487" spans="1:30" x14ac:dyDescent="0.3">
      <c r="A487">
        <v>2022</v>
      </c>
      <c r="B487">
        <v>462</v>
      </c>
      <c r="C487" t="s">
        <v>308</v>
      </c>
      <c r="D487">
        <v>30866.6</v>
      </c>
      <c r="E487">
        <v>7.6</v>
      </c>
      <c r="F487">
        <v>374.8</v>
      </c>
      <c r="G487">
        <v>27.1</v>
      </c>
      <c r="H487">
        <v>17943.900000000001</v>
      </c>
      <c r="I487">
        <v>2811.5</v>
      </c>
      <c r="J487">
        <v>0</v>
      </c>
      <c r="K487">
        <v>1.2</v>
      </c>
      <c r="L487">
        <v>2.1</v>
      </c>
      <c r="M487">
        <v>13.3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80000</v>
      </c>
      <c r="W487" t="s">
        <v>30</v>
      </c>
      <c r="Y487" t="s">
        <v>309</v>
      </c>
      <c r="Z487">
        <v>2818.0451127819501</v>
      </c>
      <c r="AA487">
        <v>2021</v>
      </c>
      <c r="AB487">
        <v>1.72017231482565</v>
      </c>
      <c r="AC487">
        <v>0.13300000000000001</v>
      </c>
      <c r="AD487">
        <v>6.3674991995731096</v>
      </c>
    </row>
    <row r="488" spans="1:30" x14ac:dyDescent="0.3">
      <c r="A488">
        <v>2022</v>
      </c>
      <c r="B488">
        <v>317</v>
      </c>
      <c r="C488" t="s">
        <v>297</v>
      </c>
      <c r="D488">
        <v>44243.1</v>
      </c>
      <c r="E488">
        <v>24.2</v>
      </c>
      <c r="F488">
        <v>452.3</v>
      </c>
      <c r="G488">
        <v>42.3</v>
      </c>
      <c r="H488">
        <v>19379.900000000001</v>
      </c>
      <c r="I488">
        <v>4018.2</v>
      </c>
      <c r="J488">
        <v>0</v>
      </c>
      <c r="K488">
        <v>1</v>
      </c>
      <c r="L488">
        <v>2.2999999999999998</v>
      </c>
      <c r="M488">
        <v>11.3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109709</v>
      </c>
      <c r="W488" t="s">
        <v>30</v>
      </c>
      <c r="Y488" t="s">
        <v>299</v>
      </c>
      <c r="Z488">
        <v>4002.65486725664</v>
      </c>
      <c r="AA488">
        <v>2021</v>
      </c>
      <c r="AB488">
        <v>2.2829374764575698</v>
      </c>
      <c r="AC488">
        <v>0.113</v>
      </c>
      <c r="AD488">
        <v>4.8417614415211103</v>
      </c>
    </row>
    <row r="489" spans="1:30" x14ac:dyDescent="0.3">
      <c r="A489">
        <v>2022</v>
      </c>
      <c r="B489">
        <v>311</v>
      </c>
      <c r="C489" t="s">
        <v>300</v>
      </c>
      <c r="D489">
        <v>45247</v>
      </c>
      <c r="E489">
        <v>-4.8</v>
      </c>
      <c r="F489">
        <v>735.6</v>
      </c>
      <c r="G489">
        <v>7.2</v>
      </c>
      <c r="H489">
        <v>24419.8</v>
      </c>
      <c r="I489">
        <v>6011.6</v>
      </c>
      <c r="J489">
        <v>0</v>
      </c>
      <c r="K489">
        <v>1.6</v>
      </c>
      <c r="L489">
        <v>3</v>
      </c>
      <c r="M489">
        <v>12.2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132157</v>
      </c>
      <c r="W489" t="s">
        <v>90</v>
      </c>
      <c r="Y489" t="s">
        <v>301</v>
      </c>
      <c r="Z489">
        <v>6029.50819672131</v>
      </c>
      <c r="AA489">
        <v>2021</v>
      </c>
      <c r="AB489">
        <v>1.85288167798262</v>
      </c>
      <c r="AC489">
        <v>0.122</v>
      </c>
      <c r="AD489">
        <v>4.0500483958673197</v>
      </c>
    </row>
    <row r="490" spans="1:30" x14ac:dyDescent="0.3">
      <c r="A490">
        <v>2022</v>
      </c>
      <c r="B490">
        <v>187</v>
      </c>
      <c r="C490" t="s">
        <v>302</v>
      </c>
      <c r="D490">
        <v>66861.8</v>
      </c>
      <c r="E490">
        <v>24.7</v>
      </c>
      <c r="F490">
        <v>901.6</v>
      </c>
      <c r="G490">
        <v>-46</v>
      </c>
      <c r="H490">
        <v>45002.2</v>
      </c>
      <c r="I490">
        <v>14498.8</v>
      </c>
      <c r="J490">
        <v>0</v>
      </c>
      <c r="K490">
        <v>1.3</v>
      </c>
      <c r="L490">
        <v>2</v>
      </c>
      <c r="M490">
        <v>6.2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75000</v>
      </c>
      <c r="W490" t="s">
        <v>90</v>
      </c>
      <c r="Y490" t="s">
        <v>303</v>
      </c>
      <c r="Z490">
        <v>14541.935483871001</v>
      </c>
      <c r="AA490">
        <v>2021</v>
      </c>
      <c r="AB490">
        <v>1.48574514134865</v>
      </c>
      <c r="AC490">
        <v>6.2E-2</v>
      </c>
      <c r="AD490">
        <v>3.0946499556344298</v>
      </c>
    </row>
    <row r="491" spans="1:30" x14ac:dyDescent="0.3">
      <c r="A491">
        <v>2022</v>
      </c>
      <c r="B491">
        <v>349</v>
      </c>
      <c r="C491" t="s">
        <v>225</v>
      </c>
      <c r="D491">
        <v>40439.699999999997</v>
      </c>
      <c r="E491">
        <v>9.1999999999999993</v>
      </c>
      <c r="F491">
        <v>1204.9000000000001</v>
      </c>
      <c r="G491">
        <v>40.1</v>
      </c>
      <c r="H491">
        <v>25892</v>
      </c>
      <c r="I491">
        <v>5814.4</v>
      </c>
      <c r="J491">
        <v>0</v>
      </c>
      <c r="K491">
        <v>3</v>
      </c>
      <c r="L491">
        <v>4.7</v>
      </c>
      <c r="M491">
        <v>20.7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91313</v>
      </c>
      <c r="W491" t="s">
        <v>30</v>
      </c>
      <c r="Y491" t="s">
        <v>227</v>
      </c>
      <c r="Z491">
        <v>5820.7729468599</v>
      </c>
      <c r="AA491">
        <v>2021</v>
      </c>
      <c r="AB491">
        <v>1.5618608064267001</v>
      </c>
      <c r="AC491">
        <v>0.20699999999999999</v>
      </c>
      <c r="AD491">
        <v>4.4482064901651599</v>
      </c>
    </row>
    <row r="492" spans="1:30" x14ac:dyDescent="0.3">
      <c r="A492">
        <v>2022</v>
      </c>
      <c r="B492">
        <v>18</v>
      </c>
      <c r="C492" t="s">
        <v>246</v>
      </c>
      <c r="D492">
        <v>244334.9</v>
      </c>
      <c r="E492">
        <v>21.7</v>
      </c>
      <c r="F492">
        <v>34293.5</v>
      </c>
      <c r="G492">
        <v>55.1</v>
      </c>
      <c r="H492">
        <v>358981.8</v>
      </c>
      <c r="I492">
        <v>249270.2</v>
      </c>
      <c r="J492">
        <v>0</v>
      </c>
      <c r="K492">
        <v>14</v>
      </c>
      <c r="L492">
        <v>9.6</v>
      </c>
      <c r="M492">
        <v>13.8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266673</v>
      </c>
      <c r="W492" t="s">
        <v>90</v>
      </c>
      <c r="Y492" t="s">
        <v>248</v>
      </c>
      <c r="Z492">
        <v>248503.623188406</v>
      </c>
      <c r="AA492">
        <v>2021</v>
      </c>
      <c r="AB492">
        <v>0.68063311287647499</v>
      </c>
      <c r="AC492">
        <v>0.13800000000000001</v>
      </c>
      <c r="AD492">
        <v>1.4445737063875099</v>
      </c>
    </row>
    <row r="493" spans="1:30" x14ac:dyDescent="0.3">
      <c r="A493">
        <v>2021</v>
      </c>
      <c r="B493">
        <v>421</v>
      </c>
      <c r="C493" t="s">
        <v>308</v>
      </c>
      <c r="D493">
        <v>28694.5</v>
      </c>
      <c r="E493">
        <v>1</v>
      </c>
      <c r="F493">
        <v>294.8</v>
      </c>
      <c r="G493">
        <v>34</v>
      </c>
      <c r="H493">
        <v>15270.9</v>
      </c>
      <c r="I493">
        <v>2548.5</v>
      </c>
      <c r="J493">
        <v>0</v>
      </c>
      <c r="K493">
        <v>1</v>
      </c>
      <c r="L493">
        <v>1.9</v>
      </c>
      <c r="M493">
        <v>11.6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69506</v>
      </c>
      <c r="W493" t="s">
        <v>30</v>
      </c>
      <c r="Y493" t="s">
        <v>309</v>
      </c>
      <c r="Z493">
        <v>2541.3793103448302</v>
      </c>
      <c r="AA493">
        <v>2020</v>
      </c>
      <c r="AB493">
        <v>1.87903136029965</v>
      </c>
      <c r="AC493">
        <v>0.11600000000000001</v>
      </c>
      <c r="AD493">
        <v>6.0089023066485696</v>
      </c>
    </row>
    <row r="494" spans="1:30" x14ac:dyDescent="0.3">
      <c r="A494">
        <v>2021</v>
      </c>
      <c r="B494">
        <v>339</v>
      </c>
      <c r="C494" t="s">
        <v>297</v>
      </c>
      <c r="D494">
        <v>35619.1</v>
      </c>
      <c r="E494">
        <v>12.3</v>
      </c>
      <c r="F494">
        <v>317.89999999999998</v>
      </c>
      <c r="G494">
        <v>41.3</v>
      </c>
      <c r="H494">
        <v>16627.8</v>
      </c>
      <c r="I494">
        <v>3804.4</v>
      </c>
      <c r="J494">
        <v>0</v>
      </c>
      <c r="K494">
        <v>0.9</v>
      </c>
      <c r="L494">
        <v>1.9</v>
      </c>
      <c r="M494">
        <v>8.4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112761</v>
      </c>
      <c r="W494" t="s">
        <v>30</v>
      </c>
      <c r="Y494" t="s">
        <v>299</v>
      </c>
      <c r="Z494">
        <v>3784.5238095238101</v>
      </c>
      <c r="AA494">
        <v>2020</v>
      </c>
      <c r="AB494">
        <v>2.14214147391717</v>
      </c>
      <c r="AC494">
        <v>8.4000000000000005E-2</v>
      </c>
      <c r="AD494">
        <v>4.3936307014784504</v>
      </c>
    </row>
    <row r="495" spans="1:30" x14ac:dyDescent="0.3">
      <c r="A495">
        <v>2021</v>
      </c>
      <c r="B495">
        <v>324</v>
      </c>
      <c r="C495" t="s">
        <v>225</v>
      </c>
      <c r="D495">
        <v>37042.9</v>
      </c>
      <c r="E495">
        <v>11.2</v>
      </c>
      <c r="F495">
        <v>860.1</v>
      </c>
      <c r="G495">
        <v>66.7</v>
      </c>
      <c r="H495">
        <v>23640.799999999999</v>
      </c>
      <c r="I495">
        <v>5140.8</v>
      </c>
      <c r="J495">
        <v>0</v>
      </c>
      <c r="K495">
        <v>2.2999999999999998</v>
      </c>
      <c r="L495">
        <v>3.6</v>
      </c>
      <c r="M495">
        <v>16.7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90895</v>
      </c>
      <c r="W495" t="s">
        <v>30</v>
      </c>
      <c r="Y495" t="s">
        <v>227</v>
      </c>
      <c r="Z495">
        <v>5150.2994011976098</v>
      </c>
      <c r="AA495">
        <v>2020</v>
      </c>
      <c r="AB495">
        <v>1.56690551927177</v>
      </c>
      <c r="AC495">
        <v>0.16700000000000001</v>
      </c>
      <c r="AD495">
        <v>4.5901797465411001</v>
      </c>
    </row>
    <row r="496" spans="1:30" x14ac:dyDescent="0.3">
      <c r="A496">
        <v>2021</v>
      </c>
      <c r="B496">
        <v>235</v>
      </c>
      <c r="C496" t="s">
        <v>300</v>
      </c>
      <c r="D496">
        <v>47517.9</v>
      </c>
      <c r="E496">
        <v>7.5</v>
      </c>
      <c r="F496">
        <v>686.2</v>
      </c>
      <c r="G496">
        <v>9.8000000000000007</v>
      </c>
      <c r="H496">
        <v>24370.5</v>
      </c>
      <c r="I496">
        <v>5790.2</v>
      </c>
      <c r="J496">
        <v>0</v>
      </c>
      <c r="K496">
        <v>1.4</v>
      </c>
      <c r="L496">
        <v>2.8</v>
      </c>
      <c r="M496">
        <v>11.9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169083</v>
      </c>
      <c r="W496" t="s">
        <v>90</v>
      </c>
      <c r="Y496" t="s">
        <v>301</v>
      </c>
      <c r="Z496">
        <v>5766.3865546218503</v>
      </c>
      <c r="AA496">
        <v>2020</v>
      </c>
      <c r="AB496">
        <v>1.94981227303502</v>
      </c>
      <c r="AC496">
        <v>0.11899999999999999</v>
      </c>
      <c r="AD496">
        <v>4.2263035558146296</v>
      </c>
    </row>
    <row r="497" spans="1:30" x14ac:dyDescent="0.3">
      <c r="A497">
        <v>2021</v>
      </c>
      <c r="B497">
        <v>192</v>
      </c>
      <c r="C497" t="s">
        <v>302</v>
      </c>
      <c r="D497">
        <v>53625.4</v>
      </c>
      <c r="E497">
        <v>0.3</v>
      </c>
      <c r="F497">
        <v>1668.5</v>
      </c>
      <c r="G497">
        <v>6115.2</v>
      </c>
      <c r="H497">
        <v>44349.8</v>
      </c>
      <c r="I497">
        <v>14203.1</v>
      </c>
      <c r="J497">
        <v>0</v>
      </c>
      <c r="K497">
        <v>3.1</v>
      </c>
      <c r="L497">
        <v>3.8</v>
      </c>
      <c r="M497">
        <v>11.7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75000</v>
      </c>
      <c r="W497" t="s">
        <v>90</v>
      </c>
      <c r="Y497" t="s">
        <v>303</v>
      </c>
      <c r="Z497">
        <v>14260.6837606838</v>
      </c>
      <c r="AA497">
        <v>2020</v>
      </c>
      <c r="AB497">
        <v>1.20914637721027</v>
      </c>
      <c r="AC497">
        <v>0.11700000000000001</v>
      </c>
      <c r="AD497">
        <v>3.10993503146539</v>
      </c>
    </row>
    <row r="498" spans="1:30" x14ac:dyDescent="0.3">
      <c r="A498">
        <v>2021</v>
      </c>
      <c r="B498">
        <v>15</v>
      </c>
      <c r="C498" t="s">
        <v>246</v>
      </c>
      <c r="D498">
        <v>200734.4</v>
      </c>
      <c r="E498">
        <v>1.5</v>
      </c>
      <c r="F498">
        <v>22116.400000000001</v>
      </c>
      <c r="G498">
        <v>19.899999999999999</v>
      </c>
      <c r="H498">
        <v>347991.8</v>
      </c>
      <c r="I498">
        <v>246267.2</v>
      </c>
      <c r="J498">
        <v>0</v>
      </c>
      <c r="K498">
        <v>11</v>
      </c>
      <c r="L498">
        <v>6.4</v>
      </c>
      <c r="M498">
        <v>9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267937</v>
      </c>
      <c r="W498" t="s">
        <v>90</v>
      </c>
      <c r="Y498" t="s">
        <v>248</v>
      </c>
      <c r="Z498">
        <v>245737.77777777801</v>
      </c>
      <c r="AA498">
        <v>2020</v>
      </c>
      <c r="AB498">
        <v>0.57683658063207199</v>
      </c>
      <c r="AC498">
        <v>0.09</v>
      </c>
      <c r="AD498">
        <v>1.4161103072832799</v>
      </c>
    </row>
    <row r="499" spans="1:30" x14ac:dyDescent="0.3">
      <c r="A499">
        <v>2020</v>
      </c>
      <c r="B499">
        <v>424</v>
      </c>
      <c r="C499" t="s">
        <v>308</v>
      </c>
      <c r="D499">
        <v>29509.5</v>
      </c>
      <c r="E499">
        <v>7.4</v>
      </c>
      <c r="F499">
        <v>162.80000000000001</v>
      </c>
      <c r="G499">
        <v>27.5</v>
      </c>
      <c r="H499">
        <v>11032.7</v>
      </c>
      <c r="I499">
        <v>2243.1</v>
      </c>
      <c r="J499">
        <v>0</v>
      </c>
      <c r="K499">
        <v>0.6</v>
      </c>
      <c r="L499">
        <v>1.5</v>
      </c>
      <c r="M499">
        <v>7.3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82955</v>
      </c>
      <c r="W499" t="s">
        <v>30</v>
      </c>
      <c r="Y499" t="s">
        <v>309</v>
      </c>
      <c r="Z499">
        <v>2230.1369863013701</v>
      </c>
      <c r="AA499">
        <v>2019</v>
      </c>
      <c r="AB499">
        <v>2.67473057365831</v>
      </c>
      <c r="AC499">
        <v>7.2999999999999995E-2</v>
      </c>
      <c r="AD499">
        <v>4.9470952088452096</v>
      </c>
    </row>
    <row r="500" spans="1:30" x14ac:dyDescent="0.3">
      <c r="A500">
        <v>2020</v>
      </c>
      <c r="B500">
        <v>390</v>
      </c>
      <c r="C500" t="s">
        <v>297</v>
      </c>
      <c r="D500">
        <v>32102.799999999999</v>
      </c>
      <c r="E500">
        <v>10</v>
      </c>
      <c r="F500">
        <v>295.7</v>
      </c>
      <c r="G500">
        <v>56.5</v>
      </c>
      <c r="H500">
        <v>13007.4</v>
      </c>
      <c r="I500">
        <v>3439.7</v>
      </c>
      <c r="J500">
        <v>0</v>
      </c>
      <c r="K500">
        <v>0.9</v>
      </c>
      <c r="L500">
        <v>2.2999999999999998</v>
      </c>
      <c r="M500">
        <v>8.6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82374</v>
      </c>
      <c r="W500" t="s">
        <v>30</v>
      </c>
      <c r="Y500" t="s">
        <v>299</v>
      </c>
      <c r="Z500">
        <v>3438.3720930232598</v>
      </c>
      <c r="AA500">
        <v>2019</v>
      </c>
      <c r="AB500">
        <v>2.4680412688162101</v>
      </c>
      <c r="AC500">
        <v>8.5999999999999993E-2</v>
      </c>
      <c r="AD500">
        <v>3.7830111599594201</v>
      </c>
    </row>
    <row r="501" spans="1:30" x14ac:dyDescent="0.3">
      <c r="A501">
        <v>2020</v>
      </c>
      <c r="B501">
        <v>365</v>
      </c>
      <c r="C501" t="s">
        <v>225</v>
      </c>
      <c r="D501">
        <v>34102.6</v>
      </c>
      <c r="E501">
        <v>1.6</v>
      </c>
      <c r="F501">
        <v>501.5</v>
      </c>
      <c r="G501">
        <v>6.2</v>
      </c>
      <c r="H501">
        <v>21455.9</v>
      </c>
      <c r="I501">
        <v>4388.8999999999996</v>
      </c>
      <c r="J501">
        <v>0</v>
      </c>
      <c r="K501">
        <v>1.5</v>
      </c>
      <c r="L501">
        <v>2.2999999999999998</v>
      </c>
      <c r="M501">
        <v>11.4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112421</v>
      </c>
      <c r="W501" t="s">
        <v>30</v>
      </c>
      <c r="Y501" t="s">
        <v>227</v>
      </c>
      <c r="Z501">
        <v>4399.1228070175403</v>
      </c>
      <c r="AA501">
        <v>2019</v>
      </c>
      <c r="AB501">
        <v>1.58942761664624</v>
      </c>
      <c r="AC501">
        <v>0.114</v>
      </c>
      <c r="AD501">
        <v>4.8773132602193403</v>
      </c>
    </row>
    <row r="502" spans="1:30" x14ac:dyDescent="0.3">
      <c r="A502">
        <v>2020</v>
      </c>
      <c r="B502">
        <v>259</v>
      </c>
      <c r="C502" t="s">
        <v>300</v>
      </c>
      <c r="D502">
        <v>44453.3</v>
      </c>
      <c r="E502">
        <v>13.3</v>
      </c>
      <c r="F502">
        <v>368.7</v>
      </c>
      <c r="G502">
        <v>-23.6</v>
      </c>
      <c r="H502">
        <v>19011.900000000001</v>
      </c>
      <c r="I502">
        <v>4881.2</v>
      </c>
      <c r="J502">
        <v>0</v>
      </c>
      <c r="K502">
        <v>0.8</v>
      </c>
      <c r="L502">
        <v>1.9</v>
      </c>
      <c r="M502">
        <v>7.6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156477</v>
      </c>
      <c r="W502" t="s">
        <v>90</v>
      </c>
      <c r="Y502" t="s">
        <v>301</v>
      </c>
      <c r="Z502">
        <v>4851.3157894736796</v>
      </c>
      <c r="AA502">
        <v>2019</v>
      </c>
      <c r="AB502">
        <v>2.3381829275348598</v>
      </c>
      <c r="AC502">
        <v>7.5999999999999998E-2</v>
      </c>
      <c r="AD502">
        <v>3.9189161920260398</v>
      </c>
    </row>
    <row r="503" spans="1:30" x14ac:dyDescent="0.3">
      <c r="A503">
        <v>2020</v>
      </c>
      <c r="B503">
        <v>185</v>
      </c>
      <c r="C503" t="s">
        <v>302</v>
      </c>
      <c r="D503">
        <v>55757.4</v>
      </c>
      <c r="E503">
        <v>2.7</v>
      </c>
      <c r="F503">
        <v>1127.2</v>
      </c>
      <c r="G503">
        <v>-26.2</v>
      </c>
      <c r="H503">
        <v>39731.5</v>
      </c>
      <c r="I503">
        <v>12775.2</v>
      </c>
      <c r="J503">
        <v>0</v>
      </c>
      <c r="K503">
        <v>2</v>
      </c>
      <c r="L503">
        <v>2.8</v>
      </c>
      <c r="M503">
        <v>8.8000000000000007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72600</v>
      </c>
      <c r="W503" t="s">
        <v>90</v>
      </c>
      <c r="Y503" t="s">
        <v>303</v>
      </c>
      <c r="Z503">
        <v>12809.090909090901</v>
      </c>
      <c r="AA503">
        <v>2019</v>
      </c>
      <c r="AB503">
        <v>1.40335502057561</v>
      </c>
      <c r="AC503">
        <v>8.7999999999999995E-2</v>
      </c>
      <c r="AD503">
        <v>3.1018204400283902</v>
      </c>
    </row>
    <row r="504" spans="1:30" x14ac:dyDescent="0.3">
      <c r="A504">
        <v>2019</v>
      </c>
      <c r="B504">
        <v>424</v>
      </c>
      <c r="C504" t="s">
        <v>308</v>
      </c>
      <c r="D504">
        <v>29509.5</v>
      </c>
      <c r="E504">
        <v>7.4</v>
      </c>
      <c r="F504">
        <v>162.80000000000001</v>
      </c>
      <c r="G504">
        <v>27.5</v>
      </c>
      <c r="H504">
        <v>11032.7</v>
      </c>
      <c r="I504">
        <v>2243.1</v>
      </c>
      <c r="J504">
        <v>0</v>
      </c>
      <c r="K504">
        <v>0.6</v>
      </c>
      <c r="L504">
        <v>1.5</v>
      </c>
      <c r="M504">
        <v>7.3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82955</v>
      </c>
      <c r="W504" t="s">
        <v>30</v>
      </c>
      <c r="Y504" t="s">
        <v>309</v>
      </c>
      <c r="Z504">
        <v>2230.1369863013701</v>
      </c>
      <c r="AA504">
        <v>2018</v>
      </c>
      <c r="AB504">
        <v>2.67473057365831</v>
      </c>
      <c r="AC504">
        <v>7.2999999999999995E-2</v>
      </c>
      <c r="AD504">
        <v>4.9470952088452096</v>
      </c>
    </row>
    <row r="505" spans="1:30" x14ac:dyDescent="0.3">
      <c r="A505">
        <v>2019</v>
      </c>
      <c r="B505">
        <v>390</v>
      </c>
      <c r="C505" t="s">
        <v>297</v>
      </c>
      <c r="D505">
        <v>32102.799999999999</v>
      </c>
      <c r="E505">
        <v>10</v>
      </c>
      <c r="F505">
        <v>295.7</v>
      </c>
      <c r="G505">
        <v>56.5</v>
      </c>
      <c r="H505">
        <v>13007.4</v>
      </c>
      <c r="I505">
        <v>3439.7</v>
      </c>
      <c r="J505">
        <v>0</v>
      </c>
      <c r="K505">
        <v>0.9</v>
      </c>
      <c r="L505">
        <v>2.2999999999999998</v>
      </c>
      <c r="M505">
        <v>8.6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82374</v>
      </c>
      <c r="W505" t="s">
        <v>30</v>
      </c>
      <c r="Y505" t="s">
        <v>299</v>
      </c>
      <c r="Z505">
        <v>3438.3720930232598</v>
      </c>
      <c r="AA505">
        <v>2018</v>
      </c>
      <c r="AB505">
        <v>2.4680412688162101</v>
      </c>
      <c r="AC505">
        <v>8.5999999999999993E-2</v>
      </c>
      <c r="AD505">
        <v>3.7830111599594201</v>
      </c>
    </row>
    <row r="506" spans="1:30" x14ac:dyDescent="0.3">
      <c r="A506">
        <v>2019</v>
      </c>
      <c r="B506">
        <v>365</v>
      </c>
      <c r="C506" t="s">
        <v>225</v>
      </c>
      <c r="D506">
        <v>34102.6</v>
      </c>
      <c r="E506">
        <v>1.6</v>
      </c>
      <c r="F506">
        <v>501.5</v>
      </c>
      <c r="G506">
        <v>6.2</v>
      </c>
      <c r="H506">
        <v>21455.9</v>
      </c>
      <c r="I506">
        <v>4388.8999999999996</v>
      </c>
      <c r="J506">
        <v>0</v>
      </c>
      <c r="K506">
        <v>1.5</v>
      </c>
      <c r="L506">
        <v>2.2999999999999998</v>
      </c>
      <c r="M506">
        <v>11.4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112421</v>
      </c>
      <c r="W506" t="s">
        <v>30</v>
      </c>
      <c r="Y506" t="s">
        <v>227</v>
      </c>
      <c r="Z506">
        <v>4399.1228070175403</v>
      </c>
      <c r="AA506">
        <v>2018</v>
      </c>
      <c r="AB506">
        <v>1.58942761664624</v>
      </c>
      <c r="AC506">
        <v>0.114</v>
      </c>
      <c r="AD506">
        <v>4.8773132602193403</v>
      </c>
    </row>
    <row r="507" spans="1:30" x14ac:dyDescent="0.3">
      <c r="A507">
        <v>2019</v>
      </c>
      <c r="B507">
        <v>259</v>
      </c>
      <c r="C507" t="s">
        <v>300</v>
      </c>
      <c r="D507">
        <v>44453.3</v>
      </c>
      <c r="E507">
        <v>13.3</v>
      </c>
      <c r="F507">
        <v>368.7</v>
      </c>
      <c r="G507">
        <v>-23.6</v>
      </c>
      <c r="H507">
        <v>19011.900000000001</v>
      </c>
      <c r="I507">
        <v>4881.2</v>
      </c>
      <c r="J507">
        <v>0</v>
      </c>
      <c r="K507">
        <v>0.8</v>
      </c>
      <c r="L507">
        <v>1.9</v>
      </c>
      <c r="M507">
        <v>7.6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156477</v>
      </c>
      <c r="W507" t="s">
        <v>90</v>
      </c>
      <c r="Y507" t="s">
        <v>301</v>
      </c>
      <c r="Z507">
        <v>4851.3157894736796</v>
      </c>
      <c r="AA507">
        <v>2018</v>
      </c>
      <c r="AB507">
        <v>2.3381829275348598</v>
      </c>
      <c r="AC507">
        <v>7.5999999999999998E-2</v>
      </c>
      <c r="AD507">
        <v>3.9189161920260398</v>
      </c>
    </row>
    <row r="508" spans="1:30" x14ac:dyDescent="0.3">
      <c r="A508">
        <v>2019</v>
      </c>
      <c r="B508">
        <v>185</v>
      </c>
      <c r="C508" t="s">
        <v>302</v>
      </c>
      <c r="D508">
        <v>55757.4</v>
      </c>
      <c r="E508">
        <v>2.7</v>
      </c>
      <c r="F508">
        <v>1127.2</v>
      </c>
      <c r="G508">
        <v>-26.2</v>
      </c>
      <c r="H508">
        <v>39731.5</v>
      </c>
      <c r="I508">
        <v>12775.2</v>
      </c>
      <c r="J508">
        <v>0</v>
      </c>
      <c r="K508">
        <v>2</v>
      </c>
      <c r="L508">
        <v>2.8</v>
      </c>
      <c r="M508">
        <v>8.8000000000000007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72600</v>
      </c>
      <c r="W508" t="s">
        <v>90</v>
      </c>
      <c r="Y508" t="s">
        <v>303</v>
      </c>
      <c r="Z508">
        <v>12809.090909090901</v>
      </c>
      <c r="AA508">
        <v>2018</v>
      </c>
      <c r="AB508">
        <v>1.40335502057561</v>
      </c>
      <c r="AC508">
        <v>8.7999999999999995E-2</v>
      </c>
      <c r="AD508">
        <v>3.1018204400283902</v>
      </c>
    </row>
    <row r="509" spans="1:30" x14ac:dyDescent="0.3">
      <c r="A509">
        <v>2018</v>
      </c>
      <c r="B509">
        <v>424</v>
      </c>
      <c r="C509" t="s">
        <v>308</v>
      </c>
      <c r="D509">
        <v>29509.5</v>
      </c>
      <c r="E509">
        <v>7.4</v>
      </c>
      <c r="F509">
        <v>162.80000000000001</v>
      </c>
      <c r="G509">
        <v>27.5</v>
      </c>
      <c r="H509">
        <v>11032.7</v>
      </c>
      <c r="I509">
        <v>2243.1</v>
      </c>
      <c r="J509">
        <v>0</v>
      </c>
      <c r="K509">
        <v>0.6</v>
      </c>
      <c r="L509">
        <v>1.5</v>
      </c>
      <c r="M509">
        <v>7.3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82955</v>
      </c>
      <c r="W509" t="s">
        <v>30</v>
      </c>
      <c r="Y509" t="s">
        <v>309</v>
      </c>
      <c r="Z509">
        <v>2230.1369863013701</v>
      </c>
      <c r="AA509">
        <v>2017</v>
      </c>
      <c r="AB509">
        <v>2.67473057365831</v>
      </c>
      <c r="AC509">
        <v>7.2999999999999995E-2</v>
      </c>
      <c r="AD509">
        <v>4.9470952088452096</v>
      </c>
    </row>
    <row r="510" spans="1:30" x14ac:dyDescent="0.3">
      <c r="A510">
        <v>2018</v>
      </c>
      <c r="B510">
        <v>390</v>
      </c>
      <c r="C510" t="s">
        <v>297</v>
      </c>
      <c r="D510">
        <v>32102.799999999999</v>
      </c>
      <c r="E510">
        <v>10</v>
      </c>
      <c r="F510">
        <v>295.7</v>
      </c>
      <c r="G510">
        <v>56.5</v>
      </c>
      <c r="H510">
        <v>13007.4</v>
      </c>
      <c r="I510">
        <v>3439.7</v>
      </c>
      <c r="J510">
        <v>0</v>
      </c>
      <c r="K510">
        <v>0.9</v>
      </c>
      <c r="L510">
        <v>2.2999999999999998</v>
      </c>
      <c r="M510">
        <v>8.6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82374</v>
      </c>
      <c r="W510" t="s">
        <v>30</v>
      </c>
      <c r="Y510" t="s">
        <v>299</v>
      </c>
      <c r="Z510">
        <v>3438.3720930232598</v>
      </c>
      <c r="AA510">
        <v>2017</v>
      </c>
      <c r="AB510">
        <v>2.4680412688162101</v>
      </c>
      <c r="AC510">
        <v>8.5999999999999993E-2</v>
      </c>
      <c r="AD510">
        <v>3.7830111599594201</v>
      </c>
    </row>
    <row r="511" spans="1:30" x14ac:dyDescent="0.3">
      <c r="A511">
        <v>2018</v>
      </c>
      <c r="B511">
        <v>365</v>
      </c>
      <c r="C511" t="s">
        <v>225</v>
      </c>
      <c r="D511">
        <v>34102.6</v>
      </c>
      <c r="E511">
        <v>1.6</v>
      </c>
      <c r="F511">
        <v>501.5</v>
      </c>
      <c r="G511">
        <v>6.2</v>
      </c>
      <c r="H511">
        <v>21455.9</v>
      </c>
      <c r="I511">
        <v>4388.8999999999996</v>
      </c>
      <c r="J511">
        <v>0</v>
      </c>
      <c r="K511">
        <v>1.5</v>
      </c>
      <c r="L511">
        <v>2.2999999999999998</v>
      </c>
      <c r="M511">
        <v>11.4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112421</v>
      </c>
      <c r="W511" t="s">
        <v>30</v>
      </c>
      <c r="Y511" t="s">
        <v>227</v>
      </c>
      <c r="Z511">
        <v>4399.1228070175403</v>
      </c>
      <c r="AA511">
        <v>2017</v>
      </c>
      <c r="AB511">
        <v>1.58942761664624</v>
      </c>
      <c r="AC511">
        <v>0.114</v>
      </c>
      <c r="AD511">
        <v>4.8773132602193403</v>
      </c>
    </row>
    <row r="512" spans="1:30" x14ac:dyDescent="0.3">
      <c r="A512">
        <v>2018</v>
      </c>
      <c r="B512">
        <v>259</v>
      </c>
      <c r="C512" t="s">
        <v>300</v>
      </c>
      <c r="D512">
        <v>44453.3</v>
      </c>
      <c r="E512">
        <v>13.3</v>
      </c>
      <c r="F512">
        <v>368.7</v>
      </c>
      <c r="G512">
        <v>-23.6</v>
      </c>
      <c r="H512">
        <v>19011.900000000001</v>
      </c>
      <c r="I512">
        <v>4881.2</v>
      </c>
      <c r="J512">
        <v>0</v>
      </c>
      <c r="K512">
        <v>0.8</v>
      </c>
      <c r="L512">
        <v>1.9</v>
      </c>
      <c r="M512">
        <v>7.6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156477</v>
      </c>
      <c r="W512" t="s">
        <v>90</v>
      </c>
      <c r="Y512" t="s">
        <v>301</v>
      </c>
      <c r="Z512">
        <v>4851.3157894736796</v>
      </c>
      <c r="AA512">
        <v>2017</v>
      </c>
      <c r="AB512">
        <v>2.3381829275348598</v>
      </c>
      <c r="AC512">
        <v>7.5999999999999998E-2</v>
      </c>
      <c r="AD512">
        <v>3.9189161920260398</v>
      </c>
    </row>
    <row r="513" spans="1:30" x14ac:dyDescent="0.3">
      <c r="A513">
        <v>2018</v>
      </c>
      <c r="B513">
        <v>185</v>
      </c>
      <c r="C513" t="s">
        <v>302</v>
      </c>
      <c r="D513">
        <v>55757.4</v>
      </c>
      <c r="E513">
        <v>2.7</v>
      </c>
      <c r="F513">
        <v>1127.2</v>
      </c>
      <c r="G513">
        <v>-26.2</v>
      </c>
      <c r="H513">
        <v>39731.5</v>
      </c>
      <c r="I513">
        <v>12775.2</v>
      </c>
      <c r="J513">
        <v>0</v>
      </c>
      <c r="K513">
        <v>2</v>
      </c>
      <c r="L513">
        <v>2.8</v>
      </c>
      <c r="M513">
        <v>8.8000000000000007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72600</v>
      </c>
      <c r="W513" t="s">
        <v>90</v>
      </c>
      <c r="Y513" t="s">
        <v>303</v>
      </c>
      <c r="Z513">
        <v>12809.090909090901</v>
      </c>
      <c r="AA513">
        <v>2017</v>
      </c>
      <c r="AB513">
        <v>1.40335502057561</v>
      </c>
      <c r="AC513">
        <v>8.7999999999999995E-2</v>
      </c>
      <c r="AD513">
        <v>3.1018204400283902</v>
      </c>
    </row>
    <row r="514" spans="1:30" x14ac:dyDescent="0.3">
      <c r="A514">
        <v>2016</v>
      </c>
      <c r="B514">
        <v>400</v>
      </c>
      <c r="C514" t="s">
        <v>297</v>
      </c>
      <c r="D514">
        <v>26694.9</v>
      </c>
      <c r="E514">
        <v>-4.4000000000000004</v>
      </c>
      <c r="F514">
        <v>273.60000000000002</v>
      </c>
      <c r="G514">
        <v>17.899999999999999</v>
      </c>
      <c r="H514">
        <v>9985.2999999999993</v>
      </c>
      <c r="I514">
        <v>3159.9</v>
      </c>
      <c r="J514">
        <v>0</v>
      </c>
      <c r="K514">
        <v>1</v>
      </c>
      <c r="L514">
        <v>2.7</v>
      </c>
      <c r="M514">
        <v>8.6999999999999993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72796</v>
      </c>
      <c r="W514" t="s">
        <v>30</v>
      </c>
      <c r="Y514" t="s">
        <v>299</v>
      </c>
      <c r="Z514">
        <v>3144.8275862068999</v>
      </c>
      <c r="AA514">
        <v>2015</v>
      </c>
      <c r="AB514">
        <v>2.6734199272931201</v>
      </c>
      <c r="AC514">
        <v>8.6999999999999994E-2</v>
      </c>
      <c r="AD514">
        <v>3.1751502192982399</v>
      </c>
    </row>
    <row r="515" spans="1:30" x14ac:dyDescent="0.3">
      <c r="A515">
        <v>2016</v>
      </c>
      <c r="B515">
        <v>326</v>
      </c>
      <c r="C515" t="s">
        <v>225</v>
      </c>
      <c r="D515">
        <v>31734.3</v>
      </c>
      <c r="E515">
        <v>3.8</v>
      </c>
      <c r="F515">
        <v>561.70000000000005</v>
      </c>
      <c r="G515">
        <v>-9.9</v>
      </c>
      <c r="H515">
        <v>16186.3</v>
      </c>
      <c r="I515">
        <v>4042</v>
      </c>
      <c r="J515">
        <v>0</v>
      </c>
      <c r="K515">
        <v>1.8</v>
      </c>
      <c r="L515">
        <v>3.5</v>
      </c>
      <c r="M515">
        <v>13.9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90167</v>
      </c>
      <c r="W515" t="s">
        <v>30</v>
      </c>
      <c r="Y515" t="s">
        <v>227</v>
      </c>
      <c r="Z515">
        <v>4041.0071942446002</v>
      </c>
      <c r="AA515">
        <v>2015</v>
      </c>
      <c r="AB515">
        <v>1.96056541643242</v>
      </c>
      <c r="AC515">
        <v>0.13900000000000001</v>
      </c>
      <c r="AD515">
        <v>4.0055113049670599</v>
      </c>
    </row>
    <row r="516" spans="1:30" x14ac:dyDescent="0.3">
      <c r="A516">
        <v>2016</v>
      </c>
      <c r="B516">
        <v>259</v>
      </c>
      <c r="C516" t="s">
        <v>300</v>
      </c>
      <c r="D516">
        <v>38238.9</v>
      </c>
      <c r="E516">
        <v>13.6</v>
      </c>
      <c r="F516">
        <v>750.2</v>
      </c>
      <c r="G516">
        <v>55.1</v>
      </c>
      <c r="H516">
        <v>14496.7</v>
      </c>
      <c r="I516">
        <v>4579</v>
      </c>
      <c r="J516">
        <v>0</v>
      </c>
      <c r="K516">
        <v>2</v>
      </c>
      <c r="L516">
        <v>5.2</v>
      </c>
      <c r="M516">
        <v>16.399999999999999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196251</v>
      </c>
      <c r="W516" t="s">
        <v>30</v>
      </c>
      <c r="Y516" t="s">
        <v>301</v>
      </c>
      <c r="Z516">
        <v>4574.3902439024396</v>
      </c>
      <c r="AA516">
        <v>2015</v>
      </c>
      <c r="AB516">
        <v>2.6377658363627599</v>
      </c>
      <c r="AC516">
        <v>0.16400000000000001</v>
      </c>
      <c r="AD516">
        <v>3.1690999733404399</v>
      </c>
    </row>
    <row r="517" spans="1:30" x14ac:dyDescent="0.3">
      <c r="A517">
        <v>2014</v>
      </c>
      <c r="B517">
        <v>375</v>
      </c>
      <c r="C517" t="s">
        <v>300</v>
      </c>
      <c r="D517">
        <v>31999.1</v>
      </c>
      <c r="E517">
        <v>7.3</v>
      </c>
      <c r="F517">
        <v>321.89999999999998</v>
      </c>
      <c r="G517">
        <v>55.9</v>
      </c>
      <c r="H517">
        <v>13956.2</v>
      </c>
      <c r="I517">
        <v>3600.8018999999999</v>
      </c>
      <c r="J517">
        <v>0</v>
      </c>
      <c r="K517">
        <v>1.0019</v>
      </c>
      <c r="L517">
        <v>2.3018999999999998</v>
      </c>
      <c r="M517">
        <v>8.9018999999999995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187300</v>
      </c>
      <c r="W517" t="s">
        <v>30</v>
      </c>
      <c r="Y517" t="s">
        <v>301</v>
      </c>
      <c r="Z517">
        <v>3616.0819600310101</v>
      </c>
      <c r="AA517">
        <v>2013</v>
      </c>
      <c r="AB517">
        <v>2.2928232613462098</v>
      </c>
      <c r="AC517">
        <v>8.8999999999999996E-2</v>
      </c>
      <c r="AD517">
        <v>3.8594811053122098</v>
      </c>
    </row>
    <row r="518" spans="1:30" x14ac:dyDescent="0.3">
      <c r="A518">
        <v>2014</v>
      </c>
      <c r="B518">
        <v>194</v>
      </c>
      <c r="C518" t="s">
        <v>302</v>
      </c>
      <c r="D518">
        <v>53118.3</v>
      </c>
      <c r="E518">
        <v>17.399999999999999</v>
      </c>
      <c r="F518">
        <v>161.5</v>
      </c>
      <c r="G518">
        <v>172.4</v>
      </c>
      <c r="H518">
        <v>33669.5</v>
      </c>
      <c r="I518">
        <v>11125.1019</v>
      </c>
      <c r="J518">
        <v>0</v>
      </c>
      <c r="K518">
        <v>0.3019</v>
      </c>
      <c r="L518">
        <v>0.50190000000000001</v>
      </c>
      <c r="M518">
        <v>1.5019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85905</v>
      </c>
      <c r="W518" t="s">
        <v>90</v>
      </c>
      <c r="Y518" t="s">
        <v>303</v>
      </c>
      <c r="Z518">
        <v>10753.046141553999</v>
      </c>
      <c r="AA518">
        <v>2013</v>
      </c>
      <c r="AB518">
        <v>1.57763851557047</v>
      </c>
      <c r="AC518">
        <v>1.4999999999999999E-2</v>
      </c>
      <c r="AD518">
        <v>3.1311592600619198</v>
      </c>
    </row>
    <row r="519" spans="1:30" x14ac:dyDescent="0.3">
      <c r="A519">
        <v>2013</v>
      </c>
      <c r="B519">
        <v>384</v>
      </c>
      <c r="C519" t="s">
        <v>300</v>
      </c>
      <c r="D519">
        <v>29824.7</v>
      </c>
      <c r="E519">
        <v>46.1</v>
      </c>
      <c r="F519">
        <v>206.4</v>
      </c>
      <c r="G519">
        <v>5346</v>
      </c>
      <c r="H519">
        <v>13480.3</v>
      </c>
      <c r="I519">
        <v>3308.7</v>
      </c>
      <c r="J519">
        <v>0</v>
      </c>
      <c r="K519">
        <v>0.7</v>
      </c>
      <c r="L519">
        <v>1.5313000000000001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177948</v>
      </c>
      <c r="W519" t="s">
        <v>30</v>
      </c>
      <c r="Y519" t="s">
        <v>301</v>
      </c>
      <c r="Z519" t="s">
        <v>329</v>
      </c>
      <c r="AA519">
        <v>2012</v>
      </c>
      <c r="AB519">
        <v>2.2124655979466299</v>
      </c>
      <c r="AC519">
        <v>0</v>
      </c>
      <c r="AD519">
        <v>0</v>
      </c>
    </row>
    <row r="520" spans="1:30" x14ac:dyDescent="0.3">
      <c r="A520">
        <v>2013</v>
      </c>
      <c r="B520">
        <v>257</v>
      </c>
      <c r="C520" t="s">
        <v>206</v>
      </c>
      <c r="D520">
        <v>40683</v>
      </c>
      <c r="E520">
        <v>0.3</v>
      </c>
      <c r="F520">
        <v>3485.1</v>
      </c>
      <c r="G520">
        <v>-12.3</v>
      </c>
      <c r="H520">
        <v>69413.7</v>
      </c>
      <c r="I520">
        <v>14885.6</v>
      </c>
      <c r="J520">
        <v>0</v>
      </c>
      <c r="K520">
        <v>8.6</v>
      </c>
      <c r="L520">
        <v>5.0206999999999997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24598</v>
      </c>
      <c r="W520" t="s">
        <v>44</v>
      </c>
      <c r="Y520" t="s">
        <v>208</v>
      </c>
      <c r="Z520" t="s">
        <v>329</v>
      </c>
      <c r="AA520">
        <v>2012</v>
      </c>
      <c r="AB520">
        <v>0.58609467583488595</v>
      </c>
      <c r="AC520">
        <v>0</v>
      </c>
      <c r="AD520">
        <v>0</v>
      </c>
    </row>
    <row r="521" spans="1:30" x14ac:dyDescent="0.3">
      <c r="A521">
        <v>2023</v>
      </c>
      <c r="B521">
        <v>368</v>
      </c>
      <c r="C521" t="s">
        <v>312</v>
      </c>
      <c r="D521">
        <v>40326.300000000003</v>
      </c>
      <c r="E521">
        <v>-6.5</v>
      </c>
      <c r="F521">
        <v>-501.1</v>
      </c>
      <c r="G521">
        <v>0</v>
      </c>
      <c r="H521">
        <v>61129.3</v>
      </c>
      <c r="I521">
        <v>10447.9</v>
      </c>
      <c r="J521">
        <v>0</v>
      </c>
      <c r="K521">
        <v>-1.2</v>
      </c>
      <c r="L521">
        <v>-0.8</v>
      </c>
      <c r="M521">
        <v>-4.8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184940</v>
      </c>
      <c r="W521" t="s">
        <v>90</v>
      </c>
      <c r="Y521" t="s">
        <v>313</v>
      </c>
      <c r="Z521">
        <v>10439.583333333299</v>
      </c>
      <c r="AA521">
        <v>2022</v>
      </c>
      <c r="AB521">
        <v>0.65968856178624702</v>
      </c>
      <c r="AC521">
        <v>-4.8000000000000001E-2</v>
      </c>
      <c r="AD521">
        <v>5.8555306326082599</v>
      </c>
    </row>
    <row r="522" spans="1:30" x14ac:dyDescent="0.3">
      <c r="A522">
        <v>2022</v>
      </c>
      <c r="B522">
        <v>324</v>
      </c>
      <c r="C522" t="s">
        <v>312</v>
      </c>
      <c r="D522">
        <v>43118.400000000001</v>
      </c>
      <c r="E522">
        <v>20</v>
      </c>
      <c r="F522">
        <v>-158.1</v>
      </c>
      <c r="G522">
        <v>0</v>
      </c>
      <c r="H522">
        <v>62094.3</v>
      </c>
      <c r="I522">
        <v>10515.5</v>
      </c>
      <c r="J522">
        <v>0</v>
      </c>
      <c r="K522">
        <v>-0.4</v>
      </c>
      <c r="L522">
        <v>-0.3</v>
      </c>
      <c r="M522">
        <v>-1.5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191126</v>
      </c>
      <c r="W522" t="s">
        <v>90</v>
      </c>
      <c r="Y522" t="s">
        <v>313</v>
      </c>
      <c r="Z522">
        <v>10540</v>
      </c>
      <c r="AA522">
        <v>2021</v>
      </c>
      <c r="AB522">
        <v>0.69440190162382098</v>
      </c>
      <c r="AC522">
        <v>-1.4999999999999999E-2</v>
      </c>
      <c r="AD522">
        <v>5.8912998102466796</v>
      </c>
    </row>
    <row r="523" spans="1:30" x14ac:dyDescent="0.3">
      <c r="A523">
        <v>2023</v>
      </c>
      <c r="B523">
        <v>479</v>
      </c>
      <c r="C523" t="s">
        <v>314</v>
      </c>
      <c r="D523">
        <v>31817.4</v>
      </c>
      <c r="E523">
        <v>33.299999999999997</v>
      </c>
      <c r="F523">
        <v>1362.2</v>
      </c>
      <c r="G523">
        <v>24.3</v>
      </c>
      <c r="H523">
        <v>21513.7</v>
      </c>
      <c r="I523">
        <v>6574.1</v>
      </c>
      <c r="J523">
        <v>0</v>
      </c>
      <c r="K523">
        <v>4.3</v>
      </c>
      <c r="L523">
        <v>6.3</v>
      </c>
      <c r="M523">
        <v>20.7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236932</v>
      </c>
      <c r="W523" t="s">
        <v>90</v>
      </c>
      <c r="Y523" t="s">
        <v>315</v>
      </c>
      <c r="Z523">
        <v>6580.6763285024199</v>
      </c>
      <c r="AA523">
        <v>2022</v>
      </c>
      <c r="AB523">
        <v>1.4789366775589501</v>
      </c>
      <c r="AC523">
        <v>0.20699999999999999</v>
      </c>
      <c r="AD523">
        <v>3.2692232418147098</v>
      </c>
    </row>
    <row r="524" spans="1:30" x14ac:dyDescent="0.3">
      <c r="A524">
        <v>2023</v>
      </c>
      <c r="B524">
        <v>278</v>
      </c>
      <c r="C524" t="s">
        <v>277</v>
      </c>
      <c r="D524">
        <v>51393</v>
      </c>
      <c r="E524">
        <v>-3.5</v>
      </c>
      <c r="F524">
        <v>4393.3999999999996</v>
      </c>
      <c r="G524">
        <v>-0.8</v>
      </c>
      <c r="H524">
        <v>61264.800000000003</v>
      </c>
      <c r="I524">
        <v>20723.7</v>
      </c>
      <c r="J524">
        <v>0</v>
      </c>
      <c r="K524">
        <v>8.5</v>
      </c>
      <c r="L524">
        <v>7.2</v>
      </c>
      <c r="M524">
        <v>21.2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166243</v>
      </c>
      <c r="W524" t="s">
        <v>90</v>
      </c>
      <c r="Y524" t="s">
        <v>316</v>
      </c>
      <c r="Z524">
        <v>20723.584905660398</v>
      </c>
      <c r="AA524">
        <v>2022</v>
      </c>
      <c r="AB524">
        <v>0.83886669017119098</v>
      </c>
      <c r="AC524">
        <v>0.21199999999999999</v>
      </c>
      <c r="AD524">
        <v>2.9562838803660001</v>
      </c>
    </row>
    <row r="525" spans="1:30" x14ac:dyDescent="0.3">
      <c r="A525">
        <v>2022</v>
      </c>
      <c r="B525">
        <v>487</v>
      </c>
      <c r="C525" t="s">
        <v>317</v>
      </c>
      <c r="D525">
        <v>29402.2</v>
      </c>
      <c r="E525">
        <v>19</v>
      </c>
      <c r="F525">
        <v>3575.6</v>
      </c>
      <c r="G525">
        <v>11.3</v>
      </c>
      <c r="H525">
        <v>50313.8</v>
      </c>
      <c r="I525">
        <v>16317.7</v>
      </c>
      <c r="J525">
        <v>0</v>
      </c>
      <c r="K525">
        <v>12.2</v>
      </c>
      <c r="L525">
        <v>7.1</v>
      </c>
      <c r="M525">
        <v>21.9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81884</v>
      </c>
      <c r="W525" t="s">
        <v>90</v>
      </c>
      <c r="Y525" t="s">
        <v>318</v>
      </c>
      <c r="Z525">
        <v>16326.9406392694</v>
      </c>
      <c r="AA525">
        <v>2021</v>
      </c>
      <c r="AB525">
        <v>0.58437645337859601</v>
      </c>
      <c r="AC525">
        <v>0.219</v>
      </c>
      <c r="AD525">
        <v>3.0816428571428598</v>
      </c>
    </row>
    <row r="526" spans="1:30" x14ac:dyDescent="0.3">
      <c r="A526">
        <v>2022</v>
      </c>
      <c r="B526">
        <v>245</v>
      </c>
      <c r="C526" t="s">
        <v>277</v>
      </c>
      <c r="D526">
        <v>53231.5</v>
      </c>
      <c r="E526">
        <v>28.6</v>
      </c>
      <c r="F526">
        <v>4429.8</v>
      </c>
      <c r="G526">
        <v>12.3</v>
      </c>
      <c r="H526">
        <v>61073.7</v>
      </c>
      <c r="I526">
        <v>19657.8</v>
      </c>
      <c r="J526">
        <v>0</v>
      </c>
      <c r="K526">
        <v>8.3000000000000007</v>
      </c>
      <c r="L526">
        <v>7.3</v>
      </c>
      <c r="M526">
        <v>22.5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165799</v>
      </c>
      <c r="W526" t="s">
        <v>90</v>
      </c>
      <c r="Y526" t="s">
        <v>316</v>
      </c>
      <c r="Z526">
        <v>19688</v>
      </c>
      <c r="AA526">
        <v>2021</v>
      </c>
      <c r="AB526">
        <v>0.87159448338646595</v>
      </c>
      <c r="AC526">
        <v>0.22500000000000001</v>
      </c>
      <c r="AD526">
        <v>3.1020774075578998</v>
      </c>
    </row>
    <row r="527" spans="1:30" x14ac:dyDescent="0.3">
      <c r="A527">
        <v>2021</v>
      </c>
      <c r="B527">
        <v>488</v>
      </c>
      <c r="C527" t="s">
        <v>317</v>
      </c>
      <c r="D527">
        <v>24709.7</v>
      </c>
      <c r="E527">
        <v>-14.9</v>
      </c>
      <c r="F527">
        <v>3213.8</v>
      </c>
      <c r="G527">
        <v>-10.1</v>
      </c>
      <c r="H527">
        <v>42792</v>
      </c>
      <c r="I527">
        <v>17653.7</v>
      </c>
      <c r="J527">
        <v>0</v>
      </c>
      <c r="K527">
        <v>13</v>
      </c>
      <c r="L527">
        <v>7.5</v>
      </c>
      <c r="M527">
        <v>18.2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83952</v>
      </c>
      <c r="W527" t="s">
        <v>90</v>
      </c>
      <c r="Y527" t="s">
        <v>318</v>
      </c>
      <c r="Z527">
        <v>17658.241758241798</v>
      </c>
      <c r="AA527">
        <v>2020</v>
      </c>
      <c r="AB527">
        <v>0.57743737147130303</v>
      </c>
      <c r="AC527">
        <v>0.182</v>
      </c>
      <c r="AD527">
        <v>2.4233443275872801</v>
      </c>
    </row>
    <row r="528" spans="1:30" x14ac:dyDescent="0.3">
      <c r="A528">
        <v>2021</v>
      </c>
      <c r="B528">
        <v>288</v>
      </c>
      <c r="C528" t="s">
        <v>277</v>
      </c>
      <c r="D528">
        <v>41407.1</v>
      </c>
      <c r="E528">
        <v>2.4</v>
      </c>
      <c r="F528">
        <v>3945.3</v>
      </c>
      <c r="G528">
        <v>12.6</v>
      </c>
      <c r="H528">
        <v>55231.1</v>
      </c>
      <c r="I528">
        <v>18010.2</v>
      </c>
      <c r="J528">
        <v>0</v>
      </c>
      <c r="K528">
        <v>9.5</v>
      </c>
      <c r="L528">
        <v>7.1</v>
      </c>
      <c r="M528">
        <v>21.9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149239</v>
      </c>
      <c r="W528" t="s">
        <v>90</v>
      </c>
      <c r="Y528" t="s">
        <v>316</v>
      </c>
      <c r="Z528">
        <v>18015.068493150698</v>
      </c>
      <c r="AA528">
        <v>2020</v>
      </c>
      <c r="AB528">
        <v>0.74970623434984995</v>
      </c>
      <c r="AC528">
        <v>0.219</v>
      </c>
      <c r="AD528">
        <v>3.06582792183104</v>
      </c>
    </row>
    <row r="529" spans="1:30" x14ac:dyDescent="0.3">
      <c r="A529">
        <v>2020</v>
      </c>
      <c r="B529">
        <v>448</v>
      </c>
      <c r="C529" t="s">
        <v>264</v>
      </c>
      <c r="D529">
        <v>27713.599999999999</v>
      </c>
      <c r="E529">
        <v>17.600000000000001</v>
      </c>
      <c r="F529">
        <v>1124.8</v>
      </c>
      <c r="G529">
        <v>9.8000000000000007</v>
      </c>
      <c r="H529">
        <v>24280.1</v>
      </c>
      <c r="I529">
        <v>5739</v>
      </c>
      <c r="J529">
        <v>0</v>
      </c>
      <c r="K529">
        <v>4.0999999999999996</v>
      </c>
      <c r="L529">
        <v>4.5999999999999996</v>
      </c>
      <c r="M529">
        <v>19.600000000000001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87447</v>
      </c>
      <c r="W529" t="s">
        <v>90</v>
      </c>
      <c r="Y529" t="s">
        <v>274</v>
      </c>
      <c r="Z529">
        <v>5738.7755102040801</v>
      </c>
      <c r="AA529">
        <v>2019</v>
      </c>
      <c r="AB529">
        <v>1.1414121029155599</v>
      </c>
      <c r="AC529">
        <v>0.19600000000000001</v>
      </c>
      <c r="AD529">
        <v>4.2308851351351402</v>
      </c>
    </row>
    <row r="530" spans="1:30" x14ac:dyDescent="0.3">
      <c r="A530">
        <v>2020</v>
      </c>
      <c r="B530">
        <v>414</v>
      </c>
      <c r="C530" t="s">
        <v>319</v>
      </c>
      <c r="D530">
        <v>30239.4</v>
      </c>
      <c r="E530">
        <v>36.200000000000003</v>
      </c>
      <c r="F530">
        <v>3961.3</v>
      </c>
      <c r="G530">
        <v>19.5</v>
      </c>
      <c r="H530">
        <v>36592.699999999997</v>
      </c>
      <c r="I530">
        <v>13301.9</v>
      </c>
      <c r="J530">
        <v>0</v>
      </c>
      <c r="K530">
        <v>13.1</v>
      </c>
      <c r="L530">
        <v>10.8</v>
      </c>
      <c r="M530">
        <v>29.8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88800</v>
      </c>
      <c r="W530" t="s">
        <v>90</v>
      </c>
      <c r="Y530" t="s">
        <v>318</v>
      </c>
      <c r="Z530">
        <v>13292.9530201342</v>
      </c>
      <c r="AA530">
        <v>2019</v>
      </c>
      <c r="AB530">
        <v>0.82637793876920795</v>
      </c>
      <c r="AC530">
        <v>0.29799999999999999</v>
      </c>
      <c r="AD530">
        <v>2.7527893873223399</v>
      </c>
    </row>
    <row r="531" spans="1:30" x14ac:dyDescent="0.3">
      <c r="A531">
        <v>2020</v>
      </c>
      <c r="B531">
        <v>312</v>
      </c>
      <c r="C531" t="s">
        <v>277</v>
      </c>
      <c r="D531">
        <v>39581.599999999999</v>
      </c>
      <c r="E531">
        <v>10.6</v>
      </c>
      <c r="F531">
        <v>3058.5</v>
      </c>
      <c r="G531">
        <v>19.600000000000001</v>
      </c>
      <c r="H531">
        <v>38408.5</v>
      </c>
      <c r="I531">
        <v>12099.6</v>
      </c>
      <c r="J531">
        <v>0</v>
      </c>
      <c r="K531">
        <v>7.7</v>
      </c>
      <c r="L531">
        <v>8</v>
      </c>
      <c r="M531">
        <v>25.3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114765</v>
      </c>
      <c r="W531" t="s">
        <v>90</v>
      </c>
      <c r="Y531" t="s">
        <v>279</v>
      </c>
      <c r="Z531">
        <v>12088.932806324099</v>
      </c>
      <c r="AA531">
        <v>2019</v>
      </c>
      <c r="AB531">
        <v>1.0305427184086899</v>
      </c>
      <c r="AC531">
        <v>0.253</v>
      </c>
      <c r="AD531">
        <v>3.17716217099886</v>
      </c>
    </row>
    <row r="532" spans="1:30" x14ac:dyDescent="0.3">
      <c r="A532">
        <v>2019</v>
      </c>
      <c r="B532">
        <v>448</v>
      </c>
      <c r="C532" t="s">
        <v>264</v>
      </c>
      <c r="D532">
        <v>27713.599999999999</v>
      </c>
      <c r="E532">
        <v>17.600000000000001</v>
      </c>
      <c r="F532">
        <v>1124.8</v>
      </c>
      <c r="G532">
        <v>9.8000000000000007</v>
      </c>
      <c r="H532">
        <v>24280.1</v>
      </c>
      <c r="I532">
        <v>5739</v>
      </c>
      <c r="J532">
        <v>0</v>
      </c>
      <c r="K532">
        <v>4.0999999999999996</v>
      </c>
      <c r="L532">
        <v>4.5999999999999996</v>
      </c>
      <c r="M532">
        <v>19.600000000000001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87447</v>
      </c>
      <c r="W532" t="s">
        <v>90</v>
      </c>
      <c r="Y532" t="s">
        <v>274</v>
      </c>
      <c r="Z532">
        <v>5738.7755102040801</v>
      </c>
      <c r="AA532">
        <v>2018</v>
      </c>
      <c r="AB532">
        <v>1.1414121029155599</v>
      </c>
      <c r="AC532">
        <v>0.19600000000000001</v>
      </c>
      <c r="AD532">
        <v>4.2308851351351402</v>
      </c>
    </row>
    <row r="533" spans="1:30" x14ac:dyDescent="0.3">
      <c r="A533">
        <v>2019</v>
      </c>
      <c r="B533">
        <v>414</v>
      </c>
      <c r="C533" t="s">
        <v>319</v>
      </c>
      <c r="D533">
        <v>30239.4</v>
      </c>
      <c r="E533">
        <v>36.200000000000003</v>
      </c>
      <c r="F533">
        <v>3961.3</v>
      </c>
      <c r="G533">
        <v>19.5</v>
      </c>
      <c r="H533">
        <v>36592.699999999997</v>
      </c>
      <c r="I533">
        <v>13301.9</v>
      </c>
      <c r="J533">
        <v>0</v>
      </c>
      <c r="K533">
        <v>13.1</v>
      </c>
      <c r="L533">
        <v>10.8</v>
      </c>
      <c r="M533">
        <v>29.8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88800</v>
      </c>
      <c r="W533" t="s">
        <v>90</v>
      </c>
      <c r="Y533" t="s">
        <v>318</v>
      </c>
      <c r="Z533">
        <v>13292.9530201342</v>
      </c>
      <c r="AA533">
        <v>2018</v>
      </c>
      <c r="AB533">
        <v>0.82637793876920795</v>
      </c>
      <c r="AC533">
        <v>0.29799999999999999</v>
      </c>
      <c r="AD533">
        <v>2.7527893873223399</v>
      </c>
    </row>
    <row r="534" spans="1:30" x14ac:dyDescent="0.3">
      <c r="A534">
        <v>2019</v>
      </c>
      <c r="B534">
        <v>312</v>
      </c>
      <c r="C534" t="s">
        <v>277</v>
      </c>
      <c r="D534">
        <v>39581.599999999999</v>
      </c>
      <c r="E534">
        <v>10.6</v>
      </c>
      <c r="F534">
        <v>3058.5</v>
      </c>
      <c r="G534">
        <v>19.600000000000001</v>
      </c>
      <c r="H534">
        <v>38408.5</v>
      </c>
      <c r="I534">
        <v>12099.6</v>
      </c>
      <c r="J534">
        <v>0</v>
      </c>
      <c r="K534">
        <v>7.7</v>
      </c>
      <c r="L534">
        <v>8</v>
      </c>
      <c r="M534">
        <v>25.3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114765</v>
      </c>
      <c r="W534" t="s">
        <v>90</v>
      </c>
      <c r="Y534" t="s">
        <v>279</v>
      </c>
      <c r="Z534">
        <v>12088.932806324099</v>
      </c>
      <c r="AA534">
        <v>2018</v>
      </c>
      <c r="AB534">
        <v>1.0305427184086899</v>
      </c>
      <c r="AC534">
        <v>0.253</v>
      </c>
      <c r="AD534">
        <v>3.17716217099886</v>
      </c>
    </row>
    <row r="535" spans="1:30" x14ac:dyDescent="0.3">
      <c r="A535">
        <v>2018</v>
      </c>
      <c r="B535">
        <v>448</v>
      </c>
      <c r="C535" t="s">
        <v>264</v>
      </c>
      <c r="D535">
        <v>27713.599999999999</v>
      </c>
      <c r="E535">
        <v>17.600000000000001</v>
      </c>
      <c r="F535">
        <v>1124.8</v>
      </c>
      <c r="G535">
        <v>9.8000000000000007</v>
      </c>
      <c r="H535">
        <v>24280.1</v>
      </c>
      <c r="I535">
        <v>5739</v>
      </c>
      <c r="J535">
        <v>0</v>
      </c>
      <c r="K535">
        <v>4.0999999999999996</v>
      </c>
      <c r="L535">
        <v>4.5999999999999996</v>
      </c>
      <c r="M535">
        <v>19.600000000000001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87447</v>
      </c>
      <c r="W535" t="s">
        <v>90</v>
      </c>
      <c r="Y535" t="s">
        <v>274</v>
      </c>
      <c r="Z535">
        <v>5738.7755102040801</v>
      </c>
      <c r="AA535">
        <v>2017</v>
      </c>
      <c r="AB535">
        <v>1.1414121029155599</v>
      </c>
      <c r="AC535">
        <v>0.19600000000000001</v>
      </c>
      <c r="AD535">
        <v>4.2308851351351402</v>
      </c>
    </row>
    <row r="536" spans="1:30" x14ac:dyDescent="0.3">
      <c r="A536">
        <v>2018</v>
      </c>
      <c r="B536">
        <v>414</v>
      </c>
      <c r="C536" t="s">
        <v>319</v>
      </c>
      <c r="D536">
        <v>30239.4</v>
      </c>
      <c r="E536">
        <v>36.200000000000003</v>
      </c>
      <c r="F536">
        <v>3961.3</v>
      </c>
      <c r="G536">
        <v>19.5</v>
      </c>
      <c r="H536">
        <v>36592.699999999997</v>
      </c>
      <c r="I536">
        <v>13301.9</v>
      </c>
      <c r="J536">
        <v>0</v>
      </c>
      <c r="K536">
        <v>13.1</v>
      </c>
      <c r="L536">
        <v>10.8</v>
      </c>
      <c r="M536">
        <v>29.8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88800</v>
      </c>
      <c r="W536" t="s">
        <v>90</v>
      </c>
      <c r="Y536" t="s">
        <v>318</v>
      </c>
      <c r="Z536">
        <v>13292.9530201342</v>
      </c>
      <c r="AA536">
        <v>2017</v>
      </c>
      <c r="AB536">
        <v>0.82637793876920795</v>
      </c>
      <c r="AC536">
        <v>0.29799999999999999</v>
      </c>
      <c r="AD536">
        <v>2.7527893873223399</v>
      </c>
    </row>
    <row r="537" spans="1:30" x14ac:dyDescent="0.3">
      <c r="A537">
        <v>2018</v>
      </c>
      <c r="B537">
        <v>312</v>
      </c>
      <c r="C537" t="s">
        <v>277</v>
      </c>
      <c r="D537">
        <v>39581.599999999999</v>
      </c>
      <c r="E537">
        <v>10.6</v>
      </c>
      <c r="F537">
        <v>3058.5</v>
      </c>
      <c r="G537">
        <v>19.600000000000001</v>
      </c>
      <c r="H537">
        <v>38408.5</v>
      </c>
      <c r="I537">
        <v>12099.6</v>
      </c>
      <c r="J537">
        <v>0</v>
      </c>
      <c r="K537">
        <v>7.7</v>
      </c>
      <c r="L537">
        <v>8</v>
      </c>
      <c r="M537">
        <v>25.3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114765</v>
      </c>
      <c r="W537" t="s">
        <v>90</v>
      </c>
      <c r="Y537" t="s">
        <v>279</v>
      </c>
      <c r="Z537">
        <v>12088.932806324099</v>
      </c>
      <c r="AA537">
        <v>2017</v>
      </c>
      <c r="AB537">
        <v>1.0305427184086899</v>
      </c>
      <c r="AC537">
        <v>0.253</v>
      </c>
      <c r="AD537">
        <v>3.17716217099886</v>
      </c>
    </row>
    <row r="538" spans="1:30" x14ac:dyDescent="0.3">
      <c r="A538">
        <v>2017</v>
      </c>
      <c r="B538">
        <v>183</v>
      </c>
      <c r="C538" t="s">
        <v>320</v>
      </c>
      <c r="D538">
        <v>49676.7</v>
      </c>
      <c r="E538">
        <v>3.9</v>
      </c>
      <c r="F538">
        <v>1199.9000000000001</v>
      </c>
      <c r="G538">
        <v>5.2</v>
      </c>
      <c r="H538">
        <v>18404.900000000001</v>
      </c>
      <c r="I538">
        <v>10004.5</v>
      </c>
      <c r="J538">
        <v>0</v>
      </c>
      <c r="K538">
        <v>2.4</v>
      </c>
      <c r="L538">
        <v>6.5</v>
      </c>
      <c r="M538">
        <v>12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17852</v>
      </c>
      <c r="W538" t="s">
        <v>90</v>
      </c>
      <c r="Y538" t="s">
        <v>321</v>
      </c>
      <c r="Z538">
        <v>9999.1666666666697</v>
      </c>
      <c r="AA538">
        <v>2016</v>
      </c>
      <c r="AB538">
        <v>2.6991018696108098</v>
      </c>
      <c r="AC538">
        <v>0.12</v>
      </c>
      <c r="AD538">
        <v>1.8406433869489101</v>
      </c>
    </row>
    <row r="539" spans="1:30" x14ac:dyDescent="0.3">
      <c r="A539">
        <v>2016</v>
      </c>
      <c r="B539">
        <v>481</v>
      </c>
      <c r="C539" t="s">
        <v>277</v>
      </c>
      <c r="D539">
        <v>22173.5</v>
      </c>
      <c r="E539">
        <v>-4</v>
      </c>
      <c r="F539">
        <v>2021.9</v>
      </c>
      <c r="G539">
        <v>24.5</v>
      </c>
      <c r="H539">
        <v>19841.400000000001</v>
      </c>
      <c r="I539">
        <v>7577</v>
      </c>
      <c r="J539">
        <v>0</v>
      </c>
      <c r="K539">
        <v>9.1</v>
      </c>
      <c r="L539">
        <v>10.199999999999999</v>
      </c>
      <c r="M539">
        <v>26.7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93299</v>
      </c>
      <c r="W539" t="s">
        <v>90</v>
      </c>
      <c r="Y539" t="s">
        <v>279</v>
      </c>
      <c r="Z539">
        <v>7572.6591760299598</v>
      </c>
      <c r="AA539">
        <v>2015</v>
      </c>
      <c r="AB539">
        <v>1.11753706895683</v>
      </c>
      <c r="AC539">
        <v>0.26700000000000002</v>
      </c>
      <c r="AD539">
        <v>2.62013640635046</v>
      </c>
    </row>
    <row r="540" spans="1:30" x14ac:dyDescent="0.3">
      <c r="A540">
        <v>2016</v>
      </c>
      <c r="B540">
        <v>207</v>
      </c>
      <c r="C540" t="s">
        <v>322</v>
      </c>
      <c r="D540">
        <v>44085.1</v>
      </c>
      <c r="E540">
        <v>-5.9</v>
      </c>
      <c r="F540">
        <v>552.4</v>
      </c>
      <c r="G540">
        <v>-14.5</v>
      </c>
      <c r="H540">
        <v>94757.8</v>
      </c>
      <c r="I540">
        <v>12116.9</v>
      </c>
      <c r="J540">
        <v>0</v>
      </c>
      <c r="K540">
        <v>1.3</v>
      </c>
      <c r="L540">
        <v>0.6</v>
      </c>
      <c r="M540">
        <v>4.5999999999999996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231299</v>
      </c>
      <c r="W540" t="s">
        <v>44</v>
      </c>
      <c r="Y540" t="s">
        <v>323</v>
      </c>
      <c r="Z540">
        <v>12008.695652173899</v>
      </c>
      <c r="AA540">
        <v>2015</v>
      </c>
      <c r="AB540">
        <v>0.46523980083961403</v>
      </c>
      <c r="AC540">
        <v>4.5999999999999999E-2</v>
      </c>
      <c r="AD540">
        <v>7.89076538740043</v>
      </c>
    </row>
    <row r="541" spans="1:30" x14ac:dyDescent="0.3">
      <c r="A541">
        <v>2016</v>
      </c>
      <c r="B541">
        <v>190</v>
      </c>
      <c r="C541" t="s">
        <v>320</v>
      </c>
      <c r="D541">
        <v>47795.1</v>
      </c>
      <c r="E541">
        <v>9.6</v>
      </c>
      <c r="F541">
        <v>1140.5</v>
      </c>
      <c r="G541">
        <v>19.100000000000001</v>
      </c>
      <c r="H541">
        <v>18559.400000000001</v>
      </c>
      <c r="I541">
        <v>9470.7999999999993</v>
      </c>
      <c r="J541">
        <v>0</v>
      </c>
      <c r="K541">
        <v>2.4</v>
      </c>
      <c r="L541">
        <v>6.1</v>
      </c>
      <c r="M541">
        <v>12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17683</v>
      </c>
      <c r="W541" t="s">
        <v>90</v>
      </c>
      <c r="Y541" t="s">
        <v>321</v>
      </c>
      <c r="Z541">
        <v>9504.1666666666697</v>
      </c>
      <c r="AA541">
        <v>2015</v>
      </c>
      <c r="AB541">
        <v>2.5752502774874202</v>
      </c>
      <c r="AC541">
        <v>0.12</v>
      </c>
      <c r="AD541">
        <v>1.95276457693994</v>
      </c>
    </row>
    <row r="542" spans="1:30" x14ac:dyDescent="0.3">
      <c r="A542">
        <v>2015</v>
      </c>
      <c r="B542">
        <v>247</v>
      </c>
      <c r="C542" t="s">
        <v>320</v>
      </c>
      <c r="D542">
        <v>43611.7</v>
      </c>
      <c r="E542">
        <v>14.7</v>
      </c>
      <c r="F542">
        <v>957.7</v>
      </c>
      <c r="G542">
        <v>14.9</v>
      </c>
      <c r="H542">
        <v>18655</v>
      </c>
      <c r="I542">
        <v>8744.6</v>
      </c>
      <c r="J542">
        <v>0</v>
      </c>
      <c r="K542">
        <v>2.19597034740677</v>
      </c>
      <c r="L542">
        <v>5.1337443044760098</v>
      </c>
      <c r="M542">
        <v>10.951901745077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17556</v>
      </c>
      <c r="W542" t="s">
        <v>90</v>
      </c>
      <c r="Y542" t="s">
        <v>321</v>
      </c>
      <c r="Z542">
        <v>8744.6</v>
      </c>
      <c r="AA542">
        <v>2014</v>
      </c>
      <c r="AB542">
        <v>2.3378021978021999</v>
      </c>
      <c r="AC542">
        <v>0.1095</v>
      </c>
      <c r="AD542">
        <v>2.1333165610776899</v>
      </c>
    </row>
    <row r="543" spans="1:30" x14ac:dyDescent="0.3">
      <c r="A543">
        <v>2015</v>
      </c>
      <c r="B543">
        <v>231</v>
      </c>
      <c r="C543" t="s">
        <v>141</v>
      </c>
      <c r="D543">
        <v>46295.6</v>
      </c>
      <c r="E543">
        <v>19.600000000000001</v>
      </c>
      <c r="F543">
        <v>828.7</v>
      </c>
      <c r="G543">
        <v>1.4</v>
      </c>
      <c r="H543">
        <v>27081.3</v>
      </c>
      <c r="I543">
        <v>4083.6</v>
      </c>
      <c r="J543">
        <v>0</v>
      </c>
      <c r="K543">
        <v>1.7900189218845901</v>
      </c>
      <c r="L543">
        <v>3.0600451233877299</v>
      </c>
      <c r="M543">
        <v>20.293368596336599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60000</v>
      </c>
      <c r="W543" t="s">
        <v>30</v>
      </c>
      <c r="Y543" t="s">
        <v>143</v>
      </c>
      <c r="Z543">
        <v>4083.6</v>
      </c>
      <c r="AA543">
        <v>2014</v>
      </c>
      <c r="AB543">
        <v>1.7095043443261599</v>
      </c>
      <c r="AC543">
        <v>0.2029</v>
      </c>
      <c r="AD543">
        <v>6.6317220099911802</v>
      </c>
    </row>
    <row r="544" spans="1:30" x14ac:dyDescent="0.3">
      <c r="A544">
        <v>2015</v>
      </c>
      <c r="B544">
        <v>227</v>
      </c>
      <c r="C544" t="s">
        <v>322</v>
      </c>
      <c r="D544">
        <v>46834.8</v>
      </c>
      <c r="E544">
        <v>-5.2</v>
      </c>
      <c r="F544">
        <v>646.20000000000005</v>
      </c>
      <c r="G544">
        <v>15.4</v>
      </c>
      <c r="H544">
        <v>88189</v>
      </c>
      <c r="I544">
        <v>12465.6</v>
      </c>
      <c r="J544">
        <v>0</v>
      </c>
      <c r="K544">
        <v>1.37974326782649</v>
      </c>
      <c r="L544">
        <v>0.732744446586309</v>
      </c>
      <c r="M544">
        <v>5.1838659992298801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228613</v>
      </c>
      <c r="W544" t="s">
        <v>44</v>
      </c>
      <c r="Y544" t="s">
        <v>323</v>
      </c>
      <c r="Z544">
        <v>12465.6</v>
      </c>
      <c r="AA544">
        <v>2014</v>
      </c>
      <c r="AB544">
        <v>0.53107303631972202</v>
      </c>
      <c r="AC544">
        <v>5.1799999999999999E-2</v>
      </c>
      <c r="AD544">
        <v>7.0745892696701302</v>
      </c>
    </row>
    <row r="545" spans="1:30" x14ac:dyDescent="0.3">
      <c r="A545">
        <v>2015</v>
      </c>
      <c r="B545">
        <v>160</v>
      </c>
      <c r="C545" t="s">
        <v>324</v>
      </c>
      <c r="D545">
        <v>62147.6</v>
      </c>
      <c r="E545">
        <v>0.2</v>
      </c>
      <c r="F545">
        <v>2037.7</v>
      </c>
      <c r="G545">
        <v>31</v>
      </c>
      <c r="H545">
        <v>112881.7</v>
      </c>
      <c r="I545">
        <v>60519.5</v>
      </c>
      <c r="J545">
        <v>0</v>
      </c>
      <c r="K545">
        <v>3.27880722666684</v>
      </c>
      <c r="L545">
        <v>1.80516416744255</v>
      </c>
      <c r="M545">
        <v>3.3670139376564601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454292</v>
      </c>
      <c r="W545" t="s">
        <v>44</v>
      </c>
      <c r="Y545" t="s">
        <v>325</v>
      </c>
      <c r="Z545">
        <v>60519.5</v>
      </c>
      <c r="AA545">
        <v>2014</v>
      </c>
      <c r="AB545">
        <v>0.55055513869830097</v>
      </c>
      <c r="AC545">
        <v>3.3700000000000001E-2</v>
      </c>
      <c r="AD545">
        <v>1.8652120390948399</v>
      </c>
    </row>
    <row r="546" spans="1:30" x14ac:dyDescent="0.3">
      <c r="A546">
        <v>2015</v>
      </c>
      <c r="B546">
        <v>55</v>
      </c>
      <c r="C546" t="s">
        <v>326</v>
      </c>
      <c r="D546">
        <v>107529.4</v>
      </c>
      <c r="E546">
        <v>-0.1</v>
      </c>
      <c r="F546">
        <v>10451.200000000001</v>
      </c>
      <c r="G546">
        <v>13.6</v>
      </c>
      <c r="H546">
        <v>246748.79999999999</v>
      </c>
      <c r="I546">
        <v>135406.79999999999</v>
      </c>
      <c r="J546">
        <v>0</v>
      </c>
      <c r="K546">
        <v>9.7193883719243299</v>
      </c>
      <c r="L546">
        <v>4.23556264508683</v>
      </c>
      <c r="M546">
        <v>7.7183716031986602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274347</v>
      </c>
      <c r="W546" t="s">
        <v>44</v>
      </c>
      <c r="Y546" t="s">
        <v>327</v>
      </c>
      <c r="Z546">
        <v>135406.79999999999</v>
      </c>
      <c r="AA546">
        <v>2014</v>
      </c>
      <c r="AB546">
        <v>0.43578489540779902</v>
      </c>
      <c r="AC546">
        <v>7.7200000000000005E-2</v>
      </c>
      <c r="AD546">
        <v>1.8222777585763801</v>
      </c>
    </row>
    <row r="547" spans="1:30" x14ac:dyDescent="0.3">
      <c r="A547">
        <v>2014</v>
      </c>
      <c r="B547">
        <v>295</v>
      </c>
      <c r="C547" t="s">
        <v>320</v>
      </c>
      <c r="D547">
        <v>38030.199999999997</v>
      </c>
      <c r="E547">
        <v>28.5</v>
      </c>
      <c r="F547">
        <v>833.3</v>
      </c>
      <c r="G547">
        <v>46.4</v>
      </c>
      <c r="H547">
        <v>17142.8</v>
      </c>
      <c r="I547">
        <v>7990.6018999999997</v>
      </c>
      <c r="J547">
        <v>0</v>
      </c>
      <c r="K547">
        <v>2.2019000000000002</v>
      </c>
      <c r="L547">
        <v>4.9019000000000004</v>
      </c>
      <c r="M547">
        <v>10.401899999999999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16720</v>
      </c>
      <c r="W547" t="s">
        <v>90</v>
      </c>
      <c r="Y547" t="s">
        <v>321</v>
      </c>
      <c r="Z547">
        <v>8011.03644526481</v>
      </c>
      <c r="AA547">
        <v>2013</v>
      </c>
      <c r="AB547">
        <v>2.2184357281190898</v>
      </c>
      <c r="AC547">
        <v>0.104</v>
      </c>
      <c r="AD547">
        <v>2.1398978917556701</v>
      </c>
    </row>
    <row r="548" spans="1:30" x14ac:dyDescent="0.3">
      <c r="A548">
        <v>2014</v>
      </c>
      <c r="B548">
        <v>210</v>
      </c>
      <c r="C548" t="s">
        <v>322</v>
      </c>
      <c r="D548">
        <v>49399.199999999997</v>
      </c>
      <c r="E548">
        <v>21.6</v>
      </c>
      <c r="F548">
        <v>560</v>
      </c>
      <c r="G548">
        <v>49.2</v>
      </c>
      <c r="H548">
        <v>87772.3</v>
      </c>
      <c r="I548">
        <v>12365.401900000001</v>
      </c>
      <c r="J548">
        <v>0</v>
      </c>
      <c r="K548">
        <v>1.1019000000000001</v>
      </c>
      <c r="L548">
        <v>0.60189999999999999</v>
      </c>
      <c r="M548">
        <v>4.5019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222529</v>
      </c>
      <c r="W548" t="s">
        <v>44</v>
      </c>
      <c r="Y548" t="s">
        <v>323</v>
      </c>
      <c r="Z548">
        <v>12439.1923410116</v>
      </c>
      <c r="AA548">
        <v>2013</v>
      </c>
      <c r="AB548">
        <v>0.56281081844727798</v>
      </c>
      <c r="AC548">
        <v>4.4999999999999998E-2</v>
      </c>
      <c r="AD548">
        <v>7.0561092387500004</v>
      </c>
    </row>
    <row r="549" spans="1:30" x14ac:dyDescent="0.3">
      <c r="A549">
        <v>2013</v>
      </c>
      <c r="B549">
        <v>387</v>
      </c>
      <c r="C549" t="s">
        <v>320</v>
      </c>
      <c r="D549">
        <v>29588.3</v>
      </c>
      <c r="E549">
        <v>49</v>
      </c>
      <c r="F549">
        <v>569.20000000000005</v>
      </c>
      <c r="G549">
        <v>241.6</v>
      </c>
      <c r="H549">
        <v>13914</v>
      </c>
      <c r="I549">
        <v>6950.3</v>
      </c>
      <c r="J549">
        <v>0</v>
      </c>
      <c r="K549">
        <v>1.9</v>
      </c>
      <c r="L549">
        <v>4.0907999999999998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15109</v>
      </c>
      <c r="W549" t="s">
        <v>90</v>
      </c>
      <c r="Y549" t="s">
        <v>321</v>
      </c>
      <c r="Z549" t="s">
        <v>329</v>
      </c>
      <c r="AA549">
        <v>2012</v>
      </c>
      <c r="AB549">
        <v>2.1265128647405498</v>
      </c>
      <c r="AC549">
        <v>0</v>
      </c>
      <c r="AD549">
        <v>0</v>
      </c>
    </row>
    <row r="550" spans="1:30" x14ac:dyDescent="0.3">
      <c r="A550">
        <v>2013</v>
      </c>
      <c r="B550">
        <v>258</v>
      </c>
      <c r="C550" t="s">
        <v>322</v>
      </c>
      <c r="D550">
        <v>40617.1</v>
      </c>
      <c r="E550">
        <v>21.8</v>
      </c>
      <c r="F550">
        <v>375.3</v>
      </c>
      <c r="G550">
        <v>71.8</v>
      </c>
      <c r="H550">
        <v>83199.399999999994</v>
      </c>
      <c r="I550">
        <v>11604.1</v>
      </c>
      <c r="J550">
        <v>0</v>
      </c>
      <c r="K550">
        <v>0.9</v>
      </c>
      <c r="L550">
        <v>0.4511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218598</v>
      </c>
      <c r="W550" t="s">
        <v>44</v>
      </c>
      <c r="Y550" t="s">
        <v>323</v>
      </c>
      <c r="Z550" t="s">
        <v>329</v>
      </c>
      <c r="AA550">
        <v>2012</v>
      </c>
      <c r="AB550">
        <v>0.48818981867657701</v>
      </c>
      <c r="AC550">
        <v>0</v>
      </c>
      <c r="AD550">
        <v>0</v>
      </c>
    </row>
    <row r="551" spans="1:30" x14ac:dyDescent="0.3">
      <c r="A551">
        <v>2012</v>
      </c>
      <c r="B551">
        <v>183</v>
      </c>
      <c r="C551" t="s">
        <v>320</v>
      </c>
      <c r="D551">
        <v>49676.7</v>
      </c>
      <c r="E551">
        <v>3.9</v>
      </c>
      <c r="F551">
        <v>1199.9000000000001</v>
      </c>
      <c r="G551">
        <v>5.2</v>
      </c>
      <c r="H551">
        <v>18404.900000000001</v>
      </c>
      <c r="I551">
        <v>10004.5</v>
      </c>
      <c r="J551">
        <v>0</v>
      </c>
      <c r="K551">
        <v>2.4</v>
      </c>
      <c r="L551">
        <v>6.5</v>
      </c>
      <c r="M551">
        <v>12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17852</v>
      </c>
      <c r="W551" t="s">
        <v>90</v>
      </c>
      <c r="Y551" t="s">
        <v>321</v>
      </c>
      <c r="Z551">
        <v>9999.1666666666697</v>
      </c>
      <c r="AA551">
        <v>2011</v>
      </c>
      <c r="AB551">
        <v>2.6991018696108098</v>
      </c>
      <c r="AC551">
        <v>0.12</v>
      </c>
      <c r="AD551">
        <v>1.8406433869489101</v>
      </c>
    </row>
    <row r="552" spans="1:30" x14ac:dyDescent="0.3">
      <c r="A552">
        <v>2023</v>
      </c>
      <c r="B552">
        <v>267</v>
      </c>
      <c r="C552" t="s">
        <v>322</v>
      </c>
      <c r="D552">
        <v>52765.9</v>
      </c>
      <c r="E552">
        <v>3.8</v>
      </c>
      <c r="F552">
        <v>1085.0999999999999</v>
      </c>
      <c r="G552">
        <v>11</v>
      </c>
      <c r="H552">
        <v>93470.8</v>
      </c>
      <c r="I552">
        <v>22381.599999999999</v>
      </c>
      <c r="J552">
        <v>0</v>
      </c>
      <c r="K552">
        <v>2.1</v>
      </c>
      <c r="L552">
        <v>1.2</v>
      </c>
      <c r="M552">
        <v>4.8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244508</v>
      </c>
      <c r="W552" t="s">
        <v>44</v>
      </c>
      <c r="Y552" t="s">
        <v>323</v>
      </c>
      <c r="Z552">
        <v>22606.25</v>
      </c>
      <c r="AA552">
        <v>2022</v>
      </c>
      <c r="AB552">
        <v>0.56451747497614202</v>
      </c>
      <c r="AC552">
        <v>4.8000000000000001E-2</v>
      </c>
      <c r="AD552">
        <v>4.1347326513685401</v>
      </c>
    </row>
    <row r="553" spans="1:30" x14ac:dyDescent="0.3">
      <c r="A553">
        <v>2023</v>
      </c>
      <c r="B553">
        <v>132</v>
      </c>
      <c r="C553" t="s">
        <v>324</v>
      </c>
      <c r="D553">
        <v>87166.399999999994</v>
      </c>
      <c r="E553">
        <v>4.3</v>
      </c>
      <c r="F553">
        <v>2060.8000000000002</v>
      </c>
      <c r="G553">
        <v>6.5</v>
      </c>
      <c r="H553">
        <v>151748.79999999999</v>
      </c>
      <c r="I553">
        <v>57445.7</v>
      </c>
      <c r="J553">
        <v>0</v>
      </c>
      <c r="K553">
        <v>2.4</v>
      </c>
      <c r="L553">
        <v>1.4</v>
      </c>
      <c r="M553">
        <v>3.6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392726</v>
      </c>
      <c r="W553" t="s">
        <v>44</v>
      </c>
      <c r="Y553" t="s">
        <v>325</v>
      </c>
      <c r="Z553">
        <v>57244.444444444402</v>
      </c>
      <c r="AA553">
        <v>2022</v>
      </c>
      <c r="AB553">
        <v>0.57441245004902797</v>
      </c>
      <c r="AC553">
        <v>3.5999999999999997E-2</v>
      </c>
      <c r="AD553">
        <v>2.6508913043478302</v>
      </c>
    </row>
    <row r="554" spans="1:30" x14ac:dyDescent="0.3">
      <c r="A554">
        <v>2023</v>
      </c>
      <c r="B554">
        <v>62</v>
      </c>
      <c r="C554" t="s">
        <v>326</v>
      </c>
      <c r="D554">
        <v>139597.1</v>
      </c>
      <c r="E554">
        <v>5.8</v>
      </c>
      <c r="F554">
        <v>14718.3</v>
      </c>
      <c r="G554">
        <v>0.6</v>
      </c>
      <c r="H554">
        <v>331724.40000000002</v>
      </c>
      <c r="I554">
        <v>182777.2</v>
      </c>
      <c r="J554">
        <v>0</v>
      </c>
      <c r="K554">
        <v>10.5</v>
      </c>
      <c r="L554">
        <v>4.4000000000000004</v>
      </c>
      <c r="M554">
        <v>8.1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452202</v>
      </c>
      <c r="W554" t="s">
        <v>44</v>
      </c>
      <c r="Y554" t="s">
        <v>328</v>
      </c>
      <c r="Z554">
        <v>181707.40740740701</v>
      </c>
      <c r="AA554">
        <v>2022</v>
      </c>
      <c r="AB554">
        <v>0.42082252616931398</v>
      </c>
      <c r="AC554">
        <v>8.1000000000000003E-2</v>
      </c>
      <c r="AD554">
        <v>1.8255964615478699</v>
      </c>
    </row>
    <row r="555" spans="1:30" x14ac:dyDescent="0.3">
      <c r="A555">
        <v>2022</v>
      </c>
      <c r="B555">
        <v>267</v>
      </c>
      <c r="C555" t="s">
        <v>322</v>
      </c>
      <c r="D555">
        <v>50827.6</v>
      </c>
      <c r="E555">
        <v>15.4</v>
      </c>
      <c r="F555">
        <v>977.5</v>
      </c>
      <c r="G555">
        <v>22.2</v>
      </c>
      <c r="H555">
        <v>93399.7</v>
      </c>
      <c r="I555">
        <v>23491</v>
      </c>
      <c r="J555">
        <v>0</v>
      </c>
      <c r="K555">
        <v>1.9</v>
      </c>
      <c r="L555">
        <v>1</v>
      </c>
      <c r="M555">
        <v>4.2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242661</v>
      </c>
      <c r="W555" t="s">
        <v>44</v>
      </c>
      <c r="Y555" t="s">
        <v>323</v>
      </c>
      <c r="Z555">
        <v>23273.809523809501</v>
      </c>
      <c r="AA555">
        <v>2021</v>
      </c>
      <c r="AB555">
        <v>0.54419446743404998</v>
      </c>
      <c r="AC555">
        <v>4.2000000000000003E-2</v>
      </c>
      <c r="AD555">
        <v>4.0130817391304303</v>
      </c>
    </row>
    <row r="556" spans="1:30" x14ac:dyDescent="0.3">
      <c r="A556">
        <v>2022</v>
      </c>
      <c r="B556">
        <v>131</v>
      </c>
      <c r="C556" t="s">
        <v>324</v>
      </c>
      <c r="D556">
        <v>83596.3</v>
      </c>
      <c r="E556">
        <v>17.100000000000001</v>
      </c>
      <c r="F556">
        <v>1935</v>
      </c>
      <c r="G556">
        <v>2.6</v>
      </c>
      <c r="H556">
        <v>155817.70000000001</v>
      </c>
      <c r="I556">
        <v>60156.1</v>
      </c>
      <c r="J556">
        <v>0</v>
      </c>
      <c r="K556">
        <v>2.2999999999999998</v>
      </c>
      <c r="L556">
        <v>1.2</v>
      </c>
      <c r="M556">
        <v>3.2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394600</v>
      </c>
      <c r="W556" t="s">
        <v>44</v>
      </c>
      <c r="Y556" t="s">
        <v>325</v>
      </c>
      <c r="Z556">
        <v>60468.75</v>
      </c>
      <c r="AA556">
        <v>2021</v>
      </c>
      <c r="AB556">
        <v>0.53650066712574995</v>
      </c>
      <c r="AC556">
        <v>3.2000000000000001E-2</v>
      </c>
      <c r="AD556">
        <v>2.5768301808785501</v>
      </c>
    </row>
    <row r="557" spans="1:30" x14ac:dyDescent="0.3">
      <c r="A557">
        <v>2022</v>
      </c>
      <c r="B557">
        <v>57</v>
      </c>
      <c r="C557" t="s">
        <v>326</v>
      </c>
      <c r="D557">
        <v>131913.4</v>
      </c>
      <c r="E557">
        <v>18</v>
      </c>
      <c r="F557">
        <v>14628.9</v>
      </c>
      <c r="G557">
        <v>13.2</v>
      </c>
      <c r="H557">
        <v>337922.8</v>
      </c>
      <c r="I557">
        <v>186106.4</v>
      </c>
      <c r="J557">
        <v>0</v>
      </c>
      <c r="K557">
        <v>11.1</v>
      </c>
      <c r="L557">
        <v>4.3</v>
      </c>
      <c r="M557">
        <v>7.9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451331</v>
      </c>
      <c r="W557" t="s">
        <v>44</v>
      </c>
      <c r="Y557" t="s">
        <v>328</v>
      </c>
      <c r="Z557">
        <v>185175.94936708899</v>
      </c>
      <c r="AA557">
        <v>2021</v>
      </c>
      <c r="AB557">
        <v>0.39036549176320701</v>
      </c>
      <c r="AC557">
        <v>7.9000000000000001E-2</v>
      </c>
      <c r="AD557">
        <v>1.8248741327099101</v>
      </c>
    </row>
    <row r="558" spans="1:30" x14ac:dyDescent="0.3">
      <c r="A558">
        <v>2021</v>
      </c>
      <c r="B558">
        <v>334</v>
      </c>
      <c r="C558" t="s">
        <v>312</v>
      </c>
      <c r="D558">
        <v>35930.9</v>
      </c>
      <c r="E558">
        <v>10.7</v>
      </c>
      <c r="F558">
        <v>-97.2</v>
      </c>
      <c r="G558">
        <v>-170.6</v>
      </c>
      <c r="H558">
        <v>53587.7</v>
      </c>
      <c r="I558">
        <v>9949.7999999999993</v>
      </c>
      <c r="J558">
        <v>0</v>
      </c>
      <c r="K558">
        <v>-0.3</v>
      </c>
      <c r="L558">
        <v>-0.2</v>
      </c>
      <c r="M558">
        <v>-1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180822</v>
      </c>
      <c r="W558" t="s">
        <v>90</v>
      </c>
      <c r="Y558" t="s">
        <v>313</v>
      </c>
      <c r="Z558">
        <v>9720</v>
      </c>
      <c r="AA558">
        <v>2020</v>
      </c>
      <c r="AB558">
        <v>0.67050647816569897</v>
      </c>
      <c r="AC558">
        <v>-0.01</v>
      </c>
      <c r="AD558">
        <v>5.5131378600823</v>
      </c>
    </row>
    <row r="559" spans="1:30" x14ac:dyDescent="0.3">
      <c r="A559">
        <v>2021</v>
      </c>
      <c r="B559">
        <v>260</v>
      </c>
      <c r="C559" t="s">
        <v>322</v>
      </c>
      <c r="D559">
        <v>44034.400000000001</v>
      </c>
      <c r="E559">
        <v>4.7</v>
      </c>
      <c r="F559">
        <v>800.2</v>
      </c>
      <c r="G559">
        <v>11</v>
      </c>
      <c r="H559">
        <v>89268.3</v>
      </c>
      <c r="I559">
        <v>22637.3</v>
      </c>
      <c r="J559">
        <v>0</v>
      </c>
      <c r="K559">
        <v>1.8</v>
      </c>
      <c r="L559">
        <v>0.9</v>
      </c>
      <c r="M559">
        <v>3.5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242121</v>
      </c>
      <c r="W559" t="s">
        <v>44</v>
      </c>
      <c r="Y559" t="s">
        <v>323</v>
      </c>
      <c r="Z559">
        <v>22862.857142857101</v>
      </c>
      <c r="AA559">
        <v>2020</v>
      </c>
      <c r="AB559">
        <v>0.49328148962173601</v>
      </c>
      <c r="AC559">
        <v>3.5000000000000003E-2</v>
      </c>
      <c r="AD559">
        <v>3.9045119970007498</v>
      </c>
    </row>
    <row r="560" spans="1:30" x14ac:dyDescent="0.3">
      <c r="A560">
        <v>2021</v>
      </c>
      <c r="B560">
        <v>126</v>
      </c>
      <c r="C560" t="s">
        <v>324</v>
      </c>
      <c r="D560">
        <v>71400.899999999994</v>
      </c>
      <c r="E560">
        <v>6</v>
      </c>
      <c r="F560">
        <v>1886.1</v>
      </c>
      <c r="G560">
        <v>4.5999999999999996</v>
      </c>
      <c r="H560">
        <v>139128.5</v>
      </c>
      <c r="I560">
        <v>57227.1</v>
      </c>
      <c r="J560">
        <v>0</v>
      </c>
      <c r="K560">
        <v>2.6</v>
      </c>
      <c r="L560">
        <v>1.4</v>
      </c>
      <c r="M560">
        <v>3.3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400945</v>
      </c>
      <c r="W560" t="s">
        <v>44</v>
      </c>
      <c r="Y560" t="s">
        <v>325</v>
      </c>
      <c r="Z560">
        <v>57154.545454545398</v>
      </c>
      <c r="AA560">
        <v>2020</v>
      </c>
      <c r="AB560">
        <v>0.51320110545287301</v>
      </c>
      <c r="AC560">
        <v>3.3000000000000002E-2</v>
      </c>
      <c r="AD560">
        <v>2.4342508350564702</v>
      </c>
    </row>
    <row r="561" spans="1:30" x14ac:dyDescent="0.3">
      <c r="A561">
        <v>2021</v>
      </c>
      <c r="B561">
        <v>56</v>
      </c>
      <c r="C561" t="s">
        <v>326</v>
      </c>
      <c r="D561">
        <v>111825.5</v>
      </c>
      <c r="E561">
        <v>3</v>
      </c>
      <c r="F561">
        <v>12920.1</v>
      </c>
      <c r="G561">
        <v>6.4</v>
      </c>
      <c r="H561">
        <v>304527.8</v>
      </c>
      <c r="I561">
        <v>168938.5</v>
      </c>
      <c r="J561">
        <v>0</v>
      </c>
      <c r="K561">
        <v>11.6</v>
      </c>
      <c r="L561">
        <v>4.2</v>
      </c>
      <c r="M561">
        <v>7.6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455721</v>
      </c>
      <c r="W561" t="s">
        <v>44</v>
      </c>
      <c r="Y561" t="s">
        <v>328</v>
      </c>
      <c r="Z561">
        <v>170001.315789474</v>
      </c>
      <c r="AA561">
        <v>2020</v>
      </c>
      <c r="AB561">
        <v>0.36720949614452297</v>
      </c>
      <c r="AC561">
        <v>7.5999999999999998E-2</v>
      </c>
      <c r="AD561">
        <v>1.7913261352466301</v>
      </c>
    </row>
    <row r="562" spans="1:30" x14ac:dyDescent="0.3">
      <c r="A562">
        <v>2020</v>
      </c>
      <c r="B562">
        <v>375</v>
      </c>
      <c r="C562" t="s">
        <v>312</v>
      </c>
      <c r="D562">
        <v>33055.699999999997</v>
      </c>
      <c r="E562">
        <v>3.3</v>
      </c>
      <c r="F562">
        <v>350.3</v>
      </c>
      <c r="G562">
        <v>110</v>
      </c>
      <c r="H562">
        <v>40323.199999999997</v>
      </c>
      <c r="I562">
        <v>6317.4</v>
      </c>
      <c r="J562">
        <v>0</v>
      </c>
      <c r="K562">
        <v>1.1000000000000001</v>
      </c>
      <c r="L562">
        <v>0.9</v>
      </c>
      <c r="M562">
        <v>5.5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135297</v>
      </c>
      <c r="W562" t="s">
        <v>90</v>
      </c>
      <c r="Y562" t="s">
        <v>313</v>
      </c>
      <c r="Z562">
        <v>6369.0909090909099</v>
      </c>
      <c r="AA562">
        <v>2019</v>
      </c>
      <c r="AB562">
        <v>0.81976876835171797</v>
      </c>
      <c r="AC562">
        <v>5.5E-2</v>
      </c>
      <c r="AD562">
        <v>6.3310762203825304</v>
      </c>
    </row>
    <row r="563" spans="1:30" x14ac:dyDescent="0.3">
      <c r="A563">
        <v>2020</v>
      </c>
      <c r="B563">
        <v>262</v>
      </c>
      <c r="C563" t="s">
        <v>322</v>
      </c>
      <c r="D563">
        <v>43974.400000000001</v>
      </c>
      <c r="E563">
        <v>8.1</v>
      </c>
      <c r="F563">
        <v>616.9</v>
      </c>
      <c r="G563">
        <v>879.1</v>
      </c>
      <c r="H563">
        <v>78908.5</v>
      </c>
      <c r="I563">
        <v>20412.2</v>
      </c>
      <c r="J563">
        <v>0</v>
      </c>
      <c r="K563">
        <v>1.4</v>
      </c>
      <c r="L563">
        <v>0.8</v>
      </c>
      <c r="M563">
        <v>3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246299</v>
      </c>
      <c r="W563" t="s">
        <v>44</v>
      </c>
      <c r="Y563" t="s">
        <v>323</v>
      </c>
      <c r="Z563">
        <v>20563.333333333299</v>
      </c>
      <c r="AA563">
        <v>2019</v>
      </c>
      <c r="AB563">
        <v>0.55728343587826401</v>
      </c>
      <c r="AC563">
        <v>0.03</v>
      </c>
      <c r="AD563">
        <v>3.83733992543362</v>
      </c>
    </row>
    <row r="564" spans="1:30" x14ac:dyDescent="0.3">
      <c r="A564">
        <v>2020</v>
      </c>
      <c r="B564">
        <v>141</v>
      </c>
      <c r="C564" t="s">
        <v>324</v>
      </c>
      <c r="D564">
        <v>68709.5</v>
      </c>
      <c r="E564">
        <v>7.4</v>
      </c>
      <c r="F564">
        <v>1664.6</v>
      </c>
      <c r="G564">
        <v>-8.5</v>
      </c>
      <c r="H564">
        <v>122945.9</v>
      </c>
      <c r="I564">
        <v>53533.1</v>
      </c>
      <c r="J564">
        <v>0</v>
      </c>
      <c r="K564">
        <v>2.4</v>
      </c>
      <c r="L564">
        <v>1.4</v>
      </c>
      <c r="M564">
        <v>3.1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403014</v>
      </c>
      <c r="W564" t="s">
        <v>44</v>
      </c>
      <c r="Y564" s="6" t="s">
        <v>325</v>
      </c>
      <c r="Z564">
        <v>53696.774193548401</v>
      </c>
      <c r="AA564">
        <v>2019</v>
      </c>
      <c r="AB564">
        <v>0.55885962850326898</v>
      </c>
      <c r="AC564">
        <v>3.1E-2</v>
      </c>
      <c r="AD564">
        <v>2.2896328847771201</v>
      </c>
    </row>
    <row r="565" spans="1:30" x14ac:dyDescent="0.3">
      <c r="A565">
        <v>2020</v>
      </c>
      <c r="B565">
        <v>56</v>
      </c>
      <c r="C565" t="s">
        <v>326</v>
      </c>
      <c r="D565">
        <v>112096</v>
      </c>
      <c r="E565">
        <v>1.8</v>
      </c>
      <c r="F565">
        <v>11745.3</v>
      </c>
      <c r="G565">
        <v>7.4</v>
      </c>
      <c r="H565">
        <v>255216.6</v>
      </c>
      <c r="I565">
        <v>143530.5</v>
      </c>
      <c r="J565">
        <v>0</v>
      </c>
      <c r="K565">
        <v>10.5</v>
      </c>
      <c r="L565">
        <v>4.5999999999999996</v>
      </c>
      <c r="M565">
        <v>8.1999999999999993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462046</v>
      </c>
      <c r="W565" t="s">
        <v>44</v>
      </c>
      <c r="Y565" t="s">
        <v>328</v>
      </c>
      <c r="Z565">
        <v>143235.36585365899</v>
      </c>
      <c r="AA565">
        <v>2019</v>
      </c>
      <c r="AB565">
        <v>0.43921907900975099</v>
      </c>
      <c r="AC565">
        <v>8.2000000000000003E-2</v>
      </c>
      <c r="AD565">
        <v>1.7817987790861001</v>
      </c>
    </row>
    <row r="566" spans="1:30" x14ac:dyDescent="0.3">
      <c r="A566">
        <v>2019</v>
      </c>
      <c r="B566">
        <v>375</v>
      </c>
      <c r="C566" t="s">
        <v>312</v>
      </c>
      <c r="D566">
        <v>33055.699999999997</v>
      </c>
      <c r="E566">
        <v>3.3</v>
      </c>
      <c r="F566">
        <v>350.3</v>
      </c>
      <c r="G566">
        <v>110</v>
      </c>
      <c r="H566">
        <v>40323.199999999997</v>
      </c>
      <c r="I566">
        <v>6317.4</v>
      </c>
      <c r="J566">
        <v>0</v>
      </c>
      <c r="K566">
        <v>1.1000000000000001</v>
      </c>
      <c r="L566">
        <v>0.9</v>
      </c>
      <c r="M566">
        <v>5.5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135297</v>
      </c>
      <c r="W566" t="s">
        <v>90</v>
      </c>
      <c r="Y566" t="s">
        <v>313</v>
      </c>
      <c r="Z566">
        <v>6369.0909090909099</v>
      </c>
      <c r="AA566">
        <v>2018</v>
      </c>
      <c r="AB566">
        <v>0.81976876835171797</v>
      </c>
      <c r="AC566">
        <v>5.5E-2</v>
      </c>
      <c r="AD566">
        <v>6.3310762203825304</v>
      </c>
    </row>
    <row r="567" spans="1:30" x14ac:dyDescent="0.3">
      <c r="A567">
        <v>2019</v>
      </c>
      <c r="B567">
        <v>262</v>
      </c>
      <c r="C567" t="s">
        <v>322</v>
      </c>
      <c r="D567">
        <v>43974.400000000001</v>
      </c>
      <c r="E567">
        <v>8.1</v>
      </c>
      <c r="F567">
        <v>616.9</v>
      </c>
      <c r="G567">
        <v>879.1</v>
      </c>
      <c r="H567">
        <v>78908.5</v>
      </c>
      <c r="I567">
        <v>20412.2</v>
      </c>
      <c r="J567">
        <v>0</v>
      </c>
      <c r="K567">
        <v>1.4</v>
      </c>
      <c r="L567">
        <v>0.8</v>
      </c>
      <c r="M567">
        <v>3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246299</v>
      </c>
      <c r="W567" t="s">
        <v>44</v>
      </c>
      <c r="Y567" t="s">
        <v>323</v>
      </c>
      <c r="Z567">
        <v>20563.333333333299</v>
      </c>
      <c r="AA567">
        <v>2018</v>
      </c>
      <c r="AB567">
        <v>0.55728343587826401</v>
      </c>
      <c r="AC567">
        <v>0.03</v>
      </c>
      <c r="AD567">
        <v>3.83733992543362</v>
      </c>
    </row>
    <row r="568" spans="1:30" x14ac:dyDescent="0.3">
      <c r="A568">
        <v>2019</v>
      </c>
      <c r="B568">
        <v>141</v>
      </c>
      <c r="C568" t="s">
        <v>324</v>
      </c>
      <c r="D568">
        <v>68709.5</v>
      </c>
      <c r="E568">
        <v>7.4</v>
      </c>
      <c r="F568">
        <v>1664.6</v>
      </c>
      <c r="G568">
        <v>-8.5</v>
      </c>
      <c r="H568">
        <v>122945.9</v>
      </c>
      <c r="I568">
        <v>53533.1</v>
      </c>
      <c r="J568">
        <v>0</v>
      </c>
      <c r="K568">
        <v>2.4</v>
      </c>
      <c r="L568">
        <v>1.4</v>
      </c>
      <c r="M568">
        <v>3.1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403014</v>
      </c>
      <c r="W568" t="s">
        <v>44</v>
      </c>
      <c r="Y568" t="s">
        <v>325</v>
      </c>
      <c r="Z568">
        <v>53696.774193548401</v>
      </c>
      <c r="AA568">
        <v>2018</v>
      </c>
      <c r="AB568">
        <v>0.55885962850326898</v>
      </c>
      <c r="AC568">
        <v>3.1E-2</v>
      </c>
      <c r="AD568">
        <v>2.2896328847771201</v>
      </c>
    </row>
    <row r="569" spans="1:30" x14ac:dyDescent="0.3">
      <c r="A569">
        <v>2019</v>
      </c>
      <c r="B569">
        <v>56</v>
      </c>
      <c r="C569" t="s">
        <v>326</v>
      </c>
      <c r="D569">
        <v>112096</v>
      </c>
      <c r="E569">
        <v>1.8</v>
      </c>
      <c r="F569">
        <v>11745.3</v>
      </c>
      <c r="G569">
        <v>7.4</v>
      </c>
      <c r="H569">
        <v>255216.6</v>
      </c>
      <c r="I569">
        <v>143530.5</v>
      </c>
      <c r="J569">
        <v>0</v>
      </c>
      <c r="K569">
        <v>10.5</v>
      </c>
      <c r="L569">
        <v>4.5999999999999996</v>
      </c>
      <c r="M569">
        <v>8.1999999999999993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462046</v>
      </c>
      <c r="W569" t="s">
        <v>44</v>
      </c>
      <c r="Y569" t="s">
        <v>328</v>
      </c>
      <c r="Z569">
        <v>143235.36585365899</v>
      </c>
      <c r="AA569">
        <v>2018</v>
      </c>
      <c r="AB569">
        <v>0.43921907900975099</v>
      </c>
      <c r="AC569">
        <v>8.2000000000000003E-2</v>
      </c>
      <c r="AD569">
        <v>1.7817987790861001</v>
      </c>
    </row>
    <row r="570" spans="1:30" x14ac:dyDescent="0.3">
      <c r="A570">
        <v>2018</v>
      </c>
      <c r="B570">
        <v>375</v>
      </c>
      <c r="C570" t="s">
        <v>312</v>
      </c>
      <c r="D570">
        <v>33055.699999999997</v>
      </c>
      <c r="E570">
        <v>3.3</v>
      </c>
      <c r="F570">
        <v>350.3</v>
      </c>
      <c r="G570">
        <v>110</v>
      </c>
      <c r="H570">
        <v>40323.199999999997</v>
      </c>
      <c r="I570">
        <v>6317.4</v>
      </c>
      <c r="J570">
        <v>0</v>
      </c>
      <c r="K570">
        <v>1.1000000000000001</v>
      </c>
      <c r="L570">
        <v>0.9</v>
      </c>
      <c r="M570">
        <v>5.5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135297</v>
      </c>
      <c r="W570" t="s">
        <v>90</v>
      </c>
      <c r="Y570" t="s">
        <v>313</v>
      </c>
      <c r="Z570">
        <v>6369.0909090909099</v>
      </c>
      <c r="AA570">
        <v>2017</v>
      </c>
      <c r="AB570">
        <v>0.81976876835171797</v>
      </c>
      <c r="AC570">
        <v>5.5E-2</v>
      </c>
      <c r="AD570">
        <v>6.3310762203825304</v>
      </c>
    </row>
    <row r="571" spans="1:30" x14ac:dyDescent="0.3">
      <c r="A571">
        <v>2018</v>
      </c>
      <c r="B571">
        <v>262</v>
      </c>
      <c r="C571" t="s">
        <v>322</v>
      </c>
      <c r="D571">
        <v>43974.400000000001</v>
      </c>
      <c r="E571">
        <v>8.1</v>
      </c>
      <c r="F571">
        <v>616.9</v>
      </c>
      <c r="G571">
        <v>879.1</v>
      </c>
      <c r="H571">
        <v>78908.5</v>
      </c>
      <c r="I571">
        <v>20412.2</v>
      </c>
      <c r="J571">
        <v>0</v>
      </c>
      <c r="K571">
        <v>1.4</v>
      </c>
      <c r="L571">
        <v>0.8</v>
      </c>
      <c r="M571">
        <v>3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246299</v>
      </c>
      <c r="W571" t="s">
        <v>44</v>
      </c>
      <c r="Y571" t="s">
        <v>323</v>
      </c>
      <c r="Z571">
        <v>20563.333333333299</v>
      </c>
      <c r="AA571">
        <v>2017</v>
      </c>
      <c r="AB571">
        <v>0.55728343587826401</v>
      </c>
      <c r="AC571">
        <v>0.03</v>
      </c>
      <c r="AD571">
        <v>3.83733992543362</v>
      </c>
    </row>
    <row r="572" spans="1:30" x14ac:dyDescent="0.3">
      <c r="A572">
        <v>2018</v>
      </c>
      <c r="B572">
        <v>141</v>
      </c>
      <c r="C572" t="s">
        <v>324</v>
      </c>
      <c r="D572">
        <v>68709.5</v>
      </c>
      <c r="E572">
        <v>7.4</v>
      </c>
      <c r="F572">
        <v>1664.6</v>
      </c>
      <c r="G572">
        <v>-8.5</v>
      </c>
      <c r="H572">
        <v>122945.9</v>
      </c>
      <c r="I572">
        <v>53533.1</v>
      </c>
      <c r="J572">
        <v>0</v>
      </c>
      <c r="K572">
        <v>2.4</v>
      </c>
      <c r="L572">
        <v>1.4</v>
      </c>
      <c r="M572">
        <v>3.1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403014</v>
      </c>
      <c r="W572" t="s">
        <v>44</v>
      </c>
      <c r="Y572" t="s">
        <v>325</v>
      </c>
      <c r="Z572">
        <v>53696.774193548401</v>
      </c>
      <c r="AA572">
        <v>2017</v>
      </c>
      <c r="AB572">
        <v>0.55885962850326898</v>
      </c>
      <c r="AC572">
        <v>3.1E-2</v>
      </c>
      <c r="AD572">
        <v>2.2896328847771201</v>
      </c>
    </row>
    <row r="573" spans="1:30" x14ac:dyDescent="0.3">
      <c r="A573">
        <v>2018</v>
      </c>
      <c r="B573">
        <v>56</v>
      </c>
      <c r="C573" t="s">
        <v>326</v>
      </c>
      <c r="D573">
        <v>112096</v>
      </c>
      <c r="E573">
        <v>1.8</v>
      </c>
      <c r="F573">
        <v>11745.3</v>
      </c>
      <c r="G573">
        <v>7.4</v>
      </c>
      <c r="H573">
        <v>255216.6</v>
      </c>
      <c r="I573">
        <v>143530.5</v>
      </c>
      <c r="J573">
        <v>0</v>
      </c>
      <c r="K573">
        <v>10.5</v>
      </c>
      <c r="L573">
        <v>4.5999999999999996</v>
      </c>
      <c r="M573">
        <v>8.1999999999999993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462046</v>
      </c>
      <c r="W573" t="s">
        <v>44</v>
      </c>
      <c r="Y573" t="s">
        <v>328</v>
      </c>
      <c r="Z573">
        <v>143235.36585365899</v>
      </c>
      <c r="AA573">
        <v>2017</v>
      </c>
      <c r="AB573">
        <v>0.43921907900975099</v>
      </c>
      <c r="AC573">
        <v>8.2000000000000003E-2</v>
      </c>
      <c r="AD573">
        <v>1.7817987790861001</v>
      </c>
    </row>
    <row r="574" spans="1:30" x14ac:dyDescent="0.3">
      <c r="A574">
        <v>2017</v>
      </c>
      <c r="B574">
        <v>362</v>
      </c>
      <c r="C574" t="s">
        <v>312</v>
      </c>
      <c r="D574">
        <v>30009.7</v>
      </c>
      <c r="E574">
        <v>-4.8</v>
      </c>
      <c r="F574">
        <v>321.89999999999998</v>
      </c>
      <c r="G574">
        <v>82.6</v>
      </c>
      <c r="H574">
        <v>36574.9</v>
      </c>
      <c r="I574">
        <v>4830.8</v>
      </c>
      <c r="J574">
        <v>0</v>
      </c>
      <c r="K574">
        <v>1.1000000000000001</v>
      </c>
      <c r="L574">
        <v>0.9</v>
      </c>
      <c r="M574">
        <v>6.7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144659</v>
      </c>
      <c r="W574" t="s">
        <v>90</v>
      </c>
      <c r="Y574" t="s">
        <v>313</v>
      </c>
      <c r="Z574">
        <v>4804.4776119403004</v>
      </c>
      <c r="AA574">
        <v>2016</v>
      </c>
      <c r="AB574">
        <v>0.82049985099070699</v>
      </c>
      <c r="AC574">
        <v>6.7000000000000004E-2</v>
      </c>
      <c r="AD574">
        <v>7.6126694625660098</v>
      </c>
    </row>
    <row r="575" spans="1:30" x14ac:dyDescent="0.3">
      <c r="A575">
        <v>2017</v>
      </c>
      <c r="B575">
        <v>241</v>
      </c>
      <c r="C575" t="s">
        <v>322</v>
      </c>
      <c r="D575">
        <v>41273.9</v>
      </c>
      <c r="E575">
        <v>-6.4</v>
      </c>
      <c r="F575">
        <v>23.2</v>
      </c>
      <c r="G575">
        <v>-95.8</v>
      </c>
      <c r="H575">
        <v>88626.1</v>
      </c>
      <c r="I575">
        <v>11152.3</v>
      </c>
      <c r="J575">
        <v>0</v>
      </c>
      <c r="K575">
        <v>0.1</v>
      </c>
      <c r="L575">
        <v>0</v>
      </c>
      <c r="M575">
        <v>0.2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253724</v>
      </c>
      <c r="W575" t="s">
        <v>44</v>
      </c>
      <c r="Y575" t="s">
        <v>323</v>
      </c>
      <c r="Z575">
        <v>11600</v>
      </c>
      <c r="AA575">
        <v>2016</v>
      </c>
      <c r="AB575">
        <v>0.46570818302960398</v>
      </c>
      <c r="AC575">
        <v>2E-3</v>
      </c>
      <c r="AD575">
        <v>7.6401810344827599</v>
      </c>
    </row>
    <row r="576" spans="1:30" x14ac:dyDescent="0.3">
      <c r="A576">
        <v>2017</v>
      </c>
      <c r="B576">
        <v>133</v>
      </c>
      <c r="C576" t="s">
        <v>324</v>
      </c>
      <c r="D576">
        <v>62387</v>
      </c>
      <c r="E576">
        <v>1</v>
      </c>
      <c r="F576">
        <v>1764.6</v>
      </c>
      <c r="G576">
        <v>2.9</v>
      </c>
      <c r="H576">
        <v>115818.8</v>
      </c>
      <c r="I576">
        <v>50919.1</v>
      </c>
      <c r="J576">
        <v>0</v>
      </c>
      <c r="K576">
        <v>2.8</v>
      </c>
      <c r="L576">
        <v>1.5</v>
      </c>
      <c r="M576">
        <v>3.5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413536</v>
      </c>
      <c r="W576" t="s">
        <v>44</v>
      </c>
      <c r="Y576" t="s">
        <v>325</v>
      </c>
      <c r="Z576">
        <v>50417.142857142899</v>
      </c>
      <c r="AA576">
        <v>2016</v>
      </c>
      <c r="AB576">
        <v>0.53866039019571998</v>
      </c>
      <c r="AC576">
        <v>3.5000000000000003E-2</v>
      </c>
      <c r="AD576">
        <v>2.2972106993086299</v>
      </c>
    </row>
    <row r="577" spans="1:36" x14ac:dyDescent="0.3">
      <c r="A577">
        <v>2017</v>
      </c>
      <c r="B577">
        <v>47</v>
      </c>
      <c r="C577" t="s">
        <v>326</v>
      </c>
      <c r="D577">
        <v>107116.5</v>
      </c>
      <c r="E577">
        <v>0.3</v>
      </c>
      <c r="F577">
        <v>9614.2999999999993</v>
      </c>
      <c r="G577">
        <v>-5.2</v>
      </c>
      <c r="H577">
        <v>246445.6</v>
      </c>
      <c r="I577">
        <v>130459.2</v>
      </c>
      <c r="J577">
        <v>0</v>
      </c>
      <c r="K577">
        <v>9</v>
      </c>
      <c r="L577">
        <v>3.9</v>
      </c>
      <c r="M577">
        <v>7.4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463712</v>
      </c>
      <c r="W577" t="s">
        <v>44</v>
      </c>
      <c r="Y577" t="s">
        <v>328</v>
      </c>
      <c r="Z577">
        <v>129922.972972973</v>
      </c>
      <c r="AA577">
        <v>2016</v>
      </c>
      <c r="AB577">
        <v>0.43464561753182002</v>
      </c>
      <c r="AC577">
        <v>7.3999999999999996E-2</v>
      </c>
      <c r="AD577">
        <v>1.8968593033294201</v>
      </c>
    </row>
    <row r="578" spans="1:36" x14ac:dyDescent="0.3">
      <c r="A578">
        <v>2016</v>
      </c>
      <c r="B578">
        <v>329</v>
      </c>
      <c r="C578" t="s">
        <v>312</v>
      </c>
      <c r="D578">
        <v>31537</v>
      </c>
      <c r="E578">
        <v>-4.7</v>
      </c>
      <c r="F578">
        <v>176.3</v>
      </c>
      <c r="G578">
        <v>-22.9</v>
      </c>
      <c r="H578">
        <v>38158.300000000003</v>
      </c>
      <c r="I578">
        <v>4871.3999999999996</v>
      </c>
      <c r="J578">
        <v>0</v>
      </c>
      <c r="K578">
        <v>0.6</v>
      </c>
      <c r="L578">
        <v>0.5</v>
      </c>
      <c r="M578">
        <v>3.6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127875</v>
      </c>
      <c r="W578" t="s">
        <v>90</v>
      </c>
      <c r="Y578" t="s">
        <v>313</v>
      </c>
      <c r="Z578">
        <v>4897.2222222222199</v>
      </c>
      <c r="AA578">
        <v>2015</v>
      </c>
      <c r="AB578">
        <v>0.82647811878411803</v>
      </c>
      <c r="AC578">
        <v>3.5999999999999997E-2</v>
      </c>
      <c r="AD578">
        <v>7.7918252977878604</v>
      </c>
    </row>
    <row r="579" spans="1:36" x14ac:dyDescent="0.3">
      <c r="A579">
        <v>2016</v>
      </c>
      <c r="B579">
        <v>132</v>
      </c>
      <c r="C579" t="s">
        <v>324</v>
      </c>
      <c r="D579">
        <v>61795.8</v>
      </c>
      <c r="E579">
        <v>-0.6</v>
      </c>
      <c r="F579">
        <v>1715.7</v>
      </c>
      <c r="G579">
        <v>-15.8</v>
      </c>
      <c r="H579">
        <v>118993.8</v>
      </c>
      <c r="I579">
        <v>57901.5</v>
      </c>
      <c r="J579">
        <v>0</v>
      </c>
      <c r="K579">
        <v>2.8</v>
      </c>
      <c r="L579">
        <v>1.4</v>
      </c>
      <c r="M579">
        <v>3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417101</v>
      </c>
      <c r="W579" t="s">
        <v>44</v>
      </c>
      <c r="Y579" t="s">
        <v>325</v>
      </c>
      <c r="Z579">
        <v>57190</v>
      </c>
      <c r="AA579">
        <v>2015</v>
      </c>
      <c r="AB579">
        <v>0.51931949395682797</v>
      </c>
      <c r="AC579">
        <v>0.03</v>
      </c>
      <c r="AD579">
        <v>2.0806749431718798</v>
      </c>
    </row>
    <row r="580" spans="1:36" x14ac:dyDescent="0.3">
      <c r="A580">
        <v>2016</v>
      </c>
      <c r="B580">
        <v>45</v>
      </c>
      <c r="C580" t="s">
        <v>326</v>
      </c>
      <c r="D580">
        <v>106760.6</v>
      </c>
      <c r="E580">
        <v>-0.7</v>
      </c>
      <c r="F580">
        <v>10144.200000000001</v>
      </c>
      <c r="G580">
        <v>-2.9</v>
      </c>
      <c r="H580">
        <v>251113.4</v>
      </c>
      <c r="I580">
        <v>134371.1</v>
      </c>
      <c r="J580">
        <v>0</v>
      </c>
      <c r="K580">
        <v>9.5</v>
      </c>
      <c r="L580">
        <v>4</v>
      </c>
      <c r="M580">
        <v>7.5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436651</v>
      </c>
      <c r="W580" t="s">
        <v>44</v>
      </c>
      <c r="Y580" t="s">
        <v>328</v>
      </c>
      <c r="Z580">
        <v>135256</v>
      </c>
      <c r="AA580">
        <v>2015</v>
      </c>
      <c r="AB580">
        <v>0.42514895660685598</v>
      </c>
      <c r="AC580">
        <v>7.4999999999999997E-2</v>
      </c>
      <c r="AD580">
        <v>1.8565786360679</v>
      </c>
    </row>
    <row r="581" spans="1:36" x14ac:dyDescent="0.3">
      <c r="A581">
        <v>2014</v>
      </c>
      <c r="B581">
        <v>154</v>
      </c>
      <c r="C581" t="s">
        <v>324</v>
      </c>
      <c r="D581">
        <v>62046.8</v>
      </c>
      <c r="E581">
        <v>16.2</v>
      </c>
      <c r="F581">
        <v>1555.8</v>
      </c>
      <c r="G581">
        <v>45.9</v>
      </c>
      <c r="H581">
        <v>111323.3</v>
      </c>
      <c r="I581">
        <v>60093.7019</v>
      </c>
      <c r="J581">
        <v>0</v>
      </c>
      <c r="K581">
        <v>2.5019</v>
      </c>
      <c r="L581">
        <v>1.4018999999999999</v>
      </c>
      <c r="M581">
        <v>2.6019000000000001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414673</v>
      </c>
      <c r="W581" t="s">
        <v>44</v>
      </c>
      <c r="Y581" t="s">
        <v>325</v>
      </c>
      <c r="Z581">
        <v>59794.765363772603</v>
      </c>
      <c r="AA581">
        <v>2013</v>
      </c>
      <c r="AB581">
        <v>0.55735681568907902</v>
      </c>
      <c r="AC581">
        <v>2.5999999999999999E-2</v>
      </c>
      <c r="AD581">
        <v>1.8617566156961001</v>
      </c>
    </row>
    <row r="582" spans="1:36" x14ac:dyDescent="0.3">
      <c r="A582">
        <v>2014</v>
      </c>
      <c r="B582">
        <v>55</v>
      </c>
      <c r="C582" t="s">
        <v>326</v>
      </c>
      <c r="D582">
        <v>107647.3</v>
      </c>
      <c r="E582">
        <v>11.1</v>
      </c>
      <c r="F582">
        <v>9197.9</v>
      </c>
      <c r="G582">
        <v>-22.4</v>
      </c>
      <c r="H582">
        <v>232012.7</v>
      </c>
      <c r="I582">
        <v>130149.60189999999</v>
      </c>
      <c r="J582">
        <v>0</v>
      </c>
      <c r="K582">
        <v>8.5018999999999991</v>
      </c>
      <c r="L582">
        <v>4.0019</v>
      </c>
      <c r="M582">
        <v>7.1018999999999997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235688</v>
      </c>
      <c r="W582" t="s">
        <v>44</v>
      </c>
      <c r="Y582" t="s">
        <v>327</v>
      </c>
      <c r="Z582">
        <v>129513.22885425</v>
      </c>
      <c r="AA582">
        <v>2013</v>
      </c>
      <c r="AB582">
        <v>0.46397158431413499</v>
      </c>
      <c r="AC582">
        <v>7.0999999999999994E-2</v>
      </c>
      <c r="AD582">
        <v>1.7914208614248901</v>
      </c>
    </row>
    <row r="583" spans="1:36" x14ac:dyDescent="0.3">
      <c r="A583">
        <v>2013</v>
      </c>
      <c r="B583">
        <v>182</v>
      </c>
      <c r="C583" t="s">
        <v>324</v>
      </c>
      <c r="D583">
        <v>53378.6</v>
      </c>
      <c r="E583">
        <v>18.2</v>
      </c>
      <c r="F583">
        <v>1066.5</v>
      </c>
      <c r="G583">
        <v>91.5</v>
      </c>
      <c r="H583">
        <v>106848.9</v>
      </c>
      <c r="I583">
        <v>56985.5</v>
      </c>
      <c r="J583">
        <v>0</v>
      </c>
      <c r="K583">
        <v>2</v>
      </c>
      <c r="L583">
        <v>0.99819999999999998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488113</v>
      </c>
      <c r="W583" t="s">
        <v>44</v>
      </c>
      <c r="Y583" t="s">
        <v>325</v>
      </c>
      <c r="Z583" t="s">
        <v>329</v>
      </c>
      <c r="AA583">
        <v>2012</v>
      </c>
      <c r="AB583">
        <v>0.49957088935871102</v>
      </c>
      <c r="AC583">
        <v>0</v>
      </c>
      <c r="AD583">
        <v>0</v>
      </c>
    </row>
    <row r="584" spans="1:36" x14ac:dyDescent="0.3">
      <c r="A584">
        <v>2013</v>
      </c>
      <c r="B584">
        <v>71</v>
      </c>
      <c r="C584" t="s">
        <v>326</v>
      </c>
      <c r="D584">
        <v>96874.5</v>
      </c>
      <c r="E584">
        <v>10.7</v>
      </c>
      <c r="F584">
        <v>11850.6</v>
      </c>
      <c r="G584">
        <v>1.3</v>
      </c>
      <c r="H584">
        <v>204799.3</v>
      </c>
      <c r="I584">
        <v>118852.6</v>
      </c>
      <c r="J584">
        <v>0</v>
      </c>
      <c r="K584">
        <v>12.2</v>
      </c>
      <c r="L584">
        <v>5.7864000000000004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222431</v>
      </c>
      <c r="W584" t="s">
        <v>44</v>
      </c>
      <c r="Y584" t="s">
        <v>327</v>
      </c>
      <c r="Z584" t="s">
        <v>329</v>
      </c>
      <c r="AA584">
        <v>2012</v>
      </c>
      <c r="AB584">
        <v>0.47302163630442101</v>
      </c>
      <c r="AC584">
        <v>0</v>
      </c>
      <c r="AD584">
        <v>0</v>
      </c>
    </row>
    <row r="585" spans="1:36" x14ac:dyDescent="0.3">
      <c r="A585">
        <v>2012</v>
      </c>
      <c r="B585">
        <v>362</v>
      </c>
      <c r="C585" t="s">
        <v>312</v>
      </c>
      <c r="D585">
        <v>30009.7</v>
      </c>
      <c r="E585">
        <v>-4.8</v>
      </c>
      <c r="F585">
        <v>321.89999999999998</v>
      </c>
      <c r="G585">
        <v>82.6</v>
      </c>
      <c r="H585">
        <v>36574.9</v>
      </c>
      <c r="I585">
        <v>4830.8</v>
      </c>
      <c r="J585">
        <v>0</v>
      </c>
      <c r="K585">
        <v>1.1000000000000001</v>
      </c>
      <c r="L585">
        <v>0.9</v>
      </c>
      <c r="M585">
        <v>6.7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144659</v>
      </c>
      <c r="W585" t="s">
        <v>90</v>
      </c>
      <c r="Y585" t="s">
        <v>313</v>
      </c>
      <c r="Z585">
        <v>4804.4776119403004</v>
      </c>
      <c r="AA585">
        <v>2011</v>
      </c>
      <c r="AB585">
        <v>0.82049985099070699</v>
      </c>
      <c r="AC585">
        <v>6.7000000000000004E-2</v>
      </c>
      <c r="AD585">
        <v>7.6126694625660098</v>
      </c>
    </row>
    <row r="586" spans="1:36" x14ac:dyDescent="0.3">
      <c r="A586">
        <v>2012</v>
      </c>
      <c r="B586">
        <v>241</v>
      </c>
      <c r="C586" t="s">
        <v>322</v>
      </c>
      <c r="D586">
        <v>41273.9</v>
      </c>
      <c r="E586">
        <v>-6.4</v>
      </c>
      <c r="F586">
        <v>23.2</v>
      </c>
      <c r="G586">
        <v>-95.8</v>
      </c>
      <c r="H586">
        <v>88626.1</v>
      </c>
      <c r="I586">
        <v>11152.3</v>
      </c>
      <c r="J586">
        <v>0</v>
      </c>
      <c r="K586">
        <v>0.1</v>
      </c>
      <c r="L586">
        <v>0</v>
      </c>
      <c r="M586">
        <v>0.2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253724</v>
      </c>
      <c r="W586" t="s">
        <v>44</v>
      </c>
      <c r="Y586" t="s">
        <v>323</v>
      </c>
      <c r="Z586">
        <v>11600</v>
      </c>
      <c r="AA586">
        <v>2011</v>
      </c>
      <c r="AB586">
        <v>0.46570818302960398</v>
      </c>
      <c r="AC586">
        <v>2E-3</v>
      </c>
      <c r="AD586">
        <v>7.6401810344827599</v>
      </c>
    </row>
    <row r="587" spans="1:36" x14ac:dyDescent="0.3">
      <c r="A587">
        <v>2012</v>
      </c>
      <c r="B587">
        <v>133</v>
      </c>
      <c r="C587" t="s">
        <v>324</v>
      </c>
      <c r="D587">
        <v>62387</v>
      </c>
      <c r="E587">
        <v>1</v>
      </c>
      <c r="F587">
        <v>1764.6</v>
      </c>
      <c r="G587">
        <v>2.9</v>
      </c>
      <c r="H587">
        <v>115818.8</v>
      </c>
      <c r="I587">
        <v>50919.1</v>
      </c>
      <c r="J587">
        <v>0</v>
      </c>
      <c r="K587">
        <v>2.8</v>
      </c>
      <c r="L587">
        <v>1.5</v>
      </c>
      <c r="M587">
        <v>3.5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413536</v>
      </c>
      <c r="W587" t="s">
        <v>44</v>
      </c>
      <c r="Y587" t="s">
        <v>325</v>
      </c>
      <c r="Z587">
        <v>50417.142857142899</v>
      </c>
      <c r="AA587">
        <v>2011</v>
      </c>
      <c r="AB587">
        <v>0.53866039019571998</v>
      </c>
      <c r="AC587">
        <v>3.5000000000000003E-2</v>
      </c>
      <c r="AD587">
        <v>2.2972106993086299</v>
      </c>
    </row>
    <row r="588" spans="1:36" x14ac:dyDescent="0.3">
      <c r="A588">
        <v>2012</v>
      </c>
      <c r="B588">
        <v>47</v>
      </c>
      <c r="C588" t="s">
        <v>326</v>
      </c>
      <c r="D588">
        <v>107116.5</v>
      </c>
      <c r="E588">
        <v>0.3</v>
      </c>
      <c r="F588">
        <v>9614.2999999999993</v>
      </c>
      <c r="G588">
        <v>-5.2</v>
      </c>
      <c r="H588">
        <v>246445.6</v>
      </c>
      <c r="I588">
        <v>130459.2</v>
      </c>
      <c r="J588">
        <v>0</v>
      </c>
      <c r="K588">
        <v>9</v>
      </c>
      <c r="L588">
        <v>3.9</v>
      </c>
      <c r="M588">
        <v>7.4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463712</v>
      </c>
      <c r="W588" t="s">
        <v>44</v>
      </c>
      <c r="Y588" t="s">
        <v>327</v>
      </c>
      <c r="Z588">
        <v>129922.972972973</v>
      </c>
      <c r="AA588">
        <v>2011</v>
      </c>
      <c r="AB588">
        <v>0.43464561753182002</v>
      </c>
      <c r="AC588">
        <v>7.3999999999999996E-2</v>
      </c>
      <c r="AD588">
        <v>1.8968593033294201</v>
      </c>
    </row>
    <row r="589" spans="1:36" x14ac:dyDescent="0.3">
      <c r="A589" t="s">
        <v>0</v>
      </c>
      <c r="B589" t="s">
        <v>1</v>
      </c>
      <c r="C589" t="s">
        <v>2</v>
      </c>
      <c r="D589" t="s">
        <v>336</v>
      </c>
      <c r="E589" t="s">
        <v>337</v>
      </c>
      <c r="F589" t="s">
        <v>338</v>
      </c>
      <c r="G589" t="s">
        <v>3</v>
      </c>
      <c r="H589" t="s">
        <v>4</v>
      </c>
      <c r="I589" t="s">
        <v>5</v>
      </c>
      <c r="J589" t="s">
        <v>6</v>
      </c>
      <c r="K589" t="s">
        <v>7</v>
      </c>
      <c r="L589" t="s">
        <v>8</v>
      </c>
      <c r="M589" t="s">
        <v>9</v>
      </c>
      <c r="N589" t="s">
        <v>10</v>
      </c>
      <c r="O589" t="s">
        <v>11</v>
      </c>
      <c r="P589" t="s">
        <v>12</v>
      </c>
      <c r="Q589" t="s">
        <v>13</v>
      </c>
      <c r="R589" t="s">
        <v>14</v>
      </c>
      <c r="S589" t="s">
        <v>15</v>
      </c>
      <c r="T589" t="s">
        <v>16</v>
      </c>
      <c r="U589" t="s">
        <v>17</v>
      </c>
      <c r="V589" t="s">
        <v>18</v>
      </c>
      <c r="W589" t="s">
        <v>19</v>
      </c>
      <c r="X589" t="s">
        <v>20</v>
      </c>
      <c r="Y589" t="s">
        <v>21</v>
      </c>
      <c r="Z589" t="s">
        <v>339</v>
      </c>
      <c r="AA589" t="s">
        <v>340</v>
      </c>
      <c r="AB589" t="s">
        <v>341</v>
      </c>
      <c r="AC589" t="s">
        <v>342</v>
      </c>
      <c r="AD589" t="s">
        <v>22</v>
      </c>
      <c r="AE589" t="s">
        <v>23</v>
      </c>
      <c r="AF589" t="s">
        <v>24</v>
      </c>
      <c r="AG589" t="s">
        <v>25</v>
      </c>
      <c r="AH589" t="s">
        <v>26</v>
      </c>
      <c r="AI589" t="s">
        <v>27</v>
      </c>
      <c r="AJ589" t="s">
        <v>28</v>
      </c>
    </row>
    <row r="590" spans="1:36" x14ac:dyDescent="0.3">
      <c r="A590">
        <v>2017</v>
      </c>
      <c r="B590">
        <v>18</v>
      </c>
      <c r="C590" t="s">
        <v>343</v>
      </c>
      <c r="D590" t="s">
        <v>344</v>
      </c>
      <c r="E590" t="s">
        <v>345</v>
      </c>
      <c r="F590" t="s">
        <v>346</v>
      </c>
      <c r="G590">
        <v>166380</v>
      </c>
      <c r="H590">
        <v>9.1999999999999993</v>
      </c>
      <c r="I590">
        <v>9427</v>
      </c>
      <c r="J590">
        <v>-2.7</v>
      </c>
      <c r="K590">
        <v>221690</v>
      </c>
      <c r="L590">
        <v>43836</v>
      </c>
      <c r="M590">
        <v>52968</v>
      </c>
      <c r="N590">
        <v>5.7</v>
      </c>
      <c r="O590">
        <v>4.3</v>
      </c>
      <c r="P590">
        <v>21.5</v>
      </c>
      <c r="Q590">
        <v>6</v>
      </c>
      <c r="R590">
        <v>1.5</v>
      </c>
      <c r="S590">
        <v>5.5</v>
      </c>
      <c r="T590">
        <v>0</v>
      </c>
      <c r="U590">
        <v>7.4</v>
      </c>
      <c r="V590">
        <v>14.2</v>
      </c>
      <c r="W590">
        <v>0</v>
      </c>
      <c r="X590">
        <v>225000</v>
      </c>
      <c r="Y590" t="s">
        <v>347</v>
      </c>
      <c r="Z590" t="s">
        <v>348</v>
      </c>
      <c r="AA590" t="s">
        <v>346</v>
      </c>
      <c r="AB590">
        <v>48265</v>
      </c>
      <c r="AC590" t="s">
        <v>349</v>
      </c>
      <c r="AD590" t="s">
        <v>350</v>
      </c>
      <c r="AE590" t="s">
        <v>351</v>
      </c>
      <c r="AF590">
        <v>43846.511627906999</v>
      </c>
      <c r="AG590">
        <v>2016</v>
      </c>
      <c r="AH590">
        <v>0.75050746537958402</v>
      </c>
      <c r="AI590">
        <v>0.215</v>
      </c>
      <c r="AJ590">
        <v>5.0560464622891699</v>
      </c>
    </row>
    <row r="591" spans="1:36" x14ac:dyDescent="0.3">
      <c r="A591">
        <v>2016</v>
      </c>
      <c r="B591">
        <v>20</v>
      </c>
      <c r="C591" t="s">
        <v>343</v>
      </c>
      <c r="D591" t="s">
        <v>344</v>
      </c>
      <c r="E591" t="s">
        <v>345</v>
      </c>
      <c r="F591" t="s">
        <v>346</v>
      </c>
      <c r="G591">
        <v>152356</v>
      </c>
      <c r="H591">
        <v>-2.2999999999999998</v>
      </c>
      <c r="I591">
        <v>9687</v>
      </c>
      <c r="J591">
        <v>145.30000000000001</v>
      </c>
      <c r="K591">
        <v>194520</v>
      </c>
      <c r="L591">
        <v>39871</v>
      </c>
      <c r="M591">
        <v>48543.4</v>
      </c>
      <c r="N591">
        <v>6.4</v>
      </c>
      <c r="O591">
        <v>5</v>
      </c>
      <c r="P591">
        <v>24.3</v>
      </c>
      <c r="Q591">
        <v>5.91</v>
      </c>
      <c r="R591">
        <v>258.2</v>
      </c>
      <c r="S591">
        <v>15.4</v>
      </c>
      <c r="T591">
        <v>0</v>
      </c>
      <c r="U591">
        <v>1.4</v>
      </c>
      <c r="V591">
        <v>-0.1</v>
      </c>
      <c r="W591">
        <v>0</v>
      </c>
      <c r="X591">
        <v>215000</v>
      </c>
      <c r="Y591" t="s">
        <v>347</v>
      </c>
      <c r="Z591" t="s">
        <v>348</v>
      </c>
      <c r="AA591" t="s">
        <v>346</v>
      </c>
      <c r="AB591">
        <v>48265</v>
      </c>
      <c r="AC591" t="s">
        <v>349</v>
      </c>
      <c r="AD591" t="s">
        <v>350</v>
      </c>
      <c r="AE591" t="s">
        <v>351</v>
      </c>
      <c r="AF591">
        <v>39864.1975308642</v>
      </c>
      <c r="AG591">
        <v>2015</v>
      </c>
      <c r="AH591">
        <v>0.78324079786140199</v>
      </c>
      <c r="AI591">
        <v>0.24299999999999999</v>
      </c>
      <c r="AJ591">
        <v>4.8795664292350596</v>
      </c>
    </row>
    <row r="592" spans="1:36" x14ac:dyDescent="0.3">
      <c r="A592">
        <v>2015</v>
      </c>
      <c r="B592">
        <v>21</v>
      </c>
      <c r="C592" t="s">
        <v>343</v>
      </c>
      <c r="D592" t="s">
        <v>344</v>
      </c>
      <c r="E592" t="s">
        <v>352</v>
      </c>
      <c r="F592" t="s">
        <v>346</v>
      </c>
      <c r="G592">
        <v>155929</v>
      </c>
      <c r="H592">
        <v>0.3</v>
      </c>
      <c r="I592">
        <v>3949</v>
      </c>
      <c r="J592">
        <v>-26.1</v>
      </c>
      <c r="K592">
        <v>177677</v>
      </c>
      <c r="L592">
        <v>35457</v>
      </c>
      <c r="M592">
        <v>60388.7</v>
      </c>
      <c r="N592">
        <v>2.5325628972160401</v>
      </c>
      <c r="O592">
        <v>2.22257242074101</v>
      </c>
      <c r="P592">
        <v>11.1374340750769</v>
      </c>
      <c r="Q592">
        <v>1.65</v>
      </c>
      <c r="R592">
        <v>-30.7</v>
      </c>
      <c r="S592">
        <v>0</v>
      </c>
      <c r="T592">
        <v>0</v>
      </c>
      <c r="U592">
        <v>-11.6</v>
      </c>
      <c r="V592">
        <v>0</v>
      </c>
      <c r="W592">
        <v>0</v>
      </c>
      <c r="X592">
        <v>216000</v>
      </c>
      <c r="Y592" t="s">
        <v>347</v>
      </c>
      <c r="Z592" t="s">
        <v>353</v>
      </c>
      <c r="AA592" t="s">
        <v>354</v>
      </c>
      <c r="AB592">
        <v>48265</v>
      </c>
      <c r="AC592" t="s">
        <v>349</v>
      </c>
      <c r="AE592" t="s">
        <v>351</v>
      </c>
      <c r="AF592">
        <v>35457</v>
      </c>
      <c r="AG592">
        <v>2014</v>
      </c>
      <c r="AH592">
        <v>0.87759811343055105</v>
      </c>
      <c r="AI592">
        <v>0.1114</v>
      </c>
      <c r="AJ592">
        <v>5.0110556448656096</v>
      </c>
    </row>
    <row r="593" spans="1:36" x14ac:dyDescent="0.3">
      <c r="A593">
        <v>2014</v>
      </c>
      <c r="B593">
        <v>21</v>
      </c>
      <c r="C593" t="s">
        <v>343</v>
      </c>
      <c r="D593" t="s">
        <v>344</v>
      </c>
      <c r="E593" t="s">
        <v>345</v>
      </c>
      <c r="F593" t="s">
        <v>346</v>
      </c>
      <c r="G593">
        <v>155427</v>
      </c>
      <c r="H593">
        <v>2.1</v>
      </c>
      <c r="I593">
        <v>5346</v>
      </c>
      <c r="J593">
        <v>-13.6</v>
      </c>
      <c r="K593">
        <v>166344</v>
      </c>
      <c r="L593">
        <v>42607.001900000003</v>
      </c>
      <c r="M593">
        <v>54720.501900000003</v>
      </c>
      <c r="N593">
        <v>3.4018999999999999</v>
      </c>
      <c r="O593">
        <v>3.2019000000000002</v>
      </c>
      <c r="P593">
        <v>12.501899999999999</v>
      </c>
      <c r="Q593">
        <v>2.38</v>
      </c>
      <c r="R593">
        <v>-18.5001</v>
      </c>
      <c r="S593">
        <v>0</v>
      </c>
      <c r="T593">
        <v>0</v>
      </c>
      <c r="U593">
        <v>41.801900000000003</v>
      </c>
      <c r="V593">
        <v>0</v>
      </c>
      <c r="W593">
        <v>0</v>
      </c>
      <c r="X593">
        <v>219000</v>
      </c>
      <c r="Y593" t="s">
        <v>347</v>
      </c>
      <c r="Z593" t="s">
        <v>353</v>
      </c>
      <c r="AA593" t="s">
        <v>354</v>
      </c>
      <c r="AB593">
        <v>48265</v>
      </c>
      <c r="AC593" t="s">
        <v>349</v>
      </c>
      <c r="AD593" t="s">
        <v>355</v>
      </c>
      <c r="AE593" t="s">
        <v>351</v>
      </c>
      <c r="AF593">
        <v>42761.500251961697</v>
      </c>
      <c r="AG593">
        <v>2013</v>
      </c>
      <c r="AH593">
        <v>0.93437094214399097</v>
      </c>
      <c r="AI593">
        <v>0.125</v>
      </c>
      <c r="AJ593">
        <v>3.8900412525252501</v>
      </c>
    </row>
    <row r="594" spans="1:36" x14ac:dyDescent="0.3">
      <c r="A594">
        <v>2013</v>
      </c>
      <c r="B594">
        <v>22</v>
      </c>
      <c r="C594" t="s">
        <v>343</v>
      </c>
      <c r="D594" t="s">
        <v>344</v>
      </c>
      <c r="E594" t="s">
        <v>345</v>
      </c>
      <c r="F594" t="s">
        <v>346</v>
      </c>
      <c r="G594">
        <v>152256</v>
      </c>
      <c r="H594">
        <v>1.3</v>
      </c>
      <c r="I594">
        <v>6188</v>
      </c>
      <c r="J594">
        <v>-32.700000000000003</v>
      </c>
      <c r="K594">
        <v>149422</v>
      </c>
      <c r="L594">
        <v>36244</v>
      </c>
      <c r="M594">
        <v>38014.5</v>
      </c>
      <c r="N594">
        <v>4.0999999999999996</v>
      </c>
      <c r="O594">
        <v>4.1413000000000002</v>
      </c>
      <c r="P594">
        <v>17</v>
      </c>
      <c r="Q594">
        <v>2.92</v>
      </c>
      <c r="R594">
        <v>-36.200000000000003</v>
      </c>
      <c r="S594">
        <v>0</v>
      </c>
      <c r="T594">
        <v>0</v>
      </c>
      <c r="U594">
        <v>42.2</v>
      </c>
      <c r="V594">
        <v>0</v>
      </c>
      <c r="W594">
        <v>0</v>
      </c>
      <c r="X594">
        <v>213000</v>
      </c>
      <c r="Y594" t="s">
        <v>347</v>
      </c>
      <c r="Z594" t="s">
        <v>353</v>
      </c>
      <c r="AA594" t="s">
        <v>354</v>
      </c>
      <c r="AB594" t="s">
        <v>356</v>
      </c>
      <c r="AC594" t="s">
        <v>349</v>
      </c>
      <c r="AD594" t="s">
        <v>355</v>
      </c>
      <c r="AE594" t="s">
        <v>351</v>
      </c>
      <c r="AF594">
        <v>36400</v>
      </c>
      <c r="AG594">
        <v>2012</v>
      </c>
      <c r="AH594">
        <v>1.0189664172611801</v>
      </c>
      <c r="AI594">
        <v>0.17</v>
      </c>
      <c r="AJ594">
        <v>4.1050000000000004</v>
      </c>
    </row>
    <row r="595" spans="1:36" x14ac:dyDescent="0.3">
      <c r="A595">
        <v>2012</v>
      </c>
      <c r="B595">
        <v>18</v>
      </c>
      <c r="C595" t="s">
        <v>343</v>
      </c>
      <c r="D595" t="s">
        <v>344</v>
      </c>
      <c r="E595" t="s">
        <v>345</v>
      </c>
      <c r="F595" t="s">
        <v>346</v>
      </c>
      <c r="G595">
        <v>166380</v>
      </c>
      <c r="H595">
        <v>9.1999999999999993</v>
      </c>
      <c r="I595">
        <v>9427</v>
      </c>
      <c r="J595">
        <v>-2.7</v>
      </c>
      <c r="K595">
        <v>221690</v>
      </c>
      <c r="L595">
        <v>43836</v>
      </c>
      <c r="M595">
        <v>52968</v>
      </c>
      <c r="N595">
        <v>5.7</v>
      </c>
      <c r="O595">
        <v>4.3</v>
      </c>
      <c r="P595">
        <v>21.5</v>
      </c>
      <c r="Q595">
        <v>6</v>
      </c>
      <c r="R595">
        <v>1.5</v>
      </c>
      <c r="S595">
        <v>5.5</v>
      </c>
      <c r="T595">
        <v>0</v>
      </c>
      <c r="U595">
        <v>7.4</v>
      </c>
      <c r="V595">
        <v>14.2</v>
      </c>
      <c r="W595">
        <v>0</v>
      </c>
      <c r="X595">
        <v>225000</v>
      </c>
      <c r="Y595" t="s">
        <v>347</v>
      </c>
      <c r="Z595" t="s">
        <v>353</v>
      </c>
      <c r="AA595" t="s">
        <v>346</v>
      </c>
      <c r="AB595">
        <v>48265</v>
      </c>
      <c r="AC595" t="s">
        <v>349</v>
      </c>
      <c r="AD595" t="s">
        <v>355</v>
      </c>
      <c r="AE595" t="s">
        <v>351</v>
      </c>
      <c r="AF595">
        <v>43846.511627906999</v>
      </c>
      <c r="AG595">
        <v>2011</v>
      </c>
      <c r="AH595">
        <v>0.75050746537958402</v>
      </c>
      <c r="AI595">
        <v>0.215</v>
      </c>
      <c r="AJ595">
        <v>5.0560464622891699</v>
      </c>
    </row>
    <row r="596" spans="1:36" x14ac:dyDescent="0.3">
      <c r="A596">
        <v>2023</v>
      </c>
      <c r="B596">
        <v>152</v>
      </c>
      <c r="C596" t="s">
        <v>357</v>
      </c>
      <c r="D596" t="s">
        <v>344</v>
      </c>
      <c r="E596" t="s">
        <v>358</v>
      </c>
      <c r="F596" t="s">
        <v>359</v>
      </c>
      <c r="G596">
        <v>81462</v>
      </c>
      <c r="H596">
        <v>51.4</v>
      </c>
      <c r="I596">
        <v>12556</v>
      </c>
      <c r="J596">
        <v>127.5</v>
      </c>
      <c r="K596">
        <v>82338</v>
      </c>
      <c r="L596">
        <v>44704</v>
      </c>
      <c r="M596">
        <v>656424.69999999995</v>
      </c>
      <c r="N596">
        <v>15.4</v>
      </c>
      <c r="O596">
        <v>15.2</v>
      </c>
      <c r="P596">
        <v>28.1</v>
      </c>
      <c r="Q596">
        <v>3.62</v>
      </c>
      <c r="R596">
        <v>121.6</v>
      </c>
      <c r="S596">
        <v>0</v>
      </c>
      <c r="T596">
        <v>0</v>
      </c>
      <c r="U596">
        <v>-65</v>
      </c>
      <c r="V596">
        <v>42.8</v>
      </c>
      <c r="W596">
        <v>49.2</v>
      </c>
      <c r="X596">
        <v>127855</v>
      </c>
      <c r="Y596" t="s">
        <v>347</v>
      </c>
      <c r="Z596" t="s">
        <v>360</v>
      </c>
      <c r="AA596" t="s">
        <v>359</v>
      </c>
      <c r="AB596">
        <v>78725</v>
      </c>
      <c r="AC596" t="s">
        <v>361</v>
      </c>
      <c r="AD596" t="s">
        <v>362</v>
      </c>
      <c r="AE596" t="s">
        <v>363</v>
      </c>
      <c r="AF596">
        <v>44683.274021352299</v>
      </c>
      <c r="AG596">
        <v>2022</v>
      </c>
      <c r="AH596">
        <v>0.98936092691102495</v>
      </c>
      <c r="AI596">
        <v>0.28100000000000003</v>
      </c>
      <c r="AJ596">
        <v>1.8427029308697001</v>
      </c>
    </row>
    <row r="597" spans="1:36" x14ac:dyDescent="0.3">
      <c r="A597">
        <v>2023</v>
      </c>
      <c r="B597">
        <v>46</v>
      </c>
      <c r="C597" t="s">
        <v>364</v>
      </c>
      <c r="D597" t="s">
        <v>344</v>
      </c>
      <c r="E597" t="s">
        <v>365</v>
      </c>
      <c r="F597" t="s">
        <v>346</v>
      </c>
      <c r="G597">
        <v>158057</v>
      </c>
      <c r="H597">
        <v>15.9</v>
      </c>
      <c r="I597">
        <v>-1981</v>
      </c>
      <c r="J597">
        <v>-111</v>
      </c>
      <c r="K597">
        <v>255884</v>
      </c>
      <c r="L597">
        <v>43242</v>
      </c>
      <c r="M597">
        <v>50399.5</v>
      </c>
      <c r="N597">
        <v>-1.3</v>
      </c>
      <c r="O597">
        <v>-0.8</v>
      </c>
      <c r="P597">
        <v>-4.5999999999999996</v>
      </c>
      <c r="Q597">
        <v>-0.49</v>
      </c>
      <c r="R597">
        <v>-111</v>
      </c>
      <c r="S597">
        <v>0</v>
      </c>
      <c r="T597">
        <v>0</v>
      </c>
      <c r="U597">
        <v>-42.1</v>
      </c>
      <c r="V597">
        <v>2.5</v>
      </c>
      <c r="W597">
        <v>3.1</v>
      </c>
      <c r="X597">
        <v>173000</v>
      </c>
      <c r="Y597" t="s">
        <v>347</v>
      </c>
      <c r="Z597" t="s">
        <v>366</v>
      </c>
      <c r="AA597" t="s">
        <v>346</v>
      </c>
      <c r="AB597">
        <v>48126</v>
      </c>
      <c r="AC597" t="s">
        <v>367</v>
      </c>
      <c r="AD597" t="s">
        <v>368</v>
      </c>
      <c r="AE597" t="s">
        <v>369</v>
      </c>
      <c r="AF597">
        <v>43065.217391304403</v>
      </c>
      <c r="AG597">
        <v>2022</v>
      </c>
      <c r="AH597">
        <v>0.61769004705257102</v>
      </c>
      <c r="AI597">
        <v>-4.5999999999999999E-2</v>
      </c>
      <c r="AJ597">
        <v>5.9417788995456799</v>
      </c>
    </row>
    <row r="598" spans="1:36" x14ac:dyDescent="0.3">
      <c r="A598">
        <v>2022</v>
      </c>
      <c r="B598">
        <v>242</v>
      </c>
      <c r="C598" t="s">
        <v>357</v>
      </c>
      <c r="D598" t="s">
        <v>344</v>
      </c>
      <c r="E598" t="s">
        <v>358</v>
      </c>
      <c r="F598" t="s">
        <v>359</v>
      </c>
      <c r="G598">
        <v>53823</v>
      </c>
      <c r="H598">
        <v>70.7</v>
      </c>
      <c r="I598">
        <v>5519</v>
      </c>
      <c r="J598">
        <v>665.5</v>
      </c>
      <c r="K598">
        <v>62131</v>
      </c>
      <c r="L598">
        <v>30189</v>
      </c>
      <c r="M598">
        <v>1113707.8</v>
      </c>
      <c r="N598">
        <v>10.3</v>
      </c>
      <c r="O598">
        <v>8.9</v>
      </c>
      <c r="P598">
        <v>18.3</v>
      </c>
      <c r="Q598">
        <v>4.9000000000000004</v>
      </c>
      <c r="R598">
        <v>665.6</v>
      </c>
      <c r="S598">
        <v>0</v>
      </c>
      <c r="T598">
        <v>0</v>
      </c>
      <c r="U598">
        <v>49.8</v>
      </c>
      <c r="V598">
        <v>89.9</v>
      </c>
      <c r="W598">
        <v>68.5</v>
      </c>
      <c r="X598">
        <v>99290</v>
      </c>
      <c r="Y598" t="s">
        <v>347</v>
      </c>
      <c r="Z598" t="s">
        <v>370</v>
      </c>
      <c r="AA598" t="s">
        <v>359</v>
      </c>
      <c r="AB598">
        <v>78725</v>
      </c>
      <c r="AC598" t="s">
        <v>361</v>
      </c>
      <c r="AD598" t="s">
        <v>362</v>
      </c>
      <c r="AE598" t="s">
        <v>363</v>
      </c>
      <c r="AF598">
        <v>30158.469945355198</v>
      </c>
      <c r="AG598">
        <v>2021</v>
      </c>
      <c r="AH598">
        <v>0.86628253206933703</v>
      </c>
      <c r="AI598">
        <v>0.183</v>
      </c>
      <c r="AJ598">
        <v>2.06015093314006</v>
      </c>
    </row>
    <row r="599" spans="1:36" x14ac:dyDescent="0.3">
      <c r="A599">
        <v>2021</v>
      </c>
      <c r="B599">
        <v>47</v>
      </c>
      <c r="C599" t="s">
        <v>364</v>
      </c>
      <c r="D599" t="s">
        <v>344</v>
      </c>
      <c r="E599" t="s">
        <v>365</v>
      </c>
      <c r="F599" t="s">
        <v>346</v>
      </c>
      <c r="G599">
        <v>127144</v>
      </c>
      <c r="H599">
        <v>-18.399999999999999</v>
      </c>
      <c r="I599">
        <v>-1279</v>
      </c>
      <c r="J599">
        <v>-2821.3</v>
      </c>
      <c r="K599">
        <v>267261</v>
      </c>
      <c r="L599">
        <v>30690</v>
      </c>
      <c r="M599">
        <v>48739</v>
      </c>
      <c r="N599">
        <v>-1</v>
      </c>
      <c r="O599">
        <v>-0.5</v>
      </c>
      <c r="P599">
        <v>-4.2</v>
      </c>
      <c r="Q599">
        <v>-0.32</v>
      </c>
      <c r="R599">
        <v>-3300</v>
      </c>
      <c r="S599">
        <v>0</v>
      </c>
      <c r="T599">
        <v>0</v>
      </c>
      <c r="U599">
        <v>-3.5</v>
      </c>
      <c r="V599">
        <v>-3.8</v>
      </c>
      <c r="W599">
        <v>-2.5</v>
      </c>
      <c r="X599">
        <v>186000</v>
      </c>
      <c r="Y599" t="s">
        <v>347</v>
      </c>
      <c r="Z599" t="s">
        <v>366</v>
      </c>
      <c r="AA599" t="s">
        <v>346</v>
      </c>
      <c r="AB599">
        <v>48126</v>
      </c>
      <c r="AC599" t="s">
        <v>367</v>
      </c>
      <c r="AD599" t="s">
        <v>368</v>
      </c>
      <c r="AE599" t="s">
        <v>369</v>
      </c>
      <c r="AF599">
        <v>30452.380952381001</v>
      </c>
      <c r="AG599">
        <v>2020</v>
      </c>
      <c r="AH599">
        <v>0.47572971739236197</v>
      </c>
      <c r="AI599">
        <v>-4.2000000000000003E-2</v>
      </c>
      <c r="AJ599">
        <v>8.7763580922595796</v>
      </c>
    </row>
    <row r="600" spans="1:36" x14ac:dyDescent="0.3">
      <c r="A600">
        <v>2020</v>
      </c>
      <c r="B600">
        <v>30</v>
      </c>
      <c r="C600" t="s">
        <v>364</v>
      </c>
      <c r="D600" t="s">
        <v>344</v>
      </c>
      <c r="E600" t="s">
        <v>365</v>
      </c>
      <c r="F600" t="s">
        <v>346</v>
      </c>
      <c r="G600">
        <v>160338</v>
      </c>
      <c r="H600">
        <v>2.2999999999999998</v>
      </c>
      <c r="I600">
        <v>3677</v>
      </c>
      <c r="J600">
        <v>-51.6</v>
      </c>
      <c r="K600">
        <v>256540</v>
      </c>
      <c r="L600">
        <v>35932</v>
      </c>
      <c r="M600">
        <v>35028</v>
      </c>
      <c r="N600">
        <v>2.2999999999999998</v>
      </c>
      <c r="O600">
        <v>1.4</v>
      </c>
      <c r="P600">
        <v>10.199999999999999</v>
      </c>
      <c r="Q600">
        <v>0.92</v>
      </c>
      <c r="R600">
        <v>-51.6</v>
      </c>
      <c r="S600">
        <v>-12.2</v>
      </c>
      <c r="T600">
        <v>0</v>
      </c>
      <c r="U600">
        <v>-34.299999999999997</v>
      </c>
      <c r="V600">
        <v>-8.4</v>
      </c>
      <c r="W600">
        <v>16.3</v>
      </c>
      <c r="X600">
        <v>199000</v>
      </c>
      <c r="Y600" t="s">
        <v>347</v>
      </c>
      <c r="Z600" t="s">
        <v>366</v>
      </c>
      <c r="AA600" t="s">
        <v>346</v>
      </c>
      <c r="AB600">
        <v>48126</v>
      </c>
      <c r="AC600" t="s">
        <v>367</v>
      </c>
      <c r="AD600" t="s">
        <v>368</v>
      </c>
      <c r="AE600" t="s">
        <v>371</v>
      </c>
      <c r="AF600">
        <v>36049.019607843104</v>
      </c>
      <c r="AG600">
        <v>2019</v>
      </c>
      <c r="AH600">
        <v>0.62500194901379902</v>
      </c>
      <c r="AI600">
        <v>0.10199999999999999</v>
      </c>
      <c r="AJ600">
        <v>7.1164209953766697</v>
      </c>
    </row>
    <row r="601" spans="1:36" x14ac:dyDescent="0.3">
      <c r="A601">
        <v>2019</v>
      </c>
      <c r="B601">
        <v>30</v>
      </c>
      <c r="C601" t="s">
        <v>364</v>
      </c>
      <c r="D601" t="s">
        <v>344</v>
      </c>
      <c r="E601" t="s">
        <v>365</v>
      </c>
      <c r="F601" t="s">
        <v>346</v>
      </c>
      <c r="G601">
        <v>160338</v>
      </c>
      <c r="H601">
        <v>2.2999999999999998</v>
      </c>
      <c r="I601">
        <v>3677</v>
      </c>
      <c r="J601">
        <v>-51.6</v>
      </c>
      <c r="K601">
        <v>256540</v>
      </c>
      <c r="L601">
        <v>35932</v>
      </c>
      <c r="M601">
        <v>35028</v>
      </c>
      <c r="N601">
        <v>2.2999999999999998</v>
      </c>
      <c r="O601">
        <v>1.4</v>
      </c>
      <c r="P601">
        <v>10.199999999999999</v>
      </c>
      <c r="Q601">
        <v>0.92</v>
      </c>
      <c r="R601">
        <v>-51.6</v>
      </c>
      <c r="S601">
        <v>-12.2</v>
      </c>
      <c r="T601">
        <v>0</v>
      </c>
      <c r="U601">
        <v>-34.299999999999997</v>
      </c>
      <c r="V601">
        <v>-8.4</v>
      </c>
      <c r="W601">
        <v>16.3</v>
      </c>
      <c r="X601">
        <v>199000</v>
      </c>
      <c r="Y601" t="s">
        <v>347</v>
      </c>
      <c r="Z601" t="s">
        <v>366</v>
      </c>
      <c r="AA601" t="s">
        <v>346</v>
      </c>
      <c r="AB601">
        <v>48126</v>
      </c>
      <c r="AC601" t="s">
        <v>367</v>
      </c>
      <c r="AD601" t="s">
        <v>368</v>
      </c>
      <c r="AE601" t="s">
        <v>371</v>
      </c>
      <c r="AF601">
        <v>36049.019607843104</v>
      </c>
      <c r="AG601">
        <v>2018</v>
      </c>
      <c r="AH601">
        <v>0.62500194901379902</v>
      </c>
      <c r="AI601">
        <v>0.10199999999999999</v>
      </c>
      <c r="AJ601">
        <v>7.1164209953766697</v>
      </c>
    </row>
    <row r="602" spans="1:36" x14ac:dyDescent="0.3">
      <c r="A602">
        <v>2018</v>
      </c>
      <c r="B602">
        <v>30</v>
      </c>
      <c r="C602" t="s">
        <v>364</v>
      </c>
      <c r="D602" t="s">
        <v>344</v>
      </c>
      <c r="E602" t="s">
        <v>365</v>
      </c>
      <c r="F602" t="s">
        <v>346</v>
      </c>
      <c r="G602">
        <v>160338</v>
      </c>
      <c r="H602">
        <v>2.2999999999999998</v>
      </c>
      <c r="I602">
        <v>3677</v>
      </c>
      <c r="J602">
        <v>-51.6</v>
      </c>
      <c r="K602">
        <v>256540</v>
      </c>
      <c r="L602">
        <v>35932</v>
      </c>
      <c r="M602">
        <v>35028</v>
      </c>
      <c r="N602">
        <v>2.2999999999999998</v>
      </c>
      <c r="O602">
        <v>1.4</v>
      </c>
      <c r="P602">
        <v>10.199999999999999</v>
      </c>
      <c r="Q602">
        <v>0.92</v>
      </c>
      <c r="R602">
        <v>-51.6</v>
      </c>
      <c r="S602">
        <v>-12.2</v>
      </c>
      <c r="T602">
        <v>0</v>
      </c>
      <c r="U602">
        <v>-34.299999999999997</v>
      </c>
      <c r="V602">
        <v>-8.4</v>
      </c>
      <c r="W602">
        <v>16.3</v>
      </c>
      <c r="X602">
        <v>199000</v>
      </c>
      <c r="Y602" t="s">
        <v>347</v>
      </c>
      <c r="Z602" t="s">
        <v>366</v>
      </c>
      <c r="AA602" t="s">
        <v>346</v>
      </c>
      <c r="AB602">
        <v>48126</v>
      </c>
      <c r="AC602" t="s">
        <v>367</v>
      </c>
      <c r="AD602" t="s">
        <v>368</v>
      </c>
      <c r="AE602" t="s">
        <v>371</v>
      </c>
      <c r="AF602">
        <v>36049.019607843104</v>
      </c>
      <c r="AG602">
        <v>2017</v>
      </c>
      <c r="AH602">
        <v>0.62500194901379902</v>
      </c>
      <c r="AI602">
        <v>0.10199999999999999</v>
      </c>
      <c r="AJ602">
        <v>7.1164209953766697</v>
      </c>
    </row>
    <row r="603" spans="1:36" x14ac:dyDescent="0.3">
      <c r="A603">
        <v>2017</v>
      </c>
      <c r="B603">
        <v>21</v>
      </c>
      <c r="C603" t="s">
        <v>364</v>
      </c>
      <c r="D603" t="s">
        <v>344</v>
      </c>
      <c r="E603" t="s">
        <v>365</v>
      </c>
      <c r="F603" t="s">
        <v>346</v>
      </c>
      <c r="G603">
        <v>151800</v>
      </c>
      <c r="H603">
        <v>1.5</v>
      </c>
      <c r="I603">
        <v>4596</v>
      </c>
      <c r="J603">
        <v>-37.700000000000003</v>
      </c>
      <c r="K603">
        <v>237951</v>
      </c>
      <c r="L603">
        <v>29170</v>
      </c>
      <c r="M603">
        <v>46349.3</v>
      </c>
      <c r="N603">
        <v>3</v>
      </c>
      <c r="O603">
        <v>1.9</v>
      </c>
      <c r="P603">
        <v>15.8</v>
      </c>
      <c r="Q603">
        <v>1.1499999999999999</v>
      </c>
      <c r="R603">
        <v>-37.5</v>
      </c>
      <c r="S603">
        <v>-25.3</v>
      </c>
      <c r="T603">
        <v>0</v>
      </c>
      <c r="U603">
        <v>-8.1</v>
      </c>
      <c r="V603">
        <v>6.2</v>
      </c>
      <c r="W603">
        <v>6.8</v>
      </c>
      <c r="X603">
        <v>201000</v>
      </c>
      <c r="Y603" t="s">
        <v>347</v>
      </c>
      <c r="Z603" t="s">
        <v>366</v>
      </c>
      <c r="AA603" t="s">
        <v>346</v>
      </c>
      <c r="AB603">
        <v>48126</v>
      </c>
      <c r="AC603" t="s">
        <v>367</v>
      </c>
      <c r="AD603" t="s">
        <v>368</v>
      </c>
      <c r="AE603" t="s">
        <v>369</v>
      </c>
      <c r="AF603">
        <v>29088.6075949367</v>
      </c>
      <c r="AG603">
        <v>2016</v>
      </c>
      <c r="AH603">
        <v>0.63794646797029597</v>
      </c>
      <c r="AI603">
        <v>0.158</v>
      </c>
      <c r="AJ603">
        <v>8.1802127937336806</v>
      </c>
    </row>
    <row r="604" spans="1:36" x14ac:dyDescent="0.3">
      <c r="A604">
        <v>2013</v>
      </c>
      <c r="B604">
        <v>28</v>
      </c>
      <c r="C604" t="s">
        <v>364</v>
      </c>
      <c r="D604" t="s">
        <v>344</v>
      </c>
      <c r="E604" t="s">
        <v>365</v>
      </c>
      <c r="F604" t="s">
        <v>346</v>
      </c>
      <c r="G604">
        <v>134252</v>
      </c>
      <c r="H604">
        <v>-1.5</v>
      </c>
      <c r="I604">
        <v>5665</v>
      </c>
      <c r="J604">
        <v>-72</v>
      </c>
      <c r="K604">
        <v>190554</v>
      </c>
      <c r="L604">
        <v>15947</v>
      </c>
      <c r="M604">
        <v>51577.599999999999</v>
      </c>
      <c r="N604">
        <v>4.2</v>
      </c>
      <c r="O604">
        <v>2.9729000000000001</v>
      </c>
      <c r="P604">
        <v>36</v>
      </c>
      <c r="Q604">
        <v>1.42</v>
      </c>
      <c r="R604">
        <v>-71.3</v>
      </c>
      <c r="S604">
        <v>0</v>
      </c>
      <c r="T604">
        <v>0</v>
      </c>
      <c r="U604">
        <v>22.6</v>
      </c>
      <c r="V604">
        <v>14.4</v>
      </c>
      <c r="W604">
        <v>5</v>
      </c>
      <c r="X604">
        <v>171000</v>
      </c>
      <c r="Y604" t="s">
        <v>347</v>
      </c>
      <c r="Z604" t="s">
        <v>372</v>
      </c>
      <c r="AA604" t="s">
        <v>354</v>
      </c>
      <c r="AB604" t="s">
        <v>373</v>
      </c>
      <c r="AC604" t="s">
        <v>367</v>
      </c>
      <c r="AD604" t="s">
        <v>374</v>
      </c>
      <c r="AE604" t="s">
        <v>369</v>
      </c>
      <c r="AF604">
        <v>15736.1111111111</v>
      </c>
      <c r="AG604">
        <v>2012</v>
      </c>
      <c r="AH604">
        <v>0.70453519737187398</v>
      </c>
      <c r="AI604">
        <v>0.36</v>
      </c>
      <c r="AJ604">
        <v>12.1093451015004</v>
      </c>
    </row>
    <row r="605" spans="1:36" x14ac:dyDescent="0.3">
      <c r="A605">
        <v>2012</v>
      </c>
      <c r="B605">
        <v>21</v>
      </c>
      <c r="C605" t="s">
        <v>364</v>
      </c>
      <c r="D605" t="s">
        <v>344</v>
      </c>
      <c r="E605" t="s">
        <v>365</v>
      </c>
      <c r="F605" t="s">
        <v>346</v>
      </c>
      <c r="G605">
        <v>151800</v>
      </c>
      <c r="H605">
        <v>1.5</v>
      </c>
      <c r="I605">
        <v>4596</v>
      </c>
      <c r="J605">
        <v>-37.700000000000003</v>
      </c>
      <c r="K605">
        <v>237951</v>
      </c>
      <c r="L605">
        <v>29170</v>
      </c>
      <c r="M605">
        <v>46349.3</v>
      </c>
      <c r="N605">
        <v>3</v>
      </c>
      <c r="O605">
        <v>1.9</v>
      </c>
      <c r="P605">
        <v>15.8</v>
      </c>
      <c r="Q605">
        <v>1.1499999999999999</v>
      </c>
      <c r="R605">
        <v>-37.5</v>
      </c>
      <c r="S605">
        <v>-25.3</v>
      </c>
      <c r="T605">
        <v>0</v>
      </c>
      <c r="U605">
        <v>-8.1</v>
      </c>
      <c r="V605">
        <v>6.2</v>
      </c>
      <c r="W605">
        <v>6.8</v>
      </c>
      <c r="X605">
        <v>201000</v>
      </c>
      <c r="Y605" t="s">
        <v>347</v>
      </c>
      <c r="Z605" t="s">
        <v>375</v>
      </c>
      <c r="AA605" t="s">
        <v>346</v>
      </c>
      <c r="AB605">
        <v>48126</v>
      </c>
      <c r="AC605" t="s">
        <v>367</v>
      </c>
      <c r="AD605" t="s">
        <v>374</v>
      </c>
      <c r="AE605" t="s">
        <v>369</v>
      </c>
      <c r="AF605">
        <v>29088.6075949367</v>
      </c>
      <c r="AG605">
        <v>2011</v>
      </c>
      <c r="AH605">
        <v>0.63794646797029597</v>
      </c>
      <c r="AI605">
        <v>0.158</v>
      </c>
      <c r="AJ605">
        <v>8.1802127937336806</v>
      </c>
    </row>
    <row r="606" spans="1:36" x14ac:dyDescent="0.3">
      <c r="A606">
        <v>2023</v>
      </c>
      <c r="B606">
        <v>50</v>
      </c>
      <c r="C606" t="s">
        <v>343</v>
      </c>
      <c r="D606" t="s">
        <v>344</v>
      </c>
      <c r="E606" t="s">
        <v>345</v>
      </c>
      <c r="F606" t="s">
        <v>346</v>
      </c>
      <c r="G606">
        <v>156735</v>
      </c>
      <c r="H606">
        <v>23.4</v>
      </c>
      <c r="I606">
        <v>9934</v>
      </c>
      <c r="J606">
        <v>-0.8</v>
      </c>
      <c r="K606">
        <v>264037</v>
      </c>
      <c r="L606">
        <v>67792</v>
      </c>
      <c r="M606">
        <v>51155.3</v>
      </c>
      <c r="N606">
        <v>6.3</v>
      </c>
      <c r="O606">
        <v>3.8</v>
      </c>
      <c r="P606">
        <v>14.7</v>
      </c>
      <c r="Q606">
        <v>6.13</v>
      </c>
      <c r="R606">
        <v>-8.5</v>
      </c>
      <c r="S606">
        <v>0</v>
      </c>
      <c r="T606">
        <v>7.7</v>
      </c>
      <c r="U606">
        <v>-42.4</v>
      </c>
      <c r="V606">
        <v>-1.8</v>
      </c>
      <c r="W606">
        <v>4.3</v>
      </c>
      <c r="X606">
        <v>167000</v>
      </c>
      <c r="Y606" t="s">
        <v>347</v>
      </c>
      <c r="Z606" t="s">
        <v>348</v>
      </c>
      <c r="AA606" t="s">
        <v>346</v>
      </c>
      <c r="AB606">
        <v>48265</v>
      </c>
      <c r="AC606" t="s">
        <v>376</v>
      </c>
      <c r="AD606" t="s">
        <v>350</v>
      </c>
      <c r="AE606" t="s">
        <v>351</v>
      </c>
      <c r="AF606">
        <v>67578.231292516997</v>
      </c>
      <c r="AG606">
        <v>2022</v>
      </c>
      <c r="AH606">
        <v>0.59360998647916796</v>
      </c>
      <c r="AI606">
        <v>0.14699999999999999</v>
      </c>
      <c r="AJ606">
        <v>3.9071309643648102</v>
      </c>
    </row>
    <row r="607" spans="1:36" x14ac:dyDescent="0.3">
      <c r="A607">
        <v>2022</v>
      </c>
      <c r="B607">
        <v>64</v>
      </c>
      <c r="C607" t="s">
        <v>343</v>
      </c>
      <c r="D607" t="s">
        <v>344</v>
      </c>
      <c r="E607" t="s">
        <v>345</v>
      </c>
      <c r="F607" t="s">
        <v>346</v>
      </c>
      <c r="G607">
        <v>127004</v>
      </c>
      <c r="H607">
        <v>3.7</v>
      </c>
      <c r="I607">
        <v>10019</v>
      </c>
      <c r="J607">
        <v>55.9</v>
      </c>
      <c r="K607">
        <v>244718</v>
      </c>
      <c r="L607">
        <v>59744</v>
      </c>
      <c r="M607">
        <v>63555.199999999997</v>
      </c>
      <c r="N607">
        <v>7.9</v>
      </c>
      <c r="O607">
        <v>4.0999999999999996</v>
      </c>
      <c r="P607">
        <v>16.8</v>
      </c>
      <c r="Q607">
        <v>6.7</v>
      </c>
      <c r="R607">
        <v>54.7</v>
      </c>
      <c r="S607">
        <v>2.2000000000000002</v>
      </c>
      <c r="T607">
        <v>3.9</v>
      </c>
      <c r="U607">
        <v>40.799999999999997</v>
      </c>
      <c r="V607">
        <v>14.2</v>
      </c>
      <c r="W607">
        <v>14.2</v>
      </c>
      <c r="X607">
        <v>157000</v>
      </c>
      <c r="Y607" t="s">
        <v>347</v>
      </c>
      <c r="Z607" t="s">
        <v>348</v>
      </c>
      <c r="AA607" t="s">
        <v>346</v>
      </c>
      <c r="AB607">
        <v>48265</v>
      </c>
      <c r="AC607" t="s">
        <v>376</v>
      </c>
      <c r="AD607" t="s">
        <v>350</v>
      </c>
      <c r="AE607" t="s">
        <v>351</v>
      </c>
      <c r="AF607">
        <v>59636.9047619048</v>
      </c>
      <c r="AG607">
        <v>2021</v>
      </c>
      <c r="AH607">
        <v>0.51898103122778005</v>
      </c>
      <c r="AI607">
        <v>0.16800000000000001</v>
      </c>
      <c r="AJ607">
        <v>4.1034658149515897</v>
      </c>
    </row>
    <row r="608" spans="1:36" x14ac:dyDescent="0.3">
      <c r="A608">
        <v>2021</v>
      </c>
      <c r="B608">
        <v>49</v>
      </c>
      <c r="C608" t="s">
        <v>343</v>
      </c>
      <c r="D608" t="s">
        <v>344</v>
      </c>
      <c r="E608" t="s">
        <v>345</v>
      </c>
      <c r="F608" t="s">
        <v>346</v>
      </c>
      <c r="G608">
        <v>122485</v>
      </c>
      <c r="H608">
        <v>-10.7</v>
      </c>
      <c r="I608">
        <v>6427</v>
      </c>
      <c r="J608">
        <v>-4.5</v>
      </c>
      <c r="K608">
        <v>235194</v>
      </c>
      <c r="L608">
        <v>45030</v>
      </c>
      <c r="M608">
        <v>82794.899999999994</v>
      </c>
      <c r="N608">
        <v>5.2</v>
      </c>
      <c r="O608">
        <v>2.7</v>
      </c>
      <c r="P608">
        <v>14.3</v>
      </c>
      <c r="Q608">
        <v>4.33</v>
      </c>
      <c r="R608">
        <v>-5.3</v>
      </c>
      <c r="S608">
        <v>-6</v>
      </c>
      <c r="T608">
        <v>4.0999999999999996</v>
      </c>
      <c r="U608">
        <v>16.2</v>
      </c>
      <c r="V608">
        <v>8.1999999999999993</v>
      </c>
      <c r="W608">
        <v>4</v>
      </c>
      <c r="X608">
        <v>155000</v>
      </c>
      <c r="Y608" t="s">
        <v>347</v>
      </c>
      <c r="Z608" t="s">
        <v>348</v>
      </c>
      <c r="AA608" t="s">
        <v>346</v>
      </c>
      <c r="AB608">
        <v>48265</v>
      </c>
      <c r="AC608" t="s">
        <v>376</v>
      </c>
      <c r="AD608" t="s">
        <v>350</v>
      </c>
      <c r="AE608" t="s">
        <v>351</v>
      </c>
      <c r="AF608">
        <v>44944.055944055901</v>
      </c>
      <c r="AG608">
        <v>2020</v>
      </c>
      <c r="AH608">
        <v>0.52078284309973899</v>
      </c>
      <c r="AI608">
        <v>0.14299999999999999</v>
      </c>
      <c r="AJ608">
        <v>5.2330390539909803</v>
      </c>
    </row>
    <row r="609" spans="1:36" x14ac:dyDescent="0.3">
      <c r="A609">
        <v>2016</v>
      </c>
      <c r="B609">
        <v>242</v>
      </c>
      <c r="C609" t="s">
        <v>377</v>
      </c>
      <c r="D609" t="s">
        <v>344</v>
      </c>
      <c r="E609" t="s">
        <v>378</v>
      </c>
      <c r="F609" t="s">
        <v>379</v>
      </c>
      <c r="G609">
        <v>40204</v>
      </c>
      <c r="H609">
        <v>-8.3000000000000007</v>
      </c>
      <c r="I609">
        <v>1563</v>
      </c>
      <c r="J609">
        <v>28.6</v>
      </c>
      <c r="K609">
        <v>29673</v>
      </c>
      <c r="L609">
        <v>10376</v>
      </c>
      <c r="M609">
        <v>25261.7</v>
      </c>
      <c r="N609">
        <v>3.9</v>
      </c>
      <c r="O609">
        <v>5.3</v>
      </c>
      <c r="P609">
        <v>15.1</v>
      </c>
      <c r="Q609">
        <v>2.36</v>
      </c>
      <c r="R609">
        <v>31.1</v>
      </c>
      <c r="S609">
        <v>1.5</v>
      </c>
      <c r="T609">
        <v>4.2</v>
      </c>
      <c r="U609">
        <v>-16.399999999999999</v>
      </c>
      <c r="V609">
        <v>2.8</v>
      </c>
      <c r="W609">
        <v>7</v>
      </c>
      <c r="X609">
        <v>139000</v>
      </c>
      <c r="Y609" t="s">
        <v>347</v>
      </c>
      <c r="Z609" t="s">
        <v>380</v>
      </c>
      <c r="AA609" t="s">
        <v>379</v>
      </c>
      <c r="AB609">
        <v>53209</v>
      </c>
      <c r="AC609" t="s">
        <v>381</v>
      </c>
      <c r="AD609" t="s">
        <v>382</v>
      </c>
      <c r="AE609" t="s">
        <v>383</v>
      </c>
      <c r="AF609">
        <v>10350.993377483401</v>
      </c>
      <c r="AG609">
        <v>2015</v>
      </c>
      <c r="AH609">
        <v>1.3549017625450701</v>
      </c>
      <c r="AI609">
        <v>0.151</v>
      </c>
      <c r="AJ609">
        <v>2.8666813819577701</v>
      </c>
    </row>
    <row r="610" spans="1:36" x14ac:dyDescent="0.3">
      <c r="A610">
        <v>2016</v>
      </c>
      <c r="B610">
        <v>21</v>
      </c>
      <c r="C610" t="s">
        <v>364</v>
      </c>
      <c r="D610" t="s">
        <v>344</v>
      </c>
      <c r="E610" t="s">
        <v>365</v>
      </c>
      <c r="F610" t="s">
        <v>346</v>
      </c>
      <c r="G610">
        <v>149558</v>
      </c>
      <c r="H610">
        <v>3.8</v>
      </c>
      <c r="I610">
        <v>7373</v>
      </c>
      <c r="J610">
        <v>131.30000000000001</v>
      </c>
      <c r="K610">
        <v>224925</v>
      </c>
      <c r="L610">
        <v>28642</v>
      </c>
      <c r="M610">
        <v>53757.9</v>
      </c>
      <c r="N610">
        <v>4.9000000000000004</v>
      </c>
      <c r="O610">
        <v>3.3</v>
      </c>
      <c r="P610">
        <v>25.7</v>
      </c>
      <c r="Q610">
        <v>1.84</v>
      </c>
      <c r="R610">
        <v>130</v>
      </c>
      <c r="S610">
        <v>2.1</v>
      </c>
      <c r="T610">
        <v>5.8</v>
      </c>
      <c r="U610">
        <v>-5.4</v>
      </c>
      <c r="V610">
        <v>-1.2</v>
      </c>
      <c r="W610">
        <v>7.8</v>
      </c>
      <c r="X610">
        <v>199000</v>
      </c>
      <c r="Y610" t="s">
        <v>347</v>
      </c>
      <c r="Z610" t="s">
        <v>366</v>
      </c>
      <c r="AA610" t="s">
        <v>346</v>
      </c>
      <c r="AB610">
        <v>48126</v>
      </c>
      <c r="AC610" t="s">
        <v>367</v>
      </c>
      <c r="AD610" t="s">
        <v>368</v>
      </c>
      <c r="AE610" t="s">
        <v>369</v>
      </c>
      <c r="AF610">
        <v>28688.715953307401</v>
      </c>
      <c r="AG610">
        <v>2015</v>
      </c>
      <c r="AH610">
        <v>0.66492386351005905</v>
      </c>
      <c r="AI610">
        <v>0.25700000000000001</v>
      </c>
      <c r="AJ610">
        <v>7.8401905601519104</v>
      </c>
    </row>
    <row r="611" spans="1:36" x14ac:dyDescent="0.3">
      <c r="A611">
        <v>2015</v>
      </c>
      <c r="B611">
        <v>245</v>
      </c>
      <c r="C611" t="s">
        <v>377</v>
      </c>
      <c r="D611" t="s">
        <v>344</v>
      </c>
      <c r="E611" t="s">
        <v>384</v>
      </c>
      <c r="F611" t="s">
        <v>379</v>
      </c>
      <c r="G611">
        <v>43855</v>
      </c>
      <c r="H611">
        <v>2.6</v>
      </c>
      <c r="I611">
        <v>1215</v>
      </c>
      <c r="J611">
        <v>3.1</v>
      </c>
      <c r="K611">
        <v>32804</v>
      </c>
      <c r="L611">
        <v>11311</v>
      </c>
      <c r="M611">
        <v>33153.9</v>
      </c>
      <c r="N611">
        <v>2.7704936723292701</v>
      </c>
      <c r="O611">
        <v>3.7038166077307602</v>
      </c>
      <c r="P611">
        <v>10.741755812925501</v>
      </c>
      <c r="Q611">
        <v>1.8</v>
      </c>
      <c r="R611">
        <v>5.3</v>
      </c>
      <c r="S611">
        <v>0</v>
      </c>
      <c r="T611">
        <v>2.4</v>
      </c>
      <c r="U611">
        <v>-4.0999999999999996</v>
      </c>
      <c r="V611">
        <v>14.4</v>
      </c>
      <c r="W611">
        <v>10.7</v>
      </c>
      <c r="X611">
        <v>168000</v>
      </c>
      <c r="Y611" t="s">
        <v>347</v>
      </c>
      <c r="Z611" t="s">
        <v>385</v>
      </c>
      <c r="AA611" t="s">
        <v>386</v>
      </c>
      <c r="AB611">
        <v>53209</v>
      </c>
      <c r="AC611" t="s">
        <v>381</v>
      </c>
      <c r="AE611" t="s">
        <v>383</v>
      </c>
      <c r="AF611">
        <v>11311</v>
      </c>
      <c r="AG611">
        <v>2014</v>
      </c>
      <c r="AH611">
        <v>1.3368796488233099</v>
      </c>
      <c r="AI611">
        <v>0.1074</v>
      </c>
      <c r="AJ611">
        <v>2.9001856599770099</v>
      </c>
    </row>
    <row r="612" spans="1:36" x14ac:dyDescent="0.3">
      <c r="A612">
        <v>2015</v>
      </c>
      <c r="B612">
        <v>27</v>
      </c>
      <c r="C612" t="s">
        <v>364</v>
      </c>
      <c r="D612" t="s">
        <v>344</v>
      </c>
      <c r="E612" t="s">
        <v>387</v>
      </c>
      <c r="F612" t="s">
        <v>346</v>
      </c>
      <c r="G612">
        <v>144077</v>
      </c>
      <c r="H612">
        <v>-1.9</v>
      </c>
      <c r="I612">
        <v>3187</v>
      </c>
      <c r="J612">
        <v>-55.5</v>
      </c>
      <c r="K612">
        <v>208527</v>
      </c>
      <c r="L612">
        <v>24805</v>
      </c>
      <c r="M612">
        <v>64154.3</v>
      </c>
      <c r="N612">
        <v>2.2120116326686401</v>
      </c>
      <c r="O612">
        <v>1.52833925582778</v>
      </c>
      <c r="P612">
        <v>12.8482160854666</v>
      </c>
      <c r="Q612">
        <v>0.8</v>
      </c>
      <c r="R612">
        <v>-54.5</v>
      </c>
      <c r="S612">
        <v>-1.4</v>
      </c>
      <c r="T612">
        <v>-7.4</v>
      </c>
      <c r="U612">
        <v>3.6</v>
      </c>
      <c r="V612">
        <v>10.8</v>
      </c>
      <c r="W612">
        <v>2.1</v>
      </c>
      <c r="X612">
        <v>187000</v>
      </c>
      <c r="Y612" t="s">
        <v>347</v>
      </c>
      <c r="Z612" t="s">
        <v>375</v>
      </c>
      <c r="AA612" t="s">
        <v>354</v>
      </c>
      <c r="AB612">
        <v>48126</v>
      </c>
      <c r="AC612" t="s">
        <v>367</v>
      </c>
      <c r="AE612" t="s">
        <v>369</v>
      </c>
      <c r="AF612">
        <v>24805</v>
      </c>
      <c r="AG612">
        <v>2014</v>
      </c>
      <c r="AH612">
        <v>0.69092731396893403</v>
      </c>
      <c r="AI612">
        <v>0.1285</v>
      </c>
      <c r="AJ612">
        <v>8.4066518847006595</v>
      </c>
    </row>
    <row r="613" spans="1:36" x14ac:dyDescent="0.3">
      <c r="A613">
        <v>2014</v>
      </c>
      <c r="B613">
        <v>254</v>
      </c>
      <c r="C613" t="s">
        <v>377</v>
      </c>
      <c r="D613" t="s">
        <v>344</v>
      </c>
      <c r="E613" t="s">
        <v>378</v>
      </c>
      <c r="F613" t="s">
        <v>379</v>
      </c>
      <c r="G613">
        <v>42730</v>
      </c>
      <c r="H613">
        <v>1.8</v>
      </c>
      <c r="I613">
        <v>1178</v>
      </c>
      <c r="J613">
        <v>-3.9</v>
      </c>
      <c r="K613">
        <v>31518</v>
      </c>
      <c r="L613">
        <v>12314.001899999999</v>
      </c>
      <c r="M613">
        <v>31421.801899999999</v>
      </c>
      <c r="N613">
        <v>2.8018999999999998</v>
      </c>
      <c r="O613">
        <v>3.7019000000000002</v>
      </c>
      <c r="P613">
        <v>9.6019000000000005</v>
      </c>
      <c r="Q613">
        <v>1.71</v>
      </c>
      <c r="R613">
        <v>-3.9001000000000001</v>
      </c>
      <c r="S613">
        <v>1.0019</v>
      </c>
      <c r="T613">
        <v>3.6019000000000001</v>
      </c>
      <c r="U613">
        <v>69.901899999999998</v>
      </c>
      <c r="V613">
        <v>25.8019</v>
      </c>
      <c r="W613">
        <v>12.3019</v>
      </c>
      <c r="X613">
        <v>170000</v>
      </c>
      <c r="Y613" t="s">
        <v>347</v>
      </c>
      <c r="Z613" t="s">
        <v>385</v>
      </c>
      <c r="AA613" t="s">
        <v>386</v>
      </c>
      <c r="AB613">
        <v>53209</v>
      </c>
      <c r="AC613" t="s">
        <v>381</v>
      </c>
      <c r="AD613" t="s">
        <v>388</v>
      </c>
      <c r="AE613" t="s">
        <v>383</v>
      </c>
      <c r="AF613">
        <v>12268.4052114686</v>
      </c>
      <c r="AG613">
        <v>2013</v>
      </c>
      <c r="AH613">
        <v>1.35573323180405</v>
      </c>
      <c r="AI613">
        <v>9.6000000000000002E-2</v>
      </c>
      <c r="AJ613">
        <v>2.5690380662139201</v>
      </c>
    </row>
    <row r="614" spans="1:36" x14ac:dyDescent="0.3">
      <c r="A614">
        <v>2014</v>
      </c>
      <c r="B614">
        <v>26</v>
      </c>
      <c r="C614" t="s">
        <v>364</v>
      </c>
      <c r="D614" t="s">
        <v>344</v>
      </c>
      <c r="E614" t="s">
        <v>365</v>
      </c>
      <c r="F614" t="s">
        <v>346</v>
      </c>
      <c r="G614">
        <v>146917</v>
      </c>
      <c r="H614">
        <v>9.4</v>
      </c>
      <c r="I614">
        <v>7155</v>
      </c>
      <c r="J614">
        <v>26.3</v>
      </c>
      <c r="K614">
        <v>202026</v>
      </c>
      <c r="L614">
        <v>26383.001899999999</v>
      </c>
      <c r="M614">
        <v>61523.601900000001</v>
      </c>
      <c r="N614">
        <v>4.9019000000000004</v>
      </c>
      <c r="O614">
        <v>3.5019</v>
      </c>
      <c r="P614">
        <v>27.101900000000001</v>
      </c>
      <c r="Q614">
        <v>1.76</v>
      </c>
      <c r="R614">
        <v>23.901900000000001</v>
      </c>
      <c r="S614">
        <v>0</v>
      </c>
      <c r="T614">
        <v>20.601900000000001</v>
      </c>
      <c r="U614">
        <v>22.3019</v>
      </c>
      <c r="V614">
        <v>47.801900000000003</v>
      </c>
      <c r="W614">
        <v>1.1019000000000001</v>
      </c>
      <c r="X614">
        <v>181000</v>
      </c>
      <c r="Y614" t="s">
        <v>347</v>
      </c>
      <c r="Z614" t="s">
        <v>375</v>
      </c>
      <c r="AA614" t="s">
        <v>354</v>
      </c>
      <c r="AB614">
        <v>48126</v>
      </c>
      <c r="AC614" t="s">
        <v>367</v>
      </c>
      <c r="AD614" t="s">
        <v>374</v>
      </c>
      <c r="AE614" t="s">
        <v>369</v>
      </c>
      <c r="AF614">
        <v>26400.363074175599</v>
      </c>
      <c r="AG614">
        <v>2013</v>
      </c>
      <c r="AH614">
        <v>0.72721827883539703</v>
      </c>
      <c r="AI614">
        <v>0.27100000000000002</v>
      </c>
      <c r="AJ614">
        <v>7.6523947580712797</v>
      </c>
    </row>
    <row r="615" spans="1:36" x14ac:dyDescent="0.3">
      <c r="A615">
        <v>2013</v>
      </c>
      <c r="B615">
        <v>251</v>
      </c>
      <c r="C615" t="s">
        <v>377</v>
      </c>
      <c r="D615" t="s">
        <v>344</v>
      </c>
      <c r="E615" t="s">
        <v>378</v>
      </c>
      <c r="F615" t="s">
        <v>379</v>
      </c>
      <c r="G615">
        <v>41955</v>
      </c>
      <c r="H615">
        <v>2.7</v>
      </c>
      <c r="I615">
        <v>1226</v>
      </c>
      <c r="J615">
        <v>-24.5</v>
      </c>
      <c r="K615">
        <v>30884</v>
      </c>
      <c r="L615">
        <v>11555</v>
      </c>
      <c r="M615">
        <v>23999.1</v>
      </c>
      <c r="N615">
        <v>2.9</v>
      </c>
      <c r="O615">
        <v>3.9697</v>
      </c>
      <c r="P615">
        <v>11</v>
      </c>
      <c r="Q615">
        <v>1.78</v>
      </c>
      <c r="R615">
        <v>-24.6</v>
      </c>
      <c r="S615">
        <v>-3.2</v>
      </c>
      <c r="T615">
        <v>5.3</v>
      </c>
      <c r="U615">
        <v>1.1000000000000001</v>
      </c>
      <c r="V615">
        <v>-1</v>
      </c>
      <c r="W615">
        <v>10.7</v>
      </c>
      <c r="X615">
        <v>170000</v>
      </c>
      <c r="Y615" t="s">
        <v>347</v>
      </c>
      <c r="Z615" t="s">
        <v>389</v>
      </c>
      <c r="AA615" t="s">
        <v>386</v>
      </c>
      <c r="AB615">
        <v>53201</v>
      </c>
      <c r="AC615" t="s">
        <v>381</v>
      </c>
      <c r="AD615" t="s">
        <v>388</v>
      </c>
      <c r="AE615" t="s">
        <v>383</v>
      </c>
      <c r="AF615">
        <v>11145.4545454545</v>
      </c>
      <c r="AG615">
        <v>2012</v>
      </c>
      <c r="AH615">
        <v>1.3584704053879</v>
      </c>
      <c r="AI615">
        <v>0.11</v>
      </c>
      <c r="AJ615">
        <v>2.7709951060358899</v>
      </c>
    </row>
    <row r="616" spans="1:36" x14ac:dyDescent="0.3">
      <c r="A616">
        <v>2022</v>
      </c>
      <c r="B616">
        <v>53</v>
      </c>
      <c r="C616" t="s">
        <v>364</v>
      </c>
      <c r="D616" t="s">
        <v>344</v>
      </c>
      <c r="E616" t="s">
        <v>365</v>
      </c>
      <c r="F616" t="s">
        <v>346</v>
      </c>
      <c r="G616">
        <v>136341</v>
      </c>
      <c r="H616">
        <v>7.2</v>
      </c>
      <c r="I616">
        <v>17937</v>
      </c>
      <c r="J616">
        <v>0</v>
      </c>
      <c r="K616">
        <v>257035</v>
      </c>
      <c r="L616">
        <v>48519</v>
      </c>
      <c r="M616">
        <v>67958.2</v>
      </c>
      <c r="N616">
        <v>13.2</v>
      </c>
      <c r="O616">
        <v>7</v>
      </c>
      <c r="P616">
        <v>37</v>
      </c>
      <c r="Q616">
        <v>4.45</v>
      </c>
      <c r="R616">
        <v>0</v>
      </c>
      <c r="S616">
        <v>31.1</v>
      </c>
      <c r="T616">
        <v>-1</v>
      </c>
      <c r="U616">
        <v>137.5</v>
      </c>
      <c r="V616">
        <v>16.3</v>
      </c>
      <c r="W616">
        <v>11.1</v>
      </c>
      <c r="X616">
        <v>183000</v>
      </c>
      <c r="Y616" t="s">
        <v>347</v>
      </c>
      <c r="Z616" t="s">
        <v>366</v>
      </c>
      <c r="AA616" t="s">
        <v>346</v>
      </c>
      <c r="AB616">
        <v>48126</v>
      </c>
      <c r="AC616" t="s">
        <v>367</v>
      </c>
      <c r="AD616" t="s">
        <v>368</v>
      </c>
      <c r="AE616" t="s">
        <v>369</v>
      </c>
      <c r="AF616">
        <v>48478.378378378402</v>
      </c>
      <c r="AG616">
        <v>2021</v>
      </c>
      <c r="AH616">
        <v>0.53043748905790999</v>
      </c>
      <c r="AI616">
        <v>0.37</v>
      </c>
      <c r="AJ616">
        <v>5.3020544126665596</v>
      </c>
    </row>
    <row r="617" spans="1:36" x14ac:dyDescent="0.3">
      <c r="A617">
        <v>2021</v>
      </c>
      <c r="B617">
        <v>392</v>
      </c>
      <c r="C617" t="s">
        <v>357</v>
      </c>
      <c r="D617" t="s">
        <v>344</v>
      </c>
      <c r="E617" t="s">
        <v>390</v>
      </c>
      <c r="F617" t="s">
        <v>391</v>
      </c>
      <c r="G617">
        <v>31536</v>
      </c>
      <c r="H617">
        <v>28.3</v>
      </c>
      <c r="I617">
        <v>721</v>
      </c>
      <c r="J617">
        <v>0</v>
      </c>
      <c r="K617">
        <v>52148</v>
      </c>
      <c r="L617">
        <v>22225</v>
      </c>
      <c r="M617">
        <v>641115</v>
      </c>
      <c r="N617">
        <v>2.2999999999999998</v>
      </c>
      <c r="O617">
        <v>1.4</v>
      </c>
      <c r="P617">
        <v>3.2</v>
      </c>
      <c r="Q617">
        <v>0.64</v>
      </c>
      <c r="R617">
        <v>0</v>
      </c>
      <c r="S617">
        <v>0</v>
      </c>
      <c r="T617">
        <v>0</v>
      </c>
      <c r="U617">
        <v>743.4</v>
      </c>
      <c r="V617">
        <v>71.2</v>
      </c>
      <c r="W617">
        <v>63</v>
      </c>
      <c r="X617">
        <v>70757</v>
      </c>
      <c r="Y617" t="s">
        <v>347</v>
      </c>
      <c r="Z617" t="s">
        <v>392</v>
      </c>
      <c r="AA617" t="s">
        <v>391</v>
      </c>
      <c r="AB617">
        <v>94304</v>
      </c>
      <c r="AC617" t="s">
        <v>393</v>
      </c>
      <c r="AD617" t="s">
        <v>362</v>
      </c>
      <c r="AE617" t="s">
        <v>363</v>
      </c>
      <c r="AF617">
        <v>22531.25</v>
      </c>
      <c r="AG617">
        <v>2020</v>
      </c>
      <c r="AH617">
        <v>0.60474035437600704</v>
      </c>
      <c r="AI617">
        <v>3.2000000000000001E-2</v>
      </c>
      <c r="AJ617">
        <v>2.3144743411927902</v>
      </c>
    </row>
    <row r="618" spans="1:36" x14ac:dyDescent="0.3">
      <c r="A618">
        <v>2020</v>
      </c>
      <c r="B618">
        <v>32</v>
      </c>
      <c r="C618" t="s">
        <v>343</v>
      </c>
      <c r="D618" t="s">
        <v>344</v>
      </c>
      <c r="E618" t="s">
        <v>345</v>
      </c>
      <c r="F618" t="s">
        <v>346</v>
      </c>
      <c r="G618">
        <v>147049</v>
      </c>
      <c r="H618">
        <v>-6.5</v>
      </c>
      <c r="I618">
        <v>8014</v>
      </c>
      <c r="J618">
        <v>0</v>
      </c>
      <c r="K618">
        <v>227339</v>
      </c>
      <c r="L618">
        <v>38860</v>
      </c>
      <c r="M618">
        <v>52291.7</v>
      </c>
      <c r="N618">
        <v>5.4</v>
      </c>
      <c r="O618">
        <v>3.5</v>
      </c>
      <c r="P618">
        <v>20.6</v>
      </c>
      <c r="Q618">
        <v>5.53</v>
      </c>
      <c r="R618">
        <v>0</v>
      </c>
      <c r="S618">
        <v>18.399999999999999</v>
      </c>
      <c r="T618">
        <v>0</v>
      </c>
      <c r="U618">
        <v>-14.9</v>
      </c>
      <c r="V618">
        <v>0.1</v>
      </c>
      <c r="W618">
        <v>0</v>
      </c>
      <c r="X618">
        <v>173000</v>
      </c>
      <c r="Y618" t="s">
        <v>347</v>
      </c>
      <c r="Z618" t="s">
        <v>348</v>
      </c>
      <c r="AA618" t="s">
        <v>346</v>
      </c>
      <c r="AB618">
        <v>48265</v>
      </c>
      <c r="AC618" t="s">
        <v>376</v>
      </c>
      <c r="AD618" t="s">
        <v>350</v>
      </c>
      <c r="AE618" t="s">
        <v>351</v>
      </c>
      <c r="AF618">
        <v>38902.912621359203</v>
      </c>
      <c r="AG618">
        <v>2019</v>
      </c>
      <c r="AH618">
        <v>0.64682698525110105</v>
      </c>
      <c r="AI618">
        <v>0.20599999999999999</v>
      </c>
      <c r="AJ618">
        <v>5.8437526828050901</v>
      </c>
    </row>
    <row r="619" spans="1:36" x14ac:dyDescent="0.3">
      <c r="A619">
        <v>2019</v>
      </c>
      <c r="B619">
        <v>32</v>
      </c>
      <c r="C619" t="s">
        <v>343</v>
      </c>
      <c r="D619" t="s">
        <v>344</v>
      </c>
      <c r="E619" t="s">
        <v>345</v>
      </c>
      <c r="F619" t="s">
        <v>346</v>
      </c>
      <c r="G619">
        <v>147049</v>
      </c>
      <c r="H619">
        <v>-6.5</v>
      </c>
      <c r="I619">
        <v>8014</v>
      </c>
      <c r="J619">
        <v>0</v>
      </c>
      <c r="K619">
        <v>227339</v>
      </c>
      <c r="L619">
        <v>38860</v>
      </c>
      <c r="M619">
        <v>52291.7</v>
      </c>
      <c r="N619">
        <v>5.4</v>
      </c>
      <c r="O619">
        <v>3.5</v>
      </c>
      <c r="P619">
        <v>20.6</v>
      </c>
      <c r="Q619">
        <v>5.53</v>
      </c>
      <c r="R619">
        <v>0</v>
      </c>
      <c r="S619">
        <v>18.399999999999999</v>
      </c>
      <c r="T619">
        <v>0</v>
      </c>
      <c r="U619">
        <v>-14.9</v>
      </c>
      <c r="V619">
        <v>0.1</v>
      </c>
      <c r="W619">
        <v>0</v>
      </c>
      <c r="X619">
        <v>173000</v>
      </c>
      <c r="Y619" t="s">
        <v>347</v>
      </c>
      <c r="Z619" t="s">
        <v>348</v>
      </c>
      <c r="AA619" t="s">
        <v>346</v>
      </c>
      <c r="AB619">
        <v>48265</v>
      </c>
      <c r="AC619" t="s">
        <v>376</v>
      </c>
      <c r="AD619" t="s">
        <v>350</v>
      </c>
      <c r="AE619" t="s">
        <v>351</v>
      </c>
      <c r="AF619">
        <v>38902.912621359203</v>
      </c>
      <c r="AG619">
        <v>2018</v>
      </c>
      <c r="AH619">
        <v>0.64682698525110105</v>
      </c>
      <c r="AI619">
        <v>0.20599999999999999</v>
      </c>
      <c r="AJ619">
        <v>5.8437526828050901</v>
      </c>
    </row>
    <row r="620" spans="1:36" x14ac:dyDescent="0.3">
      <c r="A620">
        <v>2018</v>
      </c>
      <c r="B620">
        <v>32</v>
      </c>
      <c r="C620" t="s">
        <v>343</v>
      </c>
      <c r="D620" t="s">
        <v>344</v>
      </c>
      <c r="E620" t="s">
        <v>345</v>
      </c>
      <c r="F620" t="s">
        <v>346</v>
      </c>
      <c r="G620">
        <v>147049</v>
      </c>
      <c r="H620">
        <v>-6.5</v>
      </c>
      <c r="I620">
        <v>8014</v>
      </c>
      <c r="J620">
        <v>0</v>
      </c>
      <c r="K620">
        <v>227339</v>
      </c>
      <c r="L620">
        <v>38860</v>
      </c>
      <c r="M620">
        <v>52291.7</v>
      </c>
      <c r="N620">
        <v>5.4</v>
      </c>
      <c r="O620">
        <v>3.5</v>
      </c>
      <c r="P620">
        <v>20.6</v>
      </c>
      <c r="Q620">
        <v>5.53</v>
      </c>
      <c r="R620">
        <v>0</v>
      </c>
      <c r="S620">
        <v>18.399999999999999</v>
      </c>
      <c r="T620">
        <v>0</v>
      </c>
      <c r="U620">
        <v>-14.9</v>
      </c>
      <c r="V620">
        <v>0.1</v>
      </c>
      <c r="W620">
        <v>0</v>
      </c>
      <c r="X620">
        <v>173000</v>
      </c>
      <c r="Y620" t="s">
        <v>347</v>
      </c>
      <c r="Z620" t="s">
        <v>348</v>
      </c>
      <c r="AA620" t="s">
        <v>346</v>
      </c>
      <c r="AB620">
        <v>48265</v>
      </c>
      <c r="AC620" t="s">
        <v>376</v>
      </c>
      <c r="AD620" t="s">
        <v>350</v>
      </c>
      <c r="AE620" t="s">
        <v>351</v>
      </c>
      <c r="AF620">
        <v>38902.912621359203</v>
      </c>
      <c r="AG620">
        <v>2017</v>
      </c>
      <c r="AH620">
        <v>0.64682698525110105</v>
      </c>
      <c r="AI620">
        <v>0.20599999999999999</v>
      </c>
      <c r="AJ620">
        <v>5.8437526828050901</v>
      </c>
    </row>
    <row r="621" spans="1:36" x14ac:dyDescent="0.3">
      <c r="A621">
        <v>2023</v>
      </c>
      <c r="B621">
        <v>264</v>
      </c>
      <c r="C621" t="s">
        <v>394</v>
      </c>
      <c r="D621" t="s">
        <v>395</v>
      </c>
      <c r="E621" t="s">
        <v>396</v>
      </c>
      <c r="F621" t="s">
        <v>395</v>
      </c>
      <c r="G621">
        <v>53581.9</v>
      </c>
      <c r="H621">
        <v>0</v>
      </c>
      <c r="I621">
        <v>2802.9</v>
      </c>
      <c r="J621">
        <v>0</v>
      </c>
      <c r="K621">
        <v>68254.899999999994</v>
      </c>
      <c r="L621">
        <v>21395.5</v>
      </c>
      <c r="M621">
        <v>0</v>
      </c>
      <c r="N621">
        <v>5.2</v>
      </c>
      <c r="O621">
        <v>4.0999999999999996</v>
      </c>
      <c r="P621">
        <v>13.1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102888</v>
      </c>
      <c r="Y621" t="s">
        <v>347</v>
      </c>
      <c r="Z621" t="s">
        <v>397</v>
      </c>
      <c r="AB621">
        <v>70771</v>
      </c>
      <c r="AC621" t="s">
        <v>398</v>
      </c>
      <c r="AD621" t="s">
        <v>399</v>
      </c>
      <c r="AE621" t="s">
        <v>400</v>
      </c>
      <c r="AF621">
        <v>21396.1832061069</v>
      </c>
      <c r="AG621">
        <v>2022</v>
      </c>
      <c r="AH621">
        <v>0.78502642301138803</v>
      </c>
      <c r="AI621">
        <v>0.13100000000000001</v>
      </c>
      <c r="AJ621">
        <v>3.1900502693638702</v>
      </c>
    </row>
    <row r="622" spans="1:36" x14ac:dyDescent="0.3">
      <c r="A622">
        <v>2022</v>
      </c>
      <c r="B622">
        <v>370</v>
      </c>
      <c r="C622" t="s">
        <v>401</v>
      </c>
      <c r="D622" t="s">
        <v>402</v>
      </c>
      <c r="E622" t="s">
        <v>403</v>
      </c>
      <c r="F622" t="s">
        <v>402</v>
      </c>
      <c r="G622">
        <v>37797.199999999997</v>
      </c>
      <c r="H622">
        <v>11.1</v>
      </c>
      <c r="I622">
        <v>-1536.2</v>
      </c>
      <c r="J622">
        <v>0</v>
      </c>
      <c r="K622">
        <v>43575.4</v>
      </c>
      <c r="L622">
        <v>5873.1</v>
      </c>
      <c r="M622">
        <v>0</v>
      </c>
      <c r="N622">
        <v>-4.0999999999999996</v>
      </c>
      <c r="O622">
        <v>-3.5</v>
      </c>
      <c r="P622">
        <v>-26.2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73608</v>
      </c>
      <c r="Y622" t="s">
        <v>347</v>
      </c>
      <c r="Z622" t="s">
        <v>404</v>
      </c>
      <c r="AB622">
        <v>400001</v>
      </c>
      <c r="AC622" t="s">
        <v>405</v>
      </c>
      <c r="AD622" t="s">
        <v>406</v>
      </c>
      <c r="AE622" t="s">
        <v>407</v>
      </c>
      <c r="AF622">
        <v>5863.3587786259504</v>
      </c>
      <c r="AG622">
        <v>2021</v>
      </c>
      <c r="AH622">
        <v>0.86739766014769804</v>
      </c>
      <c r="AI622">
        <v>-0.26200000000000001</v>
      </c>
      <c r="AJ622">
        <v>7.4318153886212697</v>
      </c>
    </row>
    <row r="623" spans="1:36" x14ac:dyDescent="0.3">
      <c r="A623">
        <v>2022</v>
      </c>
      <c r="B623">
        <v>237</v>
      </c>
      <c r="C623" t="s">
        <v>408</v>
      </c>
      <c r="D623" t="s">
        <v>409</v>
      </c>
      <c r="E623" t="s">
        <v>410</v>
      </c>
      <c r="F623" t="s">
        <v>409</v>
      </c>
      <c r="G623">
        <v>54639.199999999997</v>
      </c>
      <c r="H623">
        <v>10.3</v>
      </c>
      <c r="I623">
        <v>1049.9000000000001</v>
      </c>
      <c r="J623">
        <v>0</v>
      </c>
      <c r="K623">
        <v>129322.4</v>
      </c>
      <c r="L623">
        <v>31062.799999999999</v>
      </c>
      <c r="M623">
        <v>0</v>
      </c>
      <c r="N623">
        <v>1.9</v>
      </c>
      <c r="O623">
        <v>0.8</v>
      </c>
      <c r="P623">
        <v>3.4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156466</v>
      </c>
      <c r="Y623" t="s">
        <v>347</v>
      </c>
      <c r="Z623" t="s">
        <v>411</v>
      </c>
      <c r="AB623">
        <v>92100</v>
      </c>
      <c r="AC623" t="s">
        <v>412</v>
      </c>
      <c r="AD623" t="s">
        <v>413</v>
      </c>
      <c r="AE623" t="s">
        <v>414</v>
      </c>
      <c r="AF623">
        <v>30879.411764705899</v>
      </c>
      <c r="AG623">
        <v>2021</v>
      </c>
      <c r="AH623">
        <v>0.42250375804965001</v>
      </c>
      <c r="AI623">
        <v>3.4000000000000002E-2</v>
      </c>
      <c r="AJ623">
        <v>4.18798133155539</v>
      </c>
    </row>
    <row r="624" spans="1:36" x14ac:dyDescent="0.3">
      <c r="A624">
        <v>2022</v>
      </c>
      <c r="B624">
        <v>312</v>
      </c>
      <c r="C624" t="s">
        <v>415</v>
      </c>
      <c r="D624" t="s">
        <v>395</v>
      </c>
      <c r="E624" t="s">
        <v>416</v>
      </c>
      <c r="F624" t="s">
        <v>395</v>
      </c>
      <c r="G624">
        <v>45162.6</v>
      </c>
      <c r="H624">
        <v>5.0999999999999996</v>
      </c>
      <c r="I624">
        <v>1720.3</v>
      </c>
      <c r="J624">
        <v>0</v>
      </c>
      <c r="K624">
        <v>40751</v>
      </c>
      <c r="L624">
        <v>13860.8</v>
      </c>
      <c r="M624">
        <v>0</v>
      </c>
      <c r="N624">
        <v>3.8</v>
      </c>
      <c r="O624">
        <v>4.2</v>
      </c>
      <c r="P624">
        <v>12.4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190875</v>
      </c>
      <c r="Y624" t="s">
        <v>347</v>
      </c>
      <c r="Z624" t="s">
        <v>417</v>
      </c>
      <c r="AB624">
        <v>30165</v>
      </c>
      <c r="AC624" t="s">
        <v>418</v>
      </c>
      <c r="AD624" t="s">
        <v>419</v>
      </c>
      <c r="AE624" t="s">
        <v>420</v>
      </c>
      <c r="AF624">
        <v>13873.3870967742</v>
      </c>
      <c r="AG624">
        <v>2021</v>
      </c>
      <c r="AH624">
        <v>1.10825746607445</v>
      </c>
      <c r="AI624">
        <v>0.124</v>
      </c>
      <c r="AJ624">
        <v>2.9373504621287001</v>
      </c>
    </row>
    <row r="625" spans="1:36" x14ac:dyDescent="0.3">
      <c r="A625">
        <v>2022</v>
      </c>
      <c r="B625">
        <v>397</v>
      </c>
      <c r="C625" t="s">
        <v>421</v>
      </c>
      <c r="D625" t="s">
        <v>422</v>
      </c>
      <c r="E625" t="s">
        <v>423</v>
      </c>
      <c r="F625" t="s">
        <v>422</v>
      </c>
      <c r="G625">
        <v>35862</v>
      </c>
      <c r="H625">
        <v>9.8000000000000007</v>
      </c>
      <c r="I625">
        <v>1881</v>
      </c>
      <c r="J625">
        <v>0</v>
      </c>
      <c r="K625">
        <v>91489</v>
      </c>
      <c r="L625">
        <v>29781</v>
      </c>
      <c r="M625">
        <v>0</v>
      </c>
      <c r="N625">
        <v>5.2</v>
      </c>
      <c r="O625">
        <v>2.1</v>
      </c>
      <c r="P625">
        <v>6.3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400000</v>
      </c>
      <c r="Y625" t="s">
        <v>347</v>
      </c>
      <c r="Z625" t="s">
        <v>424</v>
      </c>
      <c r="AB625">
        <v>0</v>
      </c>
      <c r="AC625" t="s">
        <v>425</v>
      </c>
      <c r="AD625" t="s">
        <v>426</v>
      </c>
      <c r="AE625" t="s">
        <v>427</v>
      </c>
      <c r="AF625">
        <v>29857.142857142899</v>
      </c>
      <c r="AG625">
        <v>2021</v>
      </c>
      <c r="AH625">
        <v>0.391981549694499</v>
      </c>
      <c r="AI625">
        <v>6.3E-2</v>
      </c>
      <c r="AJ625">
        <v>3.0642248803827798</v>
      </c>
    </row>
    <row r="626" spans="1:36" x14ac:dyDescent="0.3">
      <c r="A626">
        <v>2022</v>
      </c>
      <c r="B626">
        <v>161</v>
      </c>
      <c r="C626" t="s">
        <v>428</v>
      </c>
      <c r="D626" t="s">
        <v>429</v>
      </c>
      <c r="E626" t="s">
        <v>430</v>
      </c>
      <c r="F626" t="s">
        <v>429</v>
      </c>
      <c r="G626">
        <v>74994.899999999994</v>
      </c>
      <c r="H626">
        <v>1.1000000000000001</v>
      </c>
      <c r="I626">
        <v>1918.7</v>
      </c>
      <c r="J626">
        <v>0</v>
      </c>
      <c r="K626">
        <v>134844.6</v>
      </c>
      <c r="L626">
        <v>42234.6</v>
      </c>
      <c r="M626">
        <v>0</v>
      </c>
      <c r="N626">
        <v>2.6</v>
      </c>
      <c r="O626">
        <v>1.4</v>
      </c>
      <c r="P626">
        <v>4.5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141983</v>
      </c>
      <c r="Y626" t="s">
        <v>347</v>
      </c>
      <c r="Z626" t="s">
        <v>431</v>
      </c>
      <c r="AB626" t="s">
        <v>432</v>
      </c>
      <c r="AC626" t="s">
        <v>433</v>
      </c>
      <c r="AD626" t="s">
        <v>434</v>
      </c>
      <c r="AE626" t="s">
        <v>435</v>
      </c>
      <c r="AF626">
        <v>42637.777777777803</v>
      </c>
      <c r="AG626">
        <v>2021</v>
      </c>
      <c r="AH626">
        <v>0.55615797740510198</v>
      </c>
      <c r="AI626">
        <v>4.4999999999999998E-2</v>
      </c>
      <c r="AJ626">
        <v>3.1625616302705</v>
      </c>
    </row>
    <row r="627" spans="1:36" x14ac:dyDescent="0.3">
      <c r="A627">
        <v>2022</v>
      </c>
      <c r="B627">
        <v>484</v>
      </c>
      <c r="C627" t="s">
        <v>436</v>
      </c>
      <c r="D627" t="s">
        <v>429</v>
      </c>
      <c r="E627" t="s">
        <v>437</v>
      </c>
      <c r="F627" t="s">
        <v>429</v>
      </c>
      <c r="G627">
        <v>29570.2</v>
      </c>
      <c r="H627">
        <v>5.4</v>
      </c>
      <c r="I627">
        <v>3589.5</v>
      </c>
      <c r="J627">
        <v>0</v>
      </c>
      <c r="K627">
        <v>39736.699999999997</v>
      </c>
      <c r="L627">
        <v>22842.7</v>
      </c>
      <c r="M627">
        <v>0</v>
      </c>
      <c r="N627">
        <v>12.1</v>
      </c>
      <c r="O627">
        <v>9</v>
      </c>
      <c r="P627">
        <v>15.7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135636</v>
      </c>
      <c r="Y627" t="s">
        <v>347</v>
      </c>
      <c r="Z627" t="s">
        <v>438</v>
      </c>
      <c r="AB627" t="s">
        <v>439</v>
      </c>
      <c r="AC627" t="s">
        <v>440</v>
      </c>
      <c r="AD627" t="s">
        <v>441</v>
      </c>
      <c r="AE627" t="s">
        <v>442</v>
      </c>
      <c r="AF627">
        <v>22863.0573248408</v>
      </c>
      <c r="AG627">
        <v>2021</v>
      </c>
      <c r="AH627">
        <v>0.74415338968761902</v>
      </c>
      <c r="AI627">
        <v>0.157</v>
      </c>
      <c r="AJ627">
        <v>1.73803089566792</v>
      </c>
    </row>
    <row r="628" spans="1:36" x14ac:dyDescent="0.3">
      <c r="A628">
        <v>2021</v>
      </c>
      <c r="B628">
        <v>357</v>
      </c>
      <c r="C628" t="s">
        <v>401</v>
      </c>
      <c r="D628" t="s">
        <v>402</v>
      </c>
      <c r="E628" t="s">
        <v>403</v>
      </c>
      <c r="F628" t="s">
        <v>402</v>
      </c>
      <c r="G628">
        <v>34012.800000000003</v>
      </c>
      <c r="H628">
        <v>-8.6999999999999993</v>
      </c>
      <c r="I628">
        <v>-1812.4</v>
      </c>
      <c r="J628">
        <v>0</v>
      </c>
      <c r="K628">
        <v>46915.5</v>
      </c>
      <c r="L628">
        <v>7553.9</v>
      </c>
      <c r="M628">
        <v>0</v>
      </c>
      <c r="N628">
        <v>-5.3</v>
      </c>
      <c r="O628">
        <v>-3.9</v>
      </c>
      <c r="P628">
        <v>-24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75278</v>
      </c>
      <c r="Y628" t="s">
        <v>347</v>
      </c>
      <c r="Z628" t="s">
        <v>404</v>
      </c>
      <c r="AB628">
        <v>400001</v>
      </c>
      <c r="AC628" t="s">
        <v>405</v>
      </c>
      <c r="AD628" t="s">
        <v>406</v>
      </c>
      <c r="AE628" t="s">
        <v>407</v>
      </c>
      <c r="AF628">
        <v>7551.6666666666697</v>
      </c>
      <c r="AG628">
        <v>2020</v>
      </c>
      <c r="AH628">
        <v>0.72498001726508299</v>
      </c>
      <c r="AI628">
        <v>-0.24</v>
      </c>
      <c r="AJ628">
        <v>6.2126020745972204</v>
      </c>
    </row>
    <row r="629" spans="1:36" x14ac:dyDescent="0.3">
      <c r="A629">
        <v>2021</v>
      </c>
      <c r="B629">
        <v>272</v>
      </c>
      <c r="C629" t="s">
        <v>415</v>
      </c>
      <c r="D629" t="s">
        <v>395</v>
      </c>
      <c r="E629" t="s">
        <v>443</v>
      </c>
      <c r="F629" t="s">
        <v>395</v>
      </c>
      <c r="G629">
        <v>42982.7</v>
      </c>
      <c r="H629">
        <v>-13.7</v>
      </c>
      <c r="I629">
        <v>-1096</v>
      </c>
      <c r="J629">
        <v>0</v>
      </c>
      <c r="K629">
        <v>48509</v>
      </c>
      <c r="L629">
        <v>15006.7</v>
      </c>
      <c r="M629">
        <v>0</v>
      </c>
      <c r="N629">
        <v>-2.6</v>
      </c>
      <c r="O629">
        <v>-2.2999999999999998</v>
      </c>
      <c r="P629">
        <v>-7.3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236386</v>
      </c>
      <c r="Y629" t="s">
        <v>347</v>
      </c>
      <c r="Z629" t="s">
        <v>417</v>
      </c>
      <c r="AB629">
        <v>30165</v>
      </c>
      <c r="AC629" t="s">
        <v>418</v>
      </c>
      <c r="AD629" t="s">
        <v>419</v>
      </c>
      <c r="AE629" t="s">
        <v>420</v>
      </c>
      <c r="AF629">
        <v>15013.698630137</v>
      </c>
      <c r="AG629">
        <v>2020</v>
      </c>
      <c r="AH629">
        <v>0.88607681048877496</v>
      </c>
      <c r="AI629">
        <v>-7.2999999999999995E-2</v>
      </c>
      <c r="AJ629">
        <v>3.2309826642335802</v>
      </c>
    </row>
    <row r="630" spans="1:36" x14ac:dyDescent="0.3">
      <c r="A630">
        <v>2021</v>
      </c>
      <c r="B630">
        <v>219</v>
      </c>
      <c r="C630" t="s">
        <v>408</v>
      </c>
      <c r="D630" t="s">
        <v>409</v>
      </c>
      <c r="E630" t="s">
        <v>410</v>
      </c>
      <c r="F630" t="s">
        <v>409</v>
      </c>
      <c r="G630">
        <v>49536.4</v>
      </c>
      <c r="H630">
        <v>-20.3</v>
      </c>
      <c r="I630">
        <v>-9124.7000000000007</v>
      </c>
      <c r="J630">
        <v>0</v>
      </c>
      <c r="K630">
        <v>141638.9</v>
      </c>
      <c r="L630">
        <v>30316</v>
      </c>
      <c r="M630">
        <v>0</v>
      </c>
      <c r="N630">
        <v>-18.399999999999999</v>
      </c>
      <c r="O630">
        <v>-6.4</v>
      </c>
      <c r="P630">
        <v>-30.1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170158</v>
      </c>
      <c r="Y630" t="s">
        <v>347</v>
      </c>
      <c r="Z630" t="s">
        <v>444</v>
      </c>
      <c r="AB630">
        <v>92100</v>
      </c>
      <c r="AC630" t="s">
        <v>412</v>
      </c>
      <c r="AD630" t="s">
        <v>413</v>
      </c>
      <c r="AE630" t="s">
        <v>445</v>
      </c>
      <c r="AF630">
        <v>30314.617940199299</v>
      </c>
      <c r="AG630">
        <v>2020</v>
      </c>
      <c r="AH630">
        <v>0.34973725438421199</v>
      </c>
      <c r="AI630">
        <v>-0.30099999999999999</v>
      </c>
      <c r="AJ630">
        <v>4.6722970508619497</v>
      </c>
    </row>
    <row r="631" spans="1:36" x14ac:dyDescent="0.3">
      <c r="A631">
        <v>2021</v>
      </c>
      <c r="B631">
        <v>116</v>
      </c>
      <c r="C631" t="s">
        <v>428</v>
      </c>
      <c r="D631" t="s">
        <v>429</v>
      </c>
      <c r="E631" t="s">
        <v>430</v>
      </c>
      <c r="F631" t="s">
        <v>429</v>
      </c>
      <c r="G631">
        <v>74169.5</v>
      </c>
      <c r="H631">
        <v>-18.399999999999999</v>
      </c>
      <c r="I631">
        <v>-4232.7</v>
      </c>
      <c r="J631">
        <v>0</v>
      </c>
      <c r="K631">
        <v>148752.9</v>
      </c>
      <c r="L631">
        <v>44426.400000000001</v>
      </c>
      <c r="M631">
        <v>0</v>
      </c>
      <c r="N631">
        <v>-5.7</v>
      </c>
      <c r="O631">
        <v>-2.8</v>
      </c>
      <c r="P631">
        <v>-9.5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139507</v>
      </c>
      <c r="Y631" t="s">
        <v>347</v>
      </c>
      <c r="Z631" t="s">
        <v>431</v>
      </c>
      <c r="AB631" t="s">
        <v>432</v>
      </c>
      <c r="AC631" t="s">
        <v>433</v>
      </c>
      <c r="AD631" t="s">
        <v>434</v>
      </c>
      <c r="AE631" t="s">
        <v>435</v>
      </c>
      <c r="AF631">
        <v>44554.736842105303</v>
      </c>
      <c r="AG631">
        <v>2020</v>
      </c>
      <c r="AH631">
        <v>0.498608766619004</v>
      </c>
      <c r="AI631">
        <v>-9.5000000000000001E-2</v>
      </c>
      <c r="AJ631">
        <v>3.3386551137571798</v>
      </c>
    </row>
    <row r="632" spans="1:36" x14ac:dyDescent="0.3">
      <c r="A632">
        <v>2017</v>
      </c>
      <c r="B632">
        <v>6</v>
      </c>
      <c r="C632" t="s">
        <v>446</v>
      </c>
      <c r="D632" t="s">
        <v>395</v>
      </c>
      <c r="E632" t="s">
        <v>447</v>
      </c>
      <c r="F632" t="s">
        <v>395</v>
      </c>
      <c r="G632">
        <v>240263.8</v>
      </c>
      <c r="H632">
        <v>1.5</v>
      </c>
      <c r="I632">
        <v>5937.3</v>
      </c>
      <c r="J632">
        <v>0</v>
      </c>
      <c r="K632">
        <v>432115.6</v>
      </c>
      <c r="L632">
        <v>97752.6</v>
      </c>
      <c r="M632">
        <v>0</v>
      </c>
      <c r="N632">
        <v>2.5</v>
      </c>
      <c r="O632">
        <v>1.4</v>
      </c>
      <c r="P632">
        <v>6.1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626715</v>
      </c>
      <c r="Y632" t="s">
        <v>347</v>
      </c>
      <c r="Z632" t="s">
        <v>448</v>
      </c>
      <c r="AB632">
        <v>38440</v>
      </c>
      <c r="AC632" t="s">
        <v>449</v>
      </c>
      <c r="AD632" t="s">
        <v>450</v>
      </c>
      <c r="AE632" t="s">
        <v>451</v>
      </c>
      <c r="AF632">
        <v>97332.786885245907</v>
      </c>
      <c r="AG632">
        <v>2016</v>
      </c>
      <c r="AH632">
        <v>0.55601741756141199</v>
      </c>
      <c r="AI632">
        <v>6.0999999999999999E-2</v>
      </c>
      <c r="AJ632">
        <v>4.4395687602108698</v>
      </c>
    </row>
    <row r="633" spans="1:36" x14ac:dyDescent="0.3">
      <c r="A633">
        <v>2016</v>
      </c>
      <c r="B633">
        <v>140</v>
      </c>
      <c r="C633" t="s">
        <v>452</v>
      </c>
      <c r="D633" t="s">
        <v>409</v>
      </c>
      <c r="E633" t="s">
        <v>453</v>
      </c>
      <c r="F633" t="s">
        <v>409</v>
      </c>
      <c r="G633">
        <v>60650.8</v>
      </c>
      <c r="H633">
        <v>-14.7</v>
      </c>
      <c r="I633">
        <v>997.2</v>
      </c>
      <c r="J633">
        <v>0</v>
      </c>
      <c r="K633">
        <v>53343.3</v>
      </c>
      <c r="L633">
        <v>11464.8</v>
      </c>
      <c r="M633">
        <v>0</v>
      </c>
      <c r="N633">
        <v>1.6</v>
      </c>
      <c r="O633">
        <v>1.9</v>
      </c>
      <c r="P633">
        <v>8.6999999999999993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187347</v>
      </c>
      <c r="Y633" t="s">
        <v>347</v>
      </c>
      <c r="Z633" t="s">
        <v>454</v>
      </c>
      <c r="AB633">
        <v>75116</v>
      </c>
      <c r="AC633" t="s">
        <v>455</v>
      </c>
      <c r="AD633" t="s">
        <v>456</v>
      </c>
      <c r="AE633" t="s">
        <v>457</v>
      </c>
      <c r="AF633">
        <v>11462.068965517199</v>
      </c>
      <c r="AG633">
        <v>2015</v>
      </c>
      <c r="AH633">
        <v>1.1369900249890801</v>
      </c>
      <c r="AI633">
        <v>8.6999999999999994E-2</v>
      </c>
      <c r="AJ633">
        <v>4.6538980144404301</v>
      </c>
    </row>
    <row r="634" spans="1:36" x14ac:dyDescent="0.3">
      <c r="A634">
        <v>2014</v>
      </c>
      <c r="B634">
        <v>119</v>
      </c>
      <c r="C634" t="s">
        <v>452</v>
      </c>
      <c r="D634" t="s">
        <v>409</v>
      </c>
      <c r="E634" t="s">
        <v>453</v>
      </c>
      <c r="F634" t="s">
        <v>409</v>
      </c>
      <c r="G634">
        <v>71807.8</v>
      </c>
      <c r="H634">
        <v>0.8</v>
      </c>
      <c r="I634">
        <v>-3076</v>
      </c>
      <c r="J634">
        <v>0</v>
      </c>
      <c r="K634">
        <v>82205.100000000006</v>
      </c>
      <c r="L634">
        <v>9482.0018999999993</v>
      </c>
      <c r="M634">
        <v>0</v>
      </c>
      <c r="N634">
        <v>-4.3000999999999996</v>
      </c>
      <c r="O634">
        <v>-3.7000999999999999</v>
      </c>
      <c r="P634">
        <v>-32.400100000000002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198885</v>
      </c>
      <c r="Y634" t="s">
        <v>347</v>
      </c>
      <c r="Z634" t="s">
        <v>458</v>
      </c>
      <c r="AB634">
        <v>75116</v>
      </c>
      <c r="AC634" t="s">
        <v>455</v>
      </c>
      <c r="AD634" t="s">
        <v>459</v>
      </c>
      <c r="AE634" t="s">
        <v>457</v>
      </c>
      <c r="AF634">
        <v>9493.7978586485806</v>
      </c>
      <c r="AG634">
        <v>2013</v>
      </c>
      <c r="AH634">
        <v>0.87352001274860103</v>
      </c>
      <c r="AI634">
        <v>-0.32400000000000001</v>
      </c>
      <c r="AJ634">
        <v>8.6588213930754208</v>
      </c>
    </row>
    <row r="635" spans="1:36" x14ac:dyDescent="0.3">
      <c r="A635">
        <v>2013</v>
      </c>
      <c r="B635">
        <v>440</v>
      </c>
      <c r="C635" t="s">
        <v>460</v>
      </c>
      <c r="D635" t="s">
        <v>429</v>
      </c>
      <c r="E635" t="s">
        <v>461</v>
      </c>
      <c r="F635" t="s">
        <v>429</v>
      </c>
      <c r="G635">
        <v>26556.3</v>
      </c>
      <c r="H635">
        <v>3.1</v>
      </c>
      <c r="I635">
        <v>413.1</v>
      </c>
      <c r="J635">
        <v>0</v>
      </c>
      <c r="K635">
        <v>21048.6</v>
      </c>
      <c r="L635">
        <v>4820.3999999999996</v>
      </c>
      <c r="M635">
        <v>0</v>
      </c>
      <c r="N635">
        <v>1.6</v>
      </c>
      <c r="O635">
        <v>1.9625999999999999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37745</v>
      </c>
      <c r="Y635" t="s">
        <v>347</v>
      </c>
      <c r="Z635" t="s">
        <v>462</v>
      </c>
      <c r="AB635" t="s">
        <v>463</v>
      </c>
      <c r="AC635" t="s">
        <v>464</v>
      </c>
      <c r="AD635" t="s">
        <v>465</v>
      </c>
      <c r="AE635" t="s">
        <v>466</v>
      </c>
      <c r="AF635" t="s">
        <v>329</v>
      </c>
      <c r="AG635">
        <v>2012</v>
      </c>
      <c r="AH635">
        <v>1.261665859012</v>
      </c>
      <c r="AI635">
        <v>0</v>
      </c>
      <c r="AJ635">
        <v>0</v>
      </c>
    </row>
    <row r="636" spans="1:36" x14ac:dyDescent="0.3">
      <c r="A636">
        <v>2012</v>
      </c>
      <c r="B636">
        <v>6</v>
      </c>
      <c r="C636" t="s">
        <v>446</v>
      </c>
      <c r="D636" t="s">
        <v>395</v>
      </c>
      <c r="E636" t="s">
        <v>447</v>
      </c>
      <c r="F636" t="s">
        <v>395</v>
      </c>
      <c r="G636">
        <v>240263.8</v>
      </c>
      <c r="H636">
        <v>1.5</v>
      </c>
      <c r="I636">
        <v>5937.3</v>
      </c>
      <c r="J636">
        <v>0</v>
      </c>
      <c r="K636">
        <v>432115.6</v>
      </c>
      <c r="L636">
        <v>97752.6</v>
      </c>
      <c r="M636">
        <v>0</v>
      </c>
      <c r="N636">
        <v>2.5</v>
      </c>
      <c r="O636">
        <v>1.4</v>
      </c>
      <c r="P636">
        <v>6.1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626715</v>
      </c>
      <c r="Y636" t="s">
        <v>347</v>
      </c>
      <c r="Z636" t="s">
        <v>467</v>
      </c>
      <c r="AB636">
        <v>38440</v>
      </c>
      <c r="AC636" t="s">
        <v>449</v>
      </c>
      <c r="AD636" t="s">
        <v>468</v>
      </c>
      <c r="AE636" t="s">
        <v>451</v>
      </c>
      <c r="AF636">
        <v>97332.786885245907</v>
      </c>
      <c r="AG636">
        <v>2011</v>
      </c>
      <c r="AH636">
        <v>0.55601741756141199</v>
      </c>
      <c r="AI636">
        <v>6.0999999999999999E-2</v>
      </c>
      <c r="AJ636">
        <v>4.4395687602108698</v>
      </c>
    </row>
    <row r="637" spans="1:36" x14ac:dyDescent="0.3">
      <c r="A637">
        <v>2023</v>
      </c>
      <c r="B637">
        <v>494</v>
      </c>
      <c r="C637" t="s">
        <v>436</v>
      </c>
      <c r="D637" t="s">
        <v>429</v>
      </c>
      <c r="E637" t="s">
        <v>437</v>
      </c>
      <c r="F637" t="s">
        <v>429</v>
      </c>
      <c r="G637">
        <v>31297.9</v>
      </c>
      <c r="H637">
        <v>5.8</v>
      </c>
      <c r="I637">
        <v>2287.3000000000002</v>
      </c>
      <c r="J637">
        <v>-36.299999999999997</v>
      </c>
      <c r="K637">
        <v>37612.300000000003</v>
      </c>
      <c r="L637">
        <v>22481.9</v>
      </c>
      <c r="M637">
        <v>0</v>
      </c>
      <c r="N637">
        <v>7.3</v>
      </c>
      <c r="O637">
        <v>6.1</v>
      </c>
      <c r="P637">
        <v>10.199999999999999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129260</v>
      </c>
      <c r="Y637" t="s">
        <v>347</v>
      </c>
      <c r="Z637" t="s">
        <v>438</v>
      </c>
      <c r="AB637" t="s">
        <v>439</v>
      </c>
      <c r="AC637" t="s">
        <v>440</v>
      </c>
      <c r="AD637" t="s">
        <v>441</v>
      </c>
      <c r="AE637" t="s">
        <v>442</v>
      </c>
      <c r="AF637">
        <v>22424.509803921599</v>
      </c>
      <c r="AG637">
        <v>2022</v>
      </c>
      <c r="AH637">
        <v>0.83211874838816002</v>
      </c>
      <c r="AI637">
        <v>0.10199999999999999</v>
      </c>
      <c r="AJ637">
        <v>1.6772852708433501</v>
      </c>
    </row>
    <row r="638" spans="1:36" x14ac:dyDescent="0.3">
      <c r="A638">
        <v>2023</v>
      </c>
      <c r="B638">
        <v>70</v>
      </c>
      <c r="C638" t="s">
        <v>469</v>
      </c>
      <c r="D638" t="s">
        <v>429</v>
      </c>
      <c r="E638" t="s">
        <v>437</v>
      </c>
      <c r="F638" t="s">
        <v>429</v>
      </c>
      <c r="G638">
        <v>124912.2</v>
      </c>
      <c r="H638">
        <v>-3.6</v>
      </c>
      <c r="I638">
        <v>4812.6000000000004</v>
      </c>
      <c r="J638">
        <v>-23.5</v>
      </c>
      <c r="K638">
        <v>185852.5</v>
      </c>
      <c r="L638">
        <v>84256.8</v>
      </c>
      <c r="M638">
        <v>0</v>
      </c>
      <c r="N638">
        <v>3.9</v>
      </c>
      <c r="O638">
        <v>2.6</v>
      </c>
      <c r="P638">
        <v>5.7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197039</v>
      </c>
      <c r="Y638" t="s">
        <v>347</v>
      </c>
      <c r="Z638" t="s">
        <v>470</v>
      </c>
      <c r="AB638" t="s">
        <v>471</v>
      </c>
      <c r="AC638" t="s">
        <v>472</v>
      </c>
      <c r="AD638" t="s">
        <v>473</v>
      </c>
      <c r="AE638" t="s">
        <v>474</v>
      </c>
      <c r="AF638">
        <v>84431.578947368398</v>
      </c>
      <c r="AG638">
        <v>2022</v>
      </c>
      <c r="AH638">
        <v>0.67210395340390905</v>
      </c>
      <c r="AI638">
        <v>5.7000000000000002E-2</v>
      </c>
      <c r="AJ638">
        <v>2.2012202343847398</v>
      </c>
    </row>
    <row r="639" spans="1:36" x14ac:dyDescent="0.3">
      <c r="A639">
        <v>2022</v>
      </c>
      <c r="B639">
        <v>61</v>
      </c>
      <c r="C639" t="s">
        <v>469</v>
      </c>
      <c r="D639" t="s">
        <v>429</v>
      </c>
      <c r="E639" t="s">
        <v>437</v>
      </c>
      <c r="F639" t="s">
        <v>429</v>
      </c>
      <c r="G639">
        <v>129546.9</v>
      </c>
      <c r="H639">
        <v>4.3</v>
      </c>
      <c r="I639">
        <v>6294.2</v>
      </c>
      <c r="J639">
        <v>1.5</v>
      </c>
      <c r="K639">
        <v>197456.2</v>
      </c>
      <c r="L639">
        <v>86260</v>
      </c>
      <c r="M639">
        <v>0</v>
      </c>
      <c r="N639">
        <v>4.9000000000000004</v>
      </c>
      <c r="O639">
        <v>3.2</v>
      </c>
      <c r="P639">
        <v>7.3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204035</v>
      </c>
      <c r="Y639" t="s">
        <v>347</v>
      </c>
      <c r="Z639" t="s">
        <v>470</v>
      </c>
      <c r="AB639" t="s">
        <v>471</v>
      </c>
      <c r="AC639" t="s">
        <v>472</v>
      </c>
      <c r="AD639" t="s">
        <v>473</v>
      </c>
      <c r="AE639" t="s">
        <v>474</v>
      </c>
      <c r="AF639">
        <v>86221.917808219194</v>
      </c>
      <c r="AG639">
        <v>2021</v>
      </c>
      <c r="AH639">
        <v>0.65607917097563895</v>
      </c>
      <c r="AI639">
        <v>7.2999999999999995E-2</v>
      </c>
      <c r="AJ639">
        <v>2.2900928791585899</v>
      </c>
    </row>
    <row r="640" spans="1:36" x14ac:dyDescent="0.3">
      <c r="A640">
        <v>2021</v>
      </c>
      <c r="B640">
        <v>459</v>
      </c>
      <c r="C640" t="s">
        <v>475</v>
      </c>
      <c r="D640" t="s">
        <v>429</v>
      </c>
      <c r="E640" t="s">
        <v>437</v>
      </c>
      <c r="F640" t="s">
        <v>429</v>
      </c>
      <c r="G640">
        <v>26698</v>
      </c>
      <c r="H640">
        <v>-13.2</v>
      </c>
      <c r="I640">
        <v>721.7</v>
      </c>
      <c r="J640">
        <v>-48.6</v>
      </c>
      <c r="K640">
        <v>30847.3</v>
      </c>
      <c r="L640">
        <v>16073.6</v>
      </c>
      <c r="M640">
        <v>0</v>
      </c>
      <c r="N640">
        <v>2.7</v>
      </c>
      <c r="O640">
        <v>2.2999999999999998</v>
      </c>
      <c r="P640">
        <v>4.5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36070</v>
      </c>
      <c r="Y640" t="s">
        <v>347</v>
      </c>
      <c r="Z640" t="s">
        <v>476</v>
      </c>
      <c r="AB640" t="s">
        <v>477</v>
      </c>
      <c r="AC640" t="s">
        <v>478</v>
      </c>
      <c r="AD640" t="s">
        <v>479</v>
      </c>
      <c r="AE640" t="s">
        <v>480</v>
      </c>
      <c r="AF640">
        <v>16037.777777777799</v>
      </c>
      <c r="AG640">
        <v>2020</v>
      </c>
      <c r="AH640">
        <v>0.86548903793849097</v>
      </c>
      <c r="AI640">
        <v>4.4999999999999998E-2</v>
      </c>
      <c r="AJ640">
        <v>1.9234148538173801</v>
      </c>
    </row>
    <row r="641" spans="1:36" x14ac:dyDescent="0.3">
      <c r="A641">
        <v>2021</v>
      </c>
      <c r="B641">
        <v>434</v>
      </c>
      <c r="C641" t="s">
        <v>436</v>
      </c>
      <c r="D641" t="s">
        <v>429</v>
      </c>
      <c r="E641" t="s">
        <v>437</v>
      </c>
      <c r="F641" t="s">
        <v>429</v>
      </c>
      <c r="G641">
        <v>28046.799999999999</v>
      </c>
      <c r="H641">
        <v>-12.8</v>
      </c>
      <c r="I641">
        <v>-218.2</v>
      </c>
      <c r="J641">
        <v>-109.9</v>
      </c>
      <c r="K641">
        <v>40586.400000000001</v>
      </c>
      <c r="L641">
        <v>20828.900000000001</v>
      </c>
      <c r="M641">
        <v>0</v>
      </c>
      <c r="N641">
        <v>-0.8</v>
      </c>
      <c r="O641">
        <v>-0.5</v>
      </c>
      <c r="P641">
        <v>-1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138036</v>
      </c>
      <c r="Y641" t="s">
        <v>347</v>
      </c>
      <c r="Z641" t="s">
        <v>438</v>
      </c>
      <c r="AB641" t="s">
        <v>439</v>
      </c>
      <c r="AC641" t="s">
        <v>440</v>
      </c>
      <c r="AD641" t="s">
        <v>441</v>
      </c>
      <c r="AE641" t="s">
        <v>442</v>
      </c>
      <c r="AF641">
        <v>21820</v>
      </c>
      <c r="AG641">
        <v>2020</v>
      </c>
      <c r="AH641">
        <v>0.69103936293931001</v>
      </c>
      <c r="AI641">
        <v>-0.01</v>
      </c>
      <c r="AJ641">
        <v>1.86005499541705</v>
      </c>
    </row>
    <row r="642" spans="1:36" x14ac:dyDescent="0.3">
      <c r="A642">
        <v>2021</v>
      </c>
      <c r="B642">
        <v>48</v>
      </c>
      <c r="C642" t="s">
        <v>469</v>
      </c>
      <c r="D642" t="s">
        <v>429</v>
      </c>
      <c r="E642" t="s">
        <v>437</v>
      </c>
      <c r="F642" t="s">
        <v>429</v>
      </c>
      <c r="G642">
        <v>124240.6</v>
      </c>
      <c r="H642">
        <v>-9.5</v>
      </c>
      <c r="I642">
        <v>6201.6</v>
      </c>
      <c r="J642">
        <v>47.9</v>
      </c>
      <c r="K642">
        <v>198201</v>
      </c>
      <c r="L642">
        <v>82118.5</v>
      </c>
      <c r="M642">
        <v>0</v>
      </c>
      <c r="N642">
        <v>5</v>
      </c>
      <c r="O642">
        <v>3.1</v>
      </c>
      <c r="P642">
        <v>7.6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211374</v>
      </c>
      <c r="Y642" t="s">
        <v>347</v>
      </c>
      <c r="Z642" t="s">
        <v>470</v>
      </c>
      <c r="AB642" t="s">
        <v>471</v>
      </c>
      <c r="AC642" t="s">
        <v>472</v>
      </c>
      <c r="AD642" t="s">
        <v>473</v>
      </c>
      <c r="AE642" t="s">
        <v>474</v>
      </c>
      <c r="AF642">
        <v>81600</v>
      </c>
      <c r="AG642">
        <v>2020</v>
      </c>
      <c r="AH642">
        <v>0.62684143874148002</v>
      </c>
      <c r="AI642">
        <v>7.5999999999999998E-2</v>
      </c>
      <c r="AJ642">
        <v>2.4289338235294098</v>
      </c>
    </row>
    <row r="643" spans="1:36" x14ac:dyDescent="0.3">
      <c r="A643">
        <v>2020</v>
      </c>
      <c r="B643">
        <v>440</v>
      </c>
      <c r="C643" t="s">
        <v>475</v>
      </c>
      <c r="D643" t="s">
        <v>429</v>
      </c>
      <c r="E643" t="s">
        <v>437</v>
      </c>
      <c r="F643" t="s">
        <v>429</v>
      </c>
      <c r="G643">
        <v>28505.4</v>
      </c>
      <c r="H643">
        <v>-7.3</v>
      </c>
      <c r="I643">
        <v>1333.1</v>
      </c>
      <c r="J643">
        <v>-33</v>
      </c>
      <c r="K643">
        <v>26951.5</v>
      </c>
      <c r="L643">
        <v>14703.7</v>
      </c>
      <c r="M643">
        <v>0</v>
      </c>
      <c r="N643">
        <v>4.7</v>
      </c>
      <c r="O643">
        <v>4.9000000000000004</v>
      </c>
      <c r="P643">
        <v>9.1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34200</v>
      </c>
      <c r="Y643" t="s">
        <v>347</v>
      </c>
      <c r="Z643" t="s">
        <v>476</v>
      </c>
      <c r="AB643" t="s">
        <v>477</v>
      </c>
      <c r="AC643" t="s">
        <v>478</v>
      </c>
      <c r="AD643" t="s">
        <v>479</v>
      </c>
      <c r="AE643" t="s">
        <v>480</v>
      </c>
      <c r="AF643">
        <v>14649.450549450499</v>
      </c>
      <c r="AG643">
        <v>2019</v>
      </c>
      <c r="AH643">
        <v>1.05765541806578</v>
      </c>
      <c r="AI643">
        <v>9.0999999999999998E-2</v>
      </c>
      <c r="AJ643">
        <v>1.8397618333208301</v>
      </c>
    </row>
    <row r="644" spans="1:36" x14ac:dyDescent="0.3">
      <c r="A644">
        <v>2020</v>
      </c>
      <c r="B644">
        <v>374</v>
      </c>
      <c r="C644" t="s">
        <v>436</v>
      </c>
      <c r="D644" t="s">
        <v>429</v>
      </c>
      <c r="E644" t="s">
        <v>437</v>
      </c>
      <c r="F644" t="s">
        <v>429</v>
      </c>
      <c r="G644">
        <v>33062.9</v>
      </c>
      <c r="H644">
        <v>1.7</v>
      </c>
      <c r="I644">
        <v>2641.7</v>
      </c>
      <c r="J644">
        <v>2.7</v>
      </c>
      <c r="K644">
        <v>35220.6</v>
      </c>
      <c r="L644">
        <v>23504.5</v>
      </c>
      <c r="M644">
        <v>0</v>
      </c>
      <c r="N644">
        <v>8</v>
      </c>
      <c r="O644">
        <v>7.5</v>
      </c>
      <c r="P644">
        <v>11.2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143509</v>
      </c>
      <c r="Y644" t="s">
        <v>347</v>
      </c>
      <c r="Z644" t="s">
        <v>438</v>
      </c>
      <c r="AB644" t="s">
        <v>439</v>
      </c>
      <c r="AC644" t="s">
        <v>481</v>
      </c>
      <c r="AD644" t="s">
        <v>441</v>
      </c>
      <c r="AE644" t="s">
        <v>442</v>
      </c>
      <c r="AF644">
        <v>23586.607142857101</v>
      </c>
      <c r="AG644">
        <v>2019</v>
      </c>
      <c r="AH644">
        <v>0.93873755699789296</v>
      </c>
      <c r="AI644">
        <v>0.112</v>
      </c>
      <c r="AJ644">
        <v>1.49324571298785</v>
      </c>
    </row>
    <row r="645" spans="1:36" x14ac:dyDescent="0.3">
      <c r="A645">
        <v>2020</v>
      </c>
      <c r="B645">
        <v>34</v>
      </c>
      <c r="C645" t="s">
        <v>469</v>
      </c>
      <c r="D645" t="s">
        <v>429</v>
      </c>
      <c r="E645" t="s">
        <v>437</v>
      </c>
      <c r="F645" t="s">
        <v>429</v>
      </c>
      <c r="G645">
        <v>143302.9</v>
      </c>
      <c r="H645">
        <v>3.4</v>
      </c>
      <c r="I645">
        <v>5504.6</v>
      </c>
      <c r="J645">
        <v>-42.4</v>
      </c>
      <c r="K645">
        <v>184504.6</v>
      </c>
      <c r="L645">
        <v>74706.100000000006</v>
      </c>
      <c r="M645">
        <v>0</v>
      </c>
      <c r="N645">
        <v>3.8</v>
      </c>
      <c r="O645">
        <v>3</v>
      </c>
      <c r="P645">
        <v>7.4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219722</v>
      </c>
      <c r="Y645" t="s">
        <v>347</v>
      </c>
      <c r="Z645" t="s">
        <v>470</v>
      </c>
      <c r="AB645" t="s">
        <v>471</v>
      </c>
      <c r="AC645" t="s">
        <v>472</v>
      </c>
      <c r="AD645" t="s">
        <v>473</v>
      </c>
      <c r="AE645" t="s">
        <v>482</v>
      </c>
      <c r="AF645">
        <v>74386.486486486494</v>
      </c>
      <c r="AG645">
        <v>2019</v>
      </c>
      <c r="AH645">
        <v>0.77669012046312103</v>
      </c>
      <c r="AI645">
        <v>7.3999999999999996E-2</v>
      </c>
      <c r="AJ645">
        <v>2.48035105184755</v>
      </c>
    </row>
    <row r="646" spans="1:36" x14ac:dyDescent="0.3">
      <c r="A646">
        <v>2019</v>
      </c>
      <c r="B646">
        <v>440</v>
      </c>
      <c r="C646" t="s">
        <v>475</v>
      </c>
      <c r="D646" t="s">
        <v>429</v>
      </c>
      <c r="E646" t="s">
        <v>437</v>
      </c>
      <c r="F646" t="s">
        <v>429</v>
      </c>
      <c r="G646">
        <v>28505.4</v>
      </c>
      <c r="H646">
        <v>-7.3</v>
      </c>
      <c r="I646">
        <v>1333.1</v>
      </c>
      <c r="J646">
        <v>-33</v>
      </c>
      <c r="K646">
        <v>26951.5</v>
      </c>
      <c r="L646">
        <v>14703.7</v>
      </c>
      <c r="M646">
        <v>0</v>
      </c>
      <c r="N646">
        <v>4.7</v>
      </c>
      <c r="O646">
        <v>4.9000000000000004</v>
      </c>
      <c r="P646">
        <v>9.1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34200</v>
      </c>
      <c r="Y646" t="s">
        <v>347</v>
      </c>
      <c r="Z646" t="s">
        <v>476</v>
      </c>
      <c r="AB646" t="s">
        <v>477</v>
      </c>
      <c r="AC646" t="s">
        <v>478</v>
      </c>
      <c r="AD646" t="s">
        <v>479</v>
      </c>
      <c r="AE646" t="s">
        <v>480</v>
      </c>
      <c r="AF646">
        <v>14649.450549450499</v>
      </c>
      <c r="AG646">
        <v>2018</v>
      </c>
      <c r="AH646">
        <v>1.05765541806578</v>
      </c>
      <c r="AI646">
        <v>9.0999999999999998E-2</v>
      </c>
      <c r="AJ646">
        <v>1.8397618333208301</v>
      </c>
    </row>
    <row r="647" spans="1:36" x14ac:dyDescent="0.3">
      <c r="A647">
        <v>2019</v>
      </c>
      <c r="B647">
        <v>374</v>
      </c>
      <c r="C647" t="s">
        <v>436</v>
      </c>
      <c r="D647" t="s">
        <v>429</v>
      </c>
      <c r="E647" t="s">
        <v>437</v>
      </c>
      <c r="F647" t="s">
        <v>429</v>
      </c>
      <c r="G647">
        <v>33062.9</v>
      </c>
      <c r="H647">
        <v>1.7</v>
      </c>
      <c r="I647">
        <v>2641.7</v>
      </c>
      <c r="J647">
        <v>2.7</v>
      </c>
      <c r="K647">
        <v>35220.6</v>
      </c>
      <c r="L647">
        <v>23504.5</v>
      </c>
      <c r="M647">
        <v>0</v>
      </c>
      <c r="N647">
        <v>8</v>
      </c>
      <c r="O647">
        <v>7.5</v>
      </c>
      <c r="P647">
        <v>11.2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143509</v>
      </c>
      <c r="Y647" t="s">
        <v>347</v>
      </c>
      <c r="Z647" t="s">
        <v>438</v>
      </c>
      <c r="AB647" t="s">
        <v>439</v>
      </c>
      <c r="AC647" t="s">
        <v>481</v>
      </c>
      <c r="AD647" t="s">
        <v>441</v>
      </c>
      <c r="AE647" t="s">
        <v>442</v>
      </c>
      <c r="AF647">
        <v>23586.607142857101</v>
      </c>
      <c r="AG647">
        <v>2018</v>
      </c>
      <c r="AH647">
        <v>0.93873755699789296</v>
      </c>
      <c r="AI647">
        <v>0.112</v>
      </c>
      <c r="AJ647">
        <v>1.49324571298785</v>
      </c>
    </row>
    <row r="648" spans="1:36" x14ac:dyDescent="0.3">
      <c r="A648">
        <v>2019</v>
      </c>
      <c r="B648">
        <v>34</v>
      </c>
      <c r="C648" t="s">
        <v>469</v>
      </c>
      <c r="D648" t="s">
        <v>429</v>
      </c>
      <c r="E648" t="s">
        <v>437</v>
      </c>
      <c r="F648" t="s">
        <v>429</v>
      </c>
      <c r="G648">
        <v>143302.9</v>
      </c>
      <c r="H648">
        <v>3.4</v>
      </c>
      <c r="I648">
        <v>5504.6</v>
      </c>
      <c r="J648">
        <v>-42.4</v>
      </c>
      <c r="K648">
        <v>184504.6</v>
      </c>
      <c r="L648">
        <v>74706.100000000006</v>
      </c>
      <c r="M648">
        <v>0</v>
      </c>
      <c r="N648">
        <v>3.8</v>
      </c>
      <c r="O648">
        <v>3</v>
      </c>
      <c r="P648">
        <v>7.4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219722</v>
      </c>
      <c r="Y648" t="s">
        <v>347</v>
      </c>
      <c r="Z648" t="s">
        <v>470</v>
      </c>
      <c r="AB648" t="s">
        <v>471</v>
      </c>
      <c r="AC648" t="s">
        <v>472</v>
      </c>
      <c r="AD648" t="s">
        <v>473</v>
      </c>
      <c r="AE648" t="s">
        <v>482</v>
      </c>
      <c r="AF648">
        <v>74386.486486486494</v>
      </c>
      <c r="AG648">
        <v>2018</v>
      </c>
      <c r="AH648">
        <v>0.77669012046312103</v>
      </c>
      <c r="AI648">
        <v>7.3999999999999996E-2</v>
      </c>
      <c r="AJ648">
        <v>2.48035105184755</v>
      </c>
    </row>
    <row r="649" spans="1:36" x14ac:dyDescent="0.3">
      <c r="A649">
        <v>2018</v>
      </c>
      <c r="B649">
        <v>440</v>
      </c>
      <c r="C649" t="s">
        <v>475</v>
      </c>
      <c r="D649" t="s">
        <v>429</v>
      </c>
      <c r="E649" t="s">
        <v>437</v>
      </c>
      <c r="F649" t="s">
        <v>429</v>
      </c>
      <c r="G649">
        <v>28505.4</v>
      </c>
      <c r="H649">
        <v>-7.3</v>
      </c>
      <c r="I649">
        <v>1333.1</v>
      </c>
      <c r="J649">
        <v>-33</v>
      </c>
      <c r="K649">
        <v>26951.5</v>
      </c>
      <c r="L649">
        <v>14703.7</v>
      </c>
      <c r="M649">
        <v>0</v>
      </c>
      <c r="N649">
        <v>4.7</v>
      </c>
      <c r="O649">
        <v>4.9000000000000004</v>
      </c>
      <c r="P649">
        <v>9.1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34200</v>
      </c>
      <c r="Y649" t="s">
        <v>347</v>
      </c>
      <c r="Z649" t="s">
        <v>476</v>
      </c>
      <c r="AB649" t="s">
        <v>477</v>
      </c>
      <c r="AC649" t="s">
        <v>478</v>
      </c>
      <c r="AD649" t="s">
        <v>479</v>
      </c>
      <c r="AE649" t="s">
        <v>480</v>
      </c>
      <c r="AF649">
        <v>14649.450549450499</v>
      </c>
      <c r="AG649">
        <v>2017</v>
      </c>
      <c r="AH649">
        <v>1.05765541806578</v>
      </c>
      <c r="AI649">
        <v>9.0999999999999998E-2</v>
      </c>
      <c r="AJ649">
        <v>1.8397618333208301</v>
      </c>
    </row>
    <row r="650" spans="1:36" x14ac:dyDescent="0.3">
      <c r="A650">
        <v>2018</v>
      </c>
      <c r="B650">
        <v>374</v>
      </c>
      <c r="C650" t="s">
        <v>436</v>
      </c>
      <c r="D650" t="s">
        <v>429</v>
      </c>
      <c r="E650" t="s">
        <v>437</v>
      </c>
      <c r="F650" t="s">
        <v>429</v>
      </c>
      <c r="G650">
        <v>33062.9</v>
      </c>
      <c r="H650">
        <v>1.7</v>
      </c>
      <c r="I650">
        <v>2641.7</v>
      </c>
      <c r="J650">
        <v>2.7</v>
      </c>
      <c r="K650">
        <v>35220.6</v>
      </c>
      <c r="L650">
        <v>23504.5</v>
      </c>
      <c r="M650">
        <v>0</v>
      </c>
      <c r="N650">
        <v>8</v>
      </c>
      <c r="O650">
        <v>7.5</v>
      </c>
      <c r="P650">
        <v>11.2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143509</v>
      </c>
      <c r="Y650" t="s">
        <v>347</v>
      </c>
      <c r="Z650" t="s">
        <v>438</v>
      </c>
      <c r="AB650" t="s">
        <v>439</v>
      </c>
      <c r="AC650" t="s">
        <v>481</v>
      </c>
      <c r="AD650" t="s">
        <v>441</v>
      </c>
      <c r="AE650" t="s">
        <v>442</v>
      </c>
      <c r="AF650">
        <v>23586.607142857101</v>
      </c>
      <c r="AG650">
        <v>2017</v>
      </c>
      <c r="AH650">
        <v>0.93873755699789296</v>
      </c>
      <c r="AI650">
        <v>0.112</v>
      </c>
      <c r="AJ650">
        <v>1.49324571298785</v>
      </c>
    </row>
    <row r="651" spans="1:36" x14ac:dyDescent="0.3">
      <c r="A651">
        <v>2018</v>
      </c>
      <c r="B651">
        <v>34</v>
      </c>
      <c r="C651" t="s">
        <v>469</v>
      </c>
      <c r="D651" t="s">
        <v>429</v>
      </c>
      <c r="E651" t="s">
        <v>437</v>
      </c>
      <c r="F651" t="s">
        <v>429</v>
      </c>
      <c r="G651">
        <v>143302.9</v>
      </c>
      <c r="H651">
        <v>3.4</v>
      </c>
      <c r="I651">
        <v>5504.6</v>
      </c>
      <c r="J651">
        <v>-42.4</v>
      </c>
      <c r="K651">
        <v>184504.6</v>
      </c>
      <c r="L651">
        <v>74706.100000000006</v>
      </c>
      <c r="M651">
        <v>0</v>
      </c>
      <c r="N651">
        <v>3.8</v>
      </c>
      <c r="O651">
        <v>3</v>
      </c>
      <c r="P651">
        <v>7.4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219722</v>
      </c>
      <c r="Y651" t="s">
        <v>347</v>
      </c>
      <c r="Z651" t="s">
        <v>470</v>
      </c>
      <c r="AB651" t="s">
        <v>471</v>
      </c>
      <c r="AC651" t="s">
        <v>472</v>
      </c>
      <c r="AD651" t="s">
        <v>473</v>
      </c>
      <c r="AE651" t="s">
        <v>482</v>
      </c>
      <c r="AF651">
        <v>74386.486486486494</v>
      </c>
      <c r="AG651">
        <v>2017</v>
      </c>
      <c r="AH651">
        <v>0.77669012046312103</v>
      </c>
      <c r="AI651">
        <v>7.3999999999999996E-2</v>
      </c>
      <c r="AJ651">
        <v>2.48035105184755</v>
      </c>
    </row>
    <row r="652" spans="1:36" x14ac:dyDescent="0.3">
      <c r="A652">
        <v>2017</v>
      </c>
      <c r="B652">
        <v>353</v>
      </c>
      <c r="C652" t="s">
        <v>436</v>
      </c>
      <c r="D652" t="s">
        <v>429</v>
      </c>
      <c r="E652" t="s">
        <v>437</v>
      </c>
      <c r="F652" t="s">
        <v>429</v>
      </c>
      <c r="G652">
        <v>30678.3</v>
      </c>
      <c r="H652">
        <v>-2</v>
      </c>
      <c r="I652">
        <v>2441.3000000000002</v>
      </c>
      <c r="J652">
        <v>3.9</v>
      </c>
      <c r="K652">
        <v>31900.5</v>
      </c>
      <c r="L652">
        <v>20267.599999999999</v>
      </c>
      <c r="M652">
        <v>0</v>
      </c>
      <c r="N652">
        <v>8</v>
      </c>
      <c r="O652">
        <v>7.7</v>
      </c>
      <c r="P652">
        <v>12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143616</v>
      </c>
      <c r="Y652" t="s">
        <v>347</v>
      </c>
      <c r="Z652" t="s">
        <v>438</v>
      </c>
      <c r="AB652" t="s">
        <v>439</v>
      </c>
      <c r="AC652" t="s">
        <v>481</v>
      </c>
      <c r="AD652" t="s">
        <v>441</v>
      </c>
      <c r="AE652" t="s">
        <v>442</v>
      </c>
      <c r="AF652">
        <v>20344.166666666701</v>
      </c>
      <c r="AG652">
        <v>2016</v>
      </c>
      <c r="AH652">
        <v>0.96168712089152197</v>
      </c>
      <c r="AI652">
        <v>0.12</v>
      </c>
      <c r="AJ652">
        <v>1.56804161717118</v>
      </c>
    </row>
    <row r="653" spans="1:36" x14ac:dyDescent="0.3">
      <c r="A653">
        <v>2017</v>
      </c>
      <c r="B653">
        <v>352</v>
      </c>
      <c r="C653" t="s">
        <v>475</v>
      </c>
      <c r="D653" t="s">
        <v>429</v>
      </c>
      <c r="E653" t="s">
        <v>437</v>
      </c>
      <c r="F653" t="s">
        <v>429</v>
      </c>
      <c r="G653">
        <v>30695.5</v>
      </c>
      <c r="H653">
        <v>14</v>
      </c>
      <c r="I653">
        <v>2605.8000000000002</v>
      </c>
      <c r="J653">
        <v>-28.4</v>
      </c>
      <c r="K653">
        <v>24794.2</v>
      </c>
      <c r="L653">
        <v>13285</v>
      </c>
      <c r="M653">
        <v>0</v>
      </c>
      <c r="N653">
        <v>8.5</v>
      </c>
      <c r="O653">
        <v>10.5</v>
      </c>
      <c r="P653">
        <v>19.600000000000001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36668</v>
      </c>
      <c r="Y653" t="s">
        <v>347</v>
      </c>
      <c r="Z653" t="s">
        <v>476</v>
      </c>
      <c r="AB653" t="s">
        <v>477</v>
      </c>
      <c r="AC653" t="s">
        <v>478</v>
      </c>
      <c r="AD653" t="s">
        <v>479</v>
      </c>
      <c r="AE653" t="s">
        <v>480</v>
      </c>
      <c r="AF653">
        <v>13294.8979591837</v>
      </c>
      <c r="AG653">
        <v>2016</v>
      </c>
      <c r="AH653">
        <v>1.2380113090964799</v>
      </c>
      <c r="AI653">
        <v>0.19600000000000001</v>
      </c>
      <c r="AJ653">
        <v>1.86494097781871</v>
      </c>
    </row>
    <row r="654" spans="1:36" x14ac:dyDescent="0.3">
      <c r="A654">
        <v>2017</v>
      </c>
      <c r="B654">
        <v>29</v>
      </c>
      <c r="C654" t="s">
        <v>469</v>
      </c>
      <c r="D654" t="s">
        <v>429</v>
      </c>
      <c r="E654" t="s">
        <v>437</v>
      </c>
      <c r="F654" t="s">
        <v>429</v>
      </c>
      <c r="G654">
        <v>129198.39999999999</v>
      </c>
      <c r="H654">
        <v>6.2</v>
      </c>
      <c r="I654">
        <v>5690.3</v>
      </c>
      <c r="J654">
        <v>98.3</v>
      </c>
      <c r="K654">
        <v>170165.4</v>
      </c>
      <c r="L654">
        <v>65481.5</v>
      </c>
      <c r="M654">
        <v>0</v>
      </c>
      <c r="N654">
        <v>4.4000000000000004</v>
      </c>
      <c r="O654">
        <v>3.3</v>
      </c>
      <c r="P654">
        <v>8.6999999999999993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211915</v>
      </c>
      <c r="Y654" t="s">
        <v>347</v>
      </c>
      <c r="Z654" t="s">
        <v>470</v>
      </c>
      <c r="AB654" t="s">
        <v>471</v>
      </c>
      <c r="AC654" t="s">
        <v>472</v>
      </c>
      <c r="AD654" t="s">
        <v>473</v>
      </c>
      <c r="AE654" t="s">
        <v>482</v>
      </c>
      <c r="AF654">
        <v>65405.7471264368</v>
      </c>
      <c r="AG654">
        <v>2016</v>
      </c>
      <c r="AH654">
        <v>0.75925188081713402</v>
      </c>
      <c r="AI654">
        <v>8.6999999999999994E-2</v>
      </c>
      <c r="AJ654">
        <v>2.6016888037537602</v>
      </c>
    </row>
    <row r="655" spans="1:36" x14ac:dyDescent="0.3">
      <c r="A655">
        <v>2016</v>
      </c>
      <c r="B655">
        <v>395</v>
      </c>
      <c r="C655" t="s">
        <v>483</v>
      </c>
      <c r="D655" t="s">
        <v>429</v>
      </c>
      <c r="E655" t="s">
        <v>437</v>
      </c>
      <c r="F655" t="s">
        <v>429</v>
      </c>
      <c r="G655">
        <v>26924</v>
      </c>
      <c r="H655">
        <v>2.9</v>
      </c>
      <c r="I655">
        <v>3637.2</v>
      </c>
      <c r="J655">
        <v>52.7</v>
      </c>
      <c r="K655">
        <v>23068.3</v>
      </c>
      <c r="L655">
        <v>12115</v>
      </c>
      <c r="M655">
        <v>0</v>
      </c>
      <c r="N655">
        <v>13.5</v>
      </c>
      <c r="O655">
        <v>15.8</v>
      </c>
      <c r="P655">
        <v>30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34735</v>
      </c>
      <c r="Y655" t="s">
        <v>347</v>
      </c>
      <c r="Z655" t="s">
        <v>476</v>
      </c>
      <c r="AB655" t="s">
        <v>477</v>
      </c>
      <c r="AC655" t="s">
        <v>478</v>
      </c>
      <c r="AD655" t="s">
        <v>479</v>
      </c>
      <c r="AE655" t="s">
        <v>484</v>
      </c>
      <c r="AF655">
        <v>12124</v>
      </c>
      <c r="AG655">
        <v>2015</v>
      </c>
      <c r="AH655">
        <v>1.16714278902216</v>
      </c>
      <c r="AI655">
        <v>0.3</v>
      </c>
      <c r="AJ655">
        <v>1.90269712966018</v>
      </c>
    </row>
    <row r="656" spans="1:36" x14ac:dyDescent="0.3">
      <c r="A656">
        <v>2016</v>
      </c>
      <c r="B656">
        <v>333</v>
      </c>
      <c r="C656" t="s">
        <v>436</v>
      </c>
      <c r="D656" t="s">
        <v>429</v>
      </c>
      <c r="E656" t="s">
        <v>437</v>
      </c>
      <c r="F656" t="s">
        <v>429</v>
      </c>
      <c r="G656">
        <v>31318.1</v>
      </c>
      <c r="H656">
        <v>-9.8000000000000007</v>
      </c>
      <c r="I656">
        <v>2349.1</v>
      </c>
      <c r="J656">
        <v>-17.3</v>
      </c>
      <c r="K656">
        <v>31558.400000000001</v>
      </c>
      <c r="L656">
        <v>18354.400000000001</v>
      </c>
      <c r="M656">
        <v>0</v>
      </c>
      <c r="N656">
        <v>7.5</v>
      </c>
      <c r="O656">
        <v>7.4</v>
      </c>
      <c r="P656">
        <v>12.8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144303</v>
      </c>
      <c r="Y656" t="s">
        <v>347</v>
      </c>
      <c r="Z656" t="s">
        <v>438</v>
      </c>
      <c r="AB656" t="s">
        <v>439</v>
      </c>
      <c r="AC656" t="s">
        <v>485</v>
      </c>
      <c r="AD656" t="s">
        <v>441</v>
      </c>
      <c r="AE656" t="s">
        <v>442</v>
      </c>
      <c r="AF656">
        <v>18352.34375</v>
      </c>
      <c r="AG656">
        <v>2015</v>
      </c>
      <c r="AH656">
        <v>0.99238554552828995</v>
      </c>
      <c r="AI656">
        <v>0.128</v>
      </c>
      <c r="AJ656">
        <v>1.7195841811757699</v>
      </c>
    </row>
    <row r="657" spans="1:36" x14ac:dyDescent="0.3">
      <c r="A657">
        <v>2016</v>
      </c>
      <c r="B657">
        <v>36</v>
      </c>
      <c r="C657" t="s">
        <v>469</v>
      </c>
      <c r="D657" t="s">
        <v>429</v>
      </c>
      <c r="E657" t="s">
        <v>437</v>
      </c>
      <c r="F657" t="s">
        <v>429</v>
      </c>
      <c r="G657">
        <v>121624.3</v>
      </c>
      <c r="H657">
        <v>0.3</v>
      </c>
      <c r="I657">
        <v>2869.9</v>
      </c>
      <c r="J657">
        <v>-38.1</v>
      </c>
      <c r="K657">
        <v>162211.20000000001</v>
      </c>
      <c r="L657">
        <v>60165.8</v>
      </c>
      <c r="M657">
        <v>0</v>
      </c>
      <c r="N657">
        <v>2.4</v>
      </c>
      <c r="O657">
        <v>1.8</v>
      </c>
      <c r="P657">
        <v>4.8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208399</v>
      </c>
      <c r="Y657" t="s">
        <v>347</v>
      </c>
      <c r="Z657" t="s">
        <v>470</v>
      </c>
      <c r="AB657" t="s">
        <v>471</v>
      </c>
      <c r="AC657" t="s">
        <v>472</v>
      </c>
      <c r="AD657" t="s">
        <v>473</v>
      </c>
      <c r="AE657" t="s">
        <v>482</v>
      </c>
      <c r="AF657">
        <v>59789.583333333299</v>
      </c>
      <c r="AG657">
        <v>2015</v>
      </c>
      <c r="AH657">
        <v>0.74978978023712295</v>
      </c>
      <c r="AI657">
        <v>4.8000000000000001E-2</v>
      </c>
      <c r="AJ657">
        <v>2.7130344611310502</v>
      </c>
    </row>
    <row r="658" spans="1:36" x14ac:dyDescent="0.3">
      <c r="A658">
        <v>2014</v>
      </c>
      <c r="B658">
        <v>494</v>
      </c>
      <c r="C658" t="s">
        <v>483</v>
      </c>
      <c r="D658" t="s">
        <v>429</v>
      </c>
      <c r="E658" t="s">
        <v>437</v>
      </c>
      <c r="F658" t="s">
        <v>429</v>
      </c>
      <c r="G658">
        <v>24037.8</v>
      </c>
      <c r="H658">
        <v>4.3</v>
      </c>
      <c r="I658">
        <v>2062.4</v>
      </c>
      <c r="J658">
        <v>43.2</v>
      </c>
      <c r="K658">
        <v>18339</v>
      </c>
      <c r="L658">
        <v>7734.1018999999997</v>
      </c>
      <c r="M658">
        <v>0</v>
      </c>
      <c r="N658">
        <v>8.6019000000000005</v>
      </c>
      <c r="O658">
        <v>11.2019</v>
      </c>
      <c r="P658">
        <v>26.701899999999998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28545</v>
      </c>
      <c r="Y658" t="s">
        <v>347</v>
      </c>
      <c r="Z658" t="s">
        <v>486</v>
      </c>
      <c r="AB658" t="s">
        <v>487</v>
      </c>
      <c r="AC658" t="s">
        <v>488</v>
      </c>
      <c r="AD658" t="s">
        <v>489</v>
      </c>
      <c r="AE658" t="s">
        <v>484</v>
      </c>
      <c r="AF658">
        <v>7723.7949359408904</v>
      </c>
      <c r="AG658">
        <v>2013</v>
      </c>
      <c r="AH658">
        <v>1.3107475871094401</v>
      </c>
      <c r="AI658">
        <v>0.26700000000000002</v>
      </c>
      <c r="AJ658">
        <v>2.3743509702288601</v>
      </c>
    </row>
    <row r="659" spans="1:36" x14ac:dyDescent="0.3">
      <c r="A659">
        <v>2014</v>
      </c>
      <c r="B659">
        <v>317</v>
      </c>
      <c r="C659" t="s">
        <v>436</v>
      </c>
      <c r="D659" t="s">
        <v>429</v>
      </c>
      <c r="E659" t="s">
        <v>437</v>
      </c>
      <c r="F659" t="s">
        <v>429</v>
      </c>
      <c r="G659">
        <v>36573.4</v>
      </c>
      <c r="H659">
        <v>-4</v>
      </c>
      <c r="I659">
        <v>2071.1</v>
      </c>
      <c r="J659">
        <v>-3.7</v>
      </c>
      <c r="K659">
        <v>34037.9</v>
      </c>
      <c r="L659">
        <v>17030.301899999999</v>
      </c>
      <c r="M659">
        <v>0</v>
      </c>
      <c r="N659">
        <v>5.7019000000000002</v>
      </c>
      <c r="O659">
        <v>6.1018999999999997</v>
      </c>
      <c r="P659">
        <v>12.2019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145029</v>
      </c>
      <c r="Y659" t="s">
        <v>347</v>
      </c>
      <c r="Z659" t="s">
        <v>490</v>
      </c>
      <c r="AB659" t="s">
        <v>439</v>
      </c>
      <c r="AC659" t="s">
        <v>485</v>
      </c>
      <c r="AD659" t="s">
        <v>491</v>
      </c>
      <c r="AE659" t="s">
        <v>442</v>
      </c>
      <c r="AF659">
        <v>16973.586080856301</v>
      </c>
      <c r="AG659">
        <v>2013</v>
      </c>
      <c r="AH659">
        <v>1.07449049441946</v>
      </c>
      <c r="AI659">
        <v>0.122</v>
      </c>
      <c r="AJ659">
        <v>2.0053452368789499</v>
      </c>
    </row>
    <row r="660" spans="1:36" x14ac:dyDescent="0.3">
      <c r="A660">
        <v>2014</v>
      </c>
      <c r="B660">
        <v>45</v>
      </c>
      <c r="C660" t="s">
        <v>469</v>
      </c>
      <c r="D660" t="s">
        <v>429</v>
      </c>
      <c r="E660" t="s">
        <v>437</v>
      </c>
      <c r="F660" t="s">
        <v>429</v>
      </c>
      <c r="G660">
        <v>118210.5</v>
      </c>
      <c r="H660">
        <v>-0.6</v>
      </c>
      <c r="I660">
        <v>5730.7</v>
      </c>
      <c r="J660">
        <v>29.6</v>
      </c>
      <c r="K660">
        <v>151714.4</v>
      </c>
      <c r="L660">
        <v>57482.601900000001</v>
      </c>
      <c r="M660">
        <v>0</v>
      </c>
      <c r="N660">
        <v>4.8018999999999998</v>
      </c>
      <c r="O660">
        <v>3.8018999999999998</v>
      </c>
      <c r="P660">
        <v>10.001899999999999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190338</v>
      </c>
      <c r="Y660" t="s">
        <v>347</v>
      </c>
      <c r="Z660" t="s">
        <v>492</v>
      </c>
      <c r="AB660" t="s">
        <v>471</v>
      </c>
      <c r="AC660" t="s">
        <v>472</v>
      </c>
      <c r="AD660" t="s">
        <v>493</v>
      </c>
      <c r="AE660" t="s">
        <v>494</v>
      </c>
      <c r="AF660">
        <v>57296.1137383897</v>
      </c>
      <c r="AG660">
        <v>2013</v>
      </c>
      <c r="AH660">
        <v>0.77916466729591904</v>
      </c>
      <c r="AI660">
        <v>0.1</v>
      </c>
      <c r="AJ660">
        <v>2.6479003566056498</v>
      </c>
    </row>
    <row r="661" spans="1:36" x14ac:dyDescent="0.3">
      <c r="A661">
        <v>2013</v>
      </c>
      <c r="B661">
        <v>283</v>
      </c>
      <c r="C661" t="s">
        <v>436</v>
      </c>
      <c r="D661" t="s">
        <v>429</v>
      </c>
      <c r="E661" t="s">
        <v>437</v>
      </c>
      <c r="F661" t="s">
        <v>429</v>
      </c>
      <c r="G661">
        <v>38092.199999999997</v>
      </c>
      <c r="H661">
        <v>0.4</v>
      </c>
      <c r="I661">
        <v>2150.5</v>
      </c>
      <c r="J661">
        <v>66.5</v>
      </c>
      <c r="K661">
        <v>35156.199999999997</v>
      </c>
      <c r="L661">
        <v>18755.400000000001</v>
      </c>
      <c r="M661">
        <v>0</v>
      </c>
      <c r="N661">
        <v>5.6</v>
      </c>
      <c r="O661">
        <v>6.1167999999999996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143448</v>
      </c>
      <c r="Y661" t="s">
        <v>347</v>
      </c>
      <c r="Z661" t="s">
        <v>495</v>
      </c>
      <c r="AB661" t="s">
        <v>439</v>
      </c>
      <c r="AC661" t="s">
        <v>485</v>
      </c>
      <c r="AD661" t="s">
        <v>491</v>
      </c>
      <c r="AE661" t="s">
        <v>442</v>
      </c>
      <c r="AF661" t="s">
        <v>329</v>
      </c>
      <c r="AG661">
        <v>2012</v>
      </c>
      <c r="AH661">
        <v>1.08351300766294</v>
      </c>
      <c r="AI661">
        <v>0</v>
      </c>
      <c r="AJ661">
        <v>0</v>
      </c>
    </row>
    <row r="662" spans="1:36" x14ac:dyDescent="0.3">
      <c r="A662">
        <v>2013</v>
      </c>
      <c r="B662">
        <v>45</v>
      </c>
      <c r="C662" t="s">
        <v>469</v>
      </c>
      <c r="D662" t="s">
        <v>429</v>
      </c>
      <c r="E662" t="s">
        <v>437</v>
      </c>
      <c r="F662" t="s">
        <v>429</v>
      </c>
      <c r="G662">
        <v>118952.4</v>
      </c>
      <c r="H662">
        <v>18.2</v>
      </c>
      <c r="I662">
        <v>4421.3</v>
      </c>
      <c r="J662">
        <v>65.099999999999994</v>
      </c>
      <c r="K662">
        <v>145057</v>
      </c>
      <c r="L662">
        <v>53590.2</v>
      </c>
      <c r="M662">
        <v>0</v>
      </c>
      <c r="N662">
        <v>3.7</v>
      </c>
      <c r="O662">
        <v>3.048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190338</v>
      </c>
      <c r="Y662" t="s">
        <v>347</v>
      </c>
      <c r="Z662" t="s">
        <v>496</v>
      </c>
      <c r="AB662" t="s">
        <v>471</v>
      </c>
      <c r="AC662" t="s">
        <v>472</v>
      </c>
      <c r="AD662" t="s">
        <v>493</v>
      </c>
      <c r="AE662" t="s">
        <v>482</v>
      </c>
      <c r="AF662" t="s">
        <v>329</v>
      </c>
      <c r="AG662">
        <v>2012</v>
      </c>
      <c r="AH662">
        <v>0.82003901914419797</v>
      </c>
      <c r="AI662">
        <v>0</v>
      </c>
      <c r="AJ662">
        <v>0</v>
      </c>
    </row>
    <row r="663" spans="1:36" x14ac:dyDescent="0.3">
      <c r="A663">
        <v>2012</v>
      </c>
      <c r="B663">
        <v>353</v>
      </c>
      <c r="C663" t="s">
        <v>436</v>
      </c>
      <c r="D663" t="s">
        <v>429</v>
      </c>
      <c r="E663" t="s">
        <v>437</v>
      </c>
      <c r="F663" t="s">
        <v>429</v>
      </c>
      <c r="G663">
        <v>30678.3</v>
      </c>
      <c r="H663">
        <v>-2</v>
      </c>
      <c r="I663">
        <v>2441.3000000000002</v>
      </c>
      <c r="J663">
        <v>3.9</v>
      </c>
      <c r="K663">
        <v>31900.5</v>
      </c>
      <c r="L663">
        <v>20267.599999999999</v>
      </c>
      <c r="M663">
        <v>0</v>
      </c>
      <c r="N663">
        <v>8</v>
      </c>
      <c r="O663">
        <v>7.7</v>
      </c>
      <c r="P663">
        <v>12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143616</v>
      </c>
      <c r="Y663" t="s">
        <v>347</v>
      </c>
      <c r="Z663" t="s">
        <v>497</v>
      </c>
      <c r="AB663" t="s">
        <v>439</v>
      </c>
      <c r="AC663" t="s">
        <v>481</v>
      </c>
      <c r="AD663" t="s">
        <v>491</v>
      </c>
      <c r="AE663" t="s">
        <v>442</v>
      </c>
      <c r="AF663">
        <v>20344.166666666701</v>
      </c>
      <c r="AG663">
        <v>2011</v>
      </c>
      <c r="AH663">
        <v>0.96168712089152197</v>
      </c>
      <c r="AI663">
        <v>0.12</v>
      </c>
      <c r="AJ663">
        <v>1.56804161717118</v>
      </c>
    </row>
    <row r="664" spans="1:36" x14ac:dyDescent="0.3">
      <c r="A664">
        <v>2012</v>
      </c>
      <c r="B664">
        <v>352</v>
      </c>
      <c r="C664" t="s">
        <v>475</v>
      </c>
      <c r="D664" t="s">
        <v>429</v>
      </c>
      <c r="E664" t="s">
        <v>437</v>
      </c>
      <c r="F664" t="s">
        <v>429</v>
      </c>
      <c r="G664">
        <v>30695.5</v>
      </c>
      <c r="H664">
        <v>14</v>
      </c>
      <c r="I664">
        <v>2605.8000000000002</v>
      </c>
      <c r="J664">
        <v>-28.4</v>
      </c>
      <c r="K664">
        <v>24794.2</v>
      </c>
      <c r="L664">
        <v>13285</v>
      </c>
      <c r="M664">
        <v>0</v>
      </c>
      <c r="N664">
        <v>8.5</v>
      </c>
      <c r="O664">
        <v>10.5</v>
      </c>
      <c r="P664">
        <v>19.600000000000001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36668</v>
      </c>
      <c r="Y664" t="s">
        <v>347</v>
      </c>
      <c r="Z664" t="s">
        <v>498</v>
      </c>
      <c r="AB664" t="s">
        <v>477</v>
      </c>
      <c r="AC664" t="s">
        <v>478</v>
      </c>
      <c r="AD664" t="s">
        <v>489</v>
      </c>
      <c r="AE664" t="s">
        <v>480</v>
      </c>
      <c r="AF664">
        <v>13294.8979591837</v>
      </c>
      <c r="AG664">
        <v>2011</v>
      </c>
      <c r="AH664">
        <v>1.2380113090964799</v>
      </c>
      <c r="AI664">
        <v>0.19600000000000001</v>
      </c>
      <c r="AJ664">
        <v>1.86494097781871</v>
      </c>
    </row>
    <row r="665" spans="1:36" x14ac:dyDescent="0.3">
      <c r="A665">
        <v>2012</v>
      </c>
      <c r="B665">
        <v>29</v>
      </c>
      <c r="C665" t="s">
        <v>469</v>
      </c>
      <c r="D665" t="s">
        <v>429</v>
      </c>
      <c r="E665" t="s">
        <v>437</v>
      </c>
      <c r="F665" t="s">
        <v>429</v>
      </c>
      <c r="G665">
        <v>129198.39999999999</v>
      </c>
      <c r="H665">
        <v>6.2</v>
      </c>
      <c r="I665">
        <v>5690.3</v>
      </c>
      <c r="J665">
        <v>98.3</v>
      </c>
      <c r="K665">
        <v>170165.4</v>
      </c>
      <c r="L665">
        <v>65481.5</v>
      </c>
      <c r="M665">
        <v>0</v>
      </c>
      <c r="N665">
        <v>4.4000000000000004</v>
      </c>
      <c r="O665">
        <v>3.3</v>
      </c>
      <c r="P665">
        <v>8.6999999999999993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211915</v>
      </c>
      <c r="Y665" t="s">
        <v>347</v>
      </c>
      <c r="Z665" t="s">
        <v>492</v>
      </c>
      <c r="AB665" t="s">
        <v>471</v>
      </c>
      <c r="AC665" t="s">
        <v>472</v>
      </c>
      <c r="AD665" t="s">
        <v>493</v>
      </c>
      <c r="AE665" t="s">
        <v>482</v>
      </c>
      <c r="AF665">
        <v>65405.7471264368</v>
      </c>
      <c r="AG665">
        <v>2011</v>
      </c>
      <c r="AH665">
        <v>0.75925188081713402</v>
      </c>
      <c r="AI665">
        <v>8.6999999999999994E-2</v>
      </c>
      <c r="AJ665">
        <v>2.6016888037537602</v>
      </c>
    </row>
    <row r="666" spans="1:36" x14ac:dyDescent="0.3">
      <c r="A666">
        <v>2013</v>
      </c>
      <c r="B666">
        <v>421</v>
      </c>
      <c r="C666" t="s">
        <v>499</v>
      </c>
      <c r="D666" t="s">
        <v>409</v>
      </c>
      <c r="E666" t="s">
        <v>500</v>
      </c>
      <c r="F666" t="s">
        <v>409</v>
      </c>
      <c r="G666">
        <v>27596.799999999999</v>
      </c>
      <c r="H666">
        <v>-4.2</v>
      </c>
      <c r="I666">
        <v>2017.7</v>
      </c>
      <c r="J666">
        <v>-0.7</v>
      </c>
      <c r="K666">
        <v>28449.4</v>
      </c>
      <c r="L666">
        <v>11203.4</v>
      </c>
      <c r="M666">
        <v>0</v>
      </c>
      <c r="N666">
        <v>7.3</v>
      </c>
      <c r="O666">
        <v>7.0921000000000003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107302</v>
      </c>
      <c r="Y666" t="s">
        <v>347</v>
      </c>
      <c r="Z666" t="s">
        <v>501</v>
      </c>
      <c r="AB666">
        <v>0</v>
      </c>
      <c r="AC666" t="s">
        <v>502</v>
      </c>
      <c r="AD666" t="s">
        <v>503</v>
      </c>
      <c r="AE666" t="s">
        <v>504</v>
      </c>
      <c r="AF666" t="s">
        <v>329</v>
      </c>
      <c r="AG666">
        <v>2012</v>
      </c>
      <c r="AH666">
        <v>0.97003100241129903</v>
      </c>
      <c r="AI666">
        <v>0</v>
      </c>
      <c r="AJ666">
        <v>0</v>
      </c>
    </row>
    <row r="667" spans="1:36" x14ac:dyDescent="0.3">
      <c r="A667">
        <v>2013</v>
      </c>
      <c r="B667">
        <v>370</v>
      </c>
      <c r="C667" t="s">
        <v>505</v>
      </c>
      <c r="D667" t="s">
        <v>506</v>
      </c>
      <c r="E667" t="s">
        <v>507</v>
      </c>
      <c r="F667" t="s">
        <v>506</v>
      </c>
      <c r="G667">
        <v>30837</v>
      </c>
      <c r="H667">
        <v>7.3</v>
      </c>
      <c r="I667">
        <v>1433</v>
      </c>
      <c r="J667">
        <v>40.799999999999997</v>
      </c>
      <c r="K667">
        <v>17109</v>
      </c>
      <c r="L667">
        <v>9429</v>
      </c>
      <c r="M667">
        <v>0</v>
      </c>
      <c r="N667">
        <v>4.5999999999999996</v>
      </c>
      <c r="O667">
        <v>8.3757000000000001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118975</v>
      </c>
      <c r="Y667" t="s">
        <v>347</v>
      </c>
      <c r="Z667" t="s">
        <v>508</v>
      </c>
      <c r="AB667" t="s">
        <v>509</v>
      </c>
      <c r="AC667" t="s">
        <v>510</v>
      </c>
      <c r="AD667" t="s">
        <v>511</v>
      </c>
      <c r="AE667" t="s">
        <v>512</v>
      </c>
      <c r="AF667" t="s">
        <v>329</v>
      </c>
      <c r="AG667">
        <v>2012</v>
      </c>
      <c r="AH667">
        <v>1.8023847098018599</v>
      </c>
      <c r="AI667">
        <v>0</v>
      </c>
      <c r="AJ667">
        <v>0</v>
      </c>
    </row>
    <row r="668" spans="1:36" x14ac:dyDescent="0.3">
      <c r="A668">
        <v>2013</v>
      </c>
      <c r="B668">
        <v>367</v>
      </c>
      <c r="C668" t="s">
        <v>513</v>
      </c>
      <c r="D668" t="s">
        <v>429</v>
      </c>
      <c r="E668" t="s">
        <v>514</v>
      </c>
      <c r="F668" t="s">
        <v>429</v>
      </c>
      <c r="G668">
        <v>31048.7</v>
      </c>
      <c r="H668">
        <v>-2.4</v>
      </c>
      <c r="I668">
        <v>968.1</v>
      </c>
      <c r="J668">
        <v>41.8</v>
      </c>
      <c r="K668">
        <v>26464.2</v>
      </c>
      <c r="L668">
        <v>12708.5</v>
      </c>
      <c r="M668">
        <v>0</v>
      </c>
      <c r="N668">
        <v>3.1</v>
      </c>
      <c r="O668">
        <v>3.6579999999999999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55948</v>
      </c>
      <c r="Y668" t="s">
        <v>347</v>
      </c>
      <c r="Z668" t="s">
        <v>515</v>
      </c>
      <c r="AB668" t="s">
        <v>516</v>
      </c>
      <c r="AC668" t="s">
        <v>517</v>
      </c>
      <c r="AD668" t="s">
        <v>518</v>
      </c>
      <c r="AE668" t="s">
        <v>519</v>
      </c>
      <c r="AF668" t="s">
        <v>329</v>
      </c>
      <c r="AG668">
        <v>2012</v>
      </c>
      <c r="AH668">
        <v>1.1732340293679799</v>
      </c>
      <c r="AI668">
        <v>0</v>
      </c>
      <c r="AJ668">
        <v>0</v>
      </c>
    </row>
    <row r="669" spans="1:36" x14ac:dyDescent="0.3">
      <c r="A669">
        <v>2013</v>
      </c>
      <c r="B669">
        <v>316</v>
      </c>
      <c r="C669" t="s">
        <v>401</v>
      </c>
      <c r="D669" t="s">
        <v>402</v>
      </c>
      <c r="E669" t="s">
        <v>403</v>
      </c>
      <c r="F669" t="s">
        <v>402</v>
      </c>
      <c r="G669">
        <v>34705</v>
      </c>
      <c r="H669">
        <v>0.4</v>
      </c>
      <c r="I669">
        <v>1818.3</v>
      </c>
      <c r="J669">
        <v>-35.5</v>
      </c>
      <c r="K669">
        <v>31286.5</v>
      </c>
      <c r="L669">
        <v>6925.6</v>
      </c>
      <c r="M669">
        <v>0</v>
      </c>
      <c r="N669">
        <v>5.2</v>
      </c>
      <c r="O669">
        <v>5.8117000000000001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62873</v>
      </c>
      <c r="Y669" t="s">
        <v>347</v>
      </c>
      <c r="Z669" t="s">
        <v>520</v>
      </c>
      <c r="AB669">
        <v>400001</v>
      </c>
      <c r="AC669" t="s">
        <v>405</v>
      </c>
      <c r="AD669" t="s">
        <v>521</v>
      </c>
      <c r="AE669" t="s">
        <v>407</v>
      </c>
      <c r="AF669" t="s">
        <v>329</v>
      </c>
      <c r="AG669">
        <v>2012</v>
      </c>
      <c r="AH669">
        <v>1.10926437920509</v>
      </c>
      <c r="AI669">
        <v>0</v>
      </c>
      <c r="AJ669">
        <v>0</v>
      </c>
    </row>
    <row r="670" spans="1:36" x14ac:dyDescent="0.3">
      <c r="A670">
        <v>2013</v>
      </c>
      <c r="B670">
        <v>250</v>
      </c>
      <c r="C670" t="s">
        <v>415</v>
      </c>
      <c r="D670" t="s">
        <v>395</v>
      </c>
      <c r="E670" t="s">
        <v>443</v>
      </c>
      <c r="F670" t="s">
        <v>395</v>
      </c>
      <c r="G670">
        <v>42070.2</v>
      </c>
      <c r="H670">
        <v>-0.8</v>
      </c>
      <c r="I670">
        <v>2420.5</v>
      </c>
      <c r="J670">
        <v>40.1</v>
      </c>
      <c r="K670">
        <v>36036.800000000003</v>
      </c>
      <c r="L670">
        <v>11557.2</v>
      </c>
      <c r="M670">
        <v>0</v>
      </c>
      <c r="N670">
        <v>5.8</v>
      </c>
      <c r="O670">
        <v>6.7168999999999999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169639</v>
      </c>
      <c r="Y670" t="s">
        <v>347</v>
      </c>
      <c r="Z670" t="s">
        <v>522</v>
      </c>
      <c r="AB670" t="s">
        <v>523</v>
      </c>
      <c r="AC670" t="s">
        <v>418</v>
      </c>
      <c r="AD670" t="s">
        <v>524</v>
      </c>
      <c r="AE670" t="s">
        <v>525</v>
      </c>
      <c r="AF670" t="s">
        <v>329</v>
      </c>
      <c r="AG670">
        <v>2012</v>
      </c>
      <c r="AH670">
        <v>1.1674233006260299</v>
      </c>
      <c r="AI670">
        <v>0</v>
      </c>
      <c r="AJ670">
        <v>0</v>
      </c>
    </row>
    <row r="671" spans="1:36" x14ac:dyDescent="0.3">
      <c r="A671">
        <v>2013</v>
      </c>
      <c r="B671">
        <v>242</v>
      </c>
      <c r="C671" t="s">
        <v>526</v>
      </c>
      <c r="D671" t="s">
        <v>429</v>
      </c>
      <c r="E671" t="s">
        <v>527</v>
      </c>
      <c r="F671" t="s">
        <v>429</v>
      </c>
      <c r="G671">
        <v>43122.2</v>
      </c>
      <c r="H671">
        <v>7.9</v>
      </c>
      <c r="I671">
        <v>2187.9</v>
      </c>
      <c r="J671">
        <v>93.4</v>
      </c>
      <c r="K671">
        <v>42330.8</v>
      </c>
      <c r="L671">
        <v>23022.3</v>
      </c>
      <c r="M671">
        <v>0</v>
      </c>
      <c r="N671">
        <v>5.0999999999999996</v>
      </c>
      <c r="O671">
        <v>5.1684999999999999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132276</v>
      </c>
      <c r="Y671" t="s">
        <v>347</v>
      </c>
      <c r="Z671" t="s">
        <v>528</v>
      </c>
      <c r="AB671" t="s">
        <v>529</v>
      </c>
      <c r="AC671" t="s">
        <v>530</v>
      </c>
      <c r="AD671" t="s">
        <v>531</v>
      </c>
      <c r="AE671" t="s">
        <v>532</v>
      </c>
      <c r="AF671" t="s">
        <v>329</v>
      </c>
      <c r="AG671">
        <v>2012</v>
      </c>
      <c r="AH671">
        <v>1.0186956069812001</v>
      </c>
      <c r="AI671">
        <v>0</v>
      </c>
      <c r="AJ671">
        <v>0</v>
      </c>
    </row>
    <row r="672" spans="1:36" x14ac:dyDescent="0.3">
      <c r="A672">
        <v>2013</v>
      </c>
      <c r="B672">
        <v>227</v>
      </c>
      <c r="C672" t="s">
        <v>533</v>
      </c>
      <c r="D672" t="s">
        <v>534</v>
      </c>
      <c r="E672" t="s">
        <v>535</v>
      </c>
      <c r="F672" t="s">
        <v>534</v>
      </c>
      <c r="G672">
        <v>44850.6</v>
      </c>
      <c r="H672">
        <v>-6.2</v>
      </c>
      <c r="I672">
        <v>1630.5</v>
      </c>
      <c r="J672">
        <v>-40.4</v>
      </c>
      <c r="K672">
        <v>52087.7</v>
      </c>
      <c r="L672">
        <v>13169.9</v>
      </c>
      <c r="M672">
        <v>0</v>
      </c>
      <c r="N672">
        <v>3.6</v>
      </c>
      <c r="O672">
        <v>3.1303999999999998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106991</v>
      </c>
      <c r="Y672" t="s">
        <v>347</v>
      </c>
      <c r="Z672" t="s">
        <v>536</v>
      </c>
      <c r="AB672" t="s">
        <v>537</v>
      </c>
      <c r="AC672" t="s">
        <v>538</v>
      </c>
      <c r="AD672" t="s">
        <v>539</v>
      </c>
      <c r="AE672" t="s">
        <v>540</v>
      </c>
      <c r="AF672" t="s">
        <v>329</v>
      </c>
      <c r="AG672">
        <v>2012</v>
      </c>
      <c r="AH672">
        <v>0.86105932878587499</v>
      </c>
      <c r="AI672">
        <v>0</v>
      </c>
      <c r="AJ672">
        <v>0</v>
      </c>
    </row>
    <row r="673" spans="1:36" x14ac:dyDescent="0.3">
      <c r="A673">
        <v>2013</v>
      </c>
      <c r="B673">
        <v>184</v>
      </c>
      <c r="C673" t="s">
        <v>408</v>
      </c>
      <c r="D673" t="s">
        <v>409</v>
      </c>
      <c r="E673" t="s">
        <v>410</v>
      </c>
      <c r="F673" t="s">
        <v>409</v>
      </c>
      <c r="G673">
        <v>53037.2</v>
      </c>
      <c r="H673">
        <v>-10.5</v>
      </c>
      <c r="I673">
        <v>2277.1999999999998</v>
      </c>
      <c r="J673">
        <v>-21.7</v>
      </c>
      <c r="K673">
        <v>99410.7</v>
      </c>
      <c r="L673">
        <v>32021.7</v>
      </c>
      <c r="M673">
        <v>0</v>
      </c>
      <c r="N673">
        <v>4.3</v>
      </c>
      <c r="O673">
        <v>2.2907000000000002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127086</v>
      </c>
      <c r="Y673" t="s">
        <v>347</v>
      </c>
      <c r="Z673" t="s">
        <v>541</v>
      </c>
      <c r="AB673">
        <v>92513</v>
      </c>
      <c r="AC673" t="s">
        <v>412</v>
      </c>
      <c r="AD673" t="s">
        <v>542</v>
      </c>
      <c r="AE673" t="s">
        <v>543</v>
      </c>
      <c r="AF673" t="s">
        <v>329</v>
      </c>
      <c r="AG673">
        <v>2012</v>
      </c>
      <c r="AH673">
        <v>0.53351600984602299</v>
      </c>
      <c r="AI673">
        <v>0</v>
      </c>
      <c r="AJ673">
        <v>0</v>
      </c>
    </row>
    <row r="674" spans="1:36" x14ac:dyDescent="0.3">
      <c r="A674">
        <v>2013</v>
      </c>
      <c r="B674">
        <v>121</v>
      </c>
      <c r="C674" t="s">
        <v>452</v>
      </c>
      <c r="D674" t="s">
        <v>409</v>
      </c>
      <c r="E674" t="s">
        <v>453</v>
      </c>
      <c r="F674" t="s">
        <v>409</v>
      </c>
      <c r="G674">
        <v>71255.199999999997</v>
      </c>
      <c r="H674">
        <v>-14.5</v>
      </c>
      <c r="I674">
        <v>-6438.5</v>
      </c>
      <c r="J674">
        <v>-887.5</v>
      </c>
      <c r="K674">
        <v>85483.9</v>
      </c>
      <c r="L674">
        <v>12947.4</v>
      </c>
      <c r="M674">
        <v>0</v>
      </c>
      <c r="N674">
        <v>-9</v>
      </c>
      <c r="O674">
        <v>-7.5317999999999996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204287</v>
      </c>
      <c r="Y674" t="s">
        <v>347</v>
      </c>
      <c r="Z674" t="s">
        <v>544</v>
      </c>
      <c r="AB674">
        <v>75116</v>
      </c>
      <c r="AC674" t="s">
        <v>455</v>
      </c>
      <c r="AD674" t="s">
        <v>545</v>
      </c>
      <c r="AE674" t="s">
        <v>457</v>
      </c>
      <c r="AF674" t="e" cm="1">
        <f t="array" ref="AF674">-∞</f>
        <v>#NAME?</v>
      </c>
      <c r="AG674">
        <v>2012</v>
      </c>
      <c r="AH674">
        <v>0.83355111313358399</v>
      </c>
      <c r="AI674">
        <v>0</v>
      </c>
      <c r="AJ674">
        <v>0</v>
      </c>
    </row>
    <row r="675" spans="1:36" x14ac:dyDescent="0.3">
      <c r="A675">
        <v>2013</v>
      </c>
      <c r="B675">
        <v>104</v>
      </c>
      <c r="C675" t="s">
        <v>546</v>
      </c>
      <c r="D675" t="s">
        <v>547</v>
      </c>
      <c r="E675" t="s">
        <v>548</v>
      </c>
      <c r="F675" t="s">
        <v>547</v>
      </c>
      <c r="G675">
        <v>74998.5</v>
      </c>
      <c r="H675">
        <v>6.8</v>
      </c>
      <c r="I675">
        <v>7601.8</v>
      </c>
      <c r="J675">
        <v>10</v>
      </c>
      <c r="K675">
        <v>113539</v>
      </c>
      <c r="L675">
        <v>41140.699999999997</v>
      </c>
      <c r="M675">
        <v>0</v>
      </c>
      <c r="N675">
        <v>10.1</v>
      </c>
      <c r="O675">
        <v>6.6952999999999996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98348</v>
      </c>
      <c r="Y675" t="s">
        <v>347</v>
      </c>
      <c r="Z675" t="s">
        <v>549</v>
      </c>
      <c r="AB675" t="s">
        <v>550</v>
      </c>
      <c r="AC675" t="s">
        <v>551</v>
      </c>
      <c r="AD675" t="s">
        <v>552</v>
      </c>
      <c r="AE675" t="s">
        <v>553</v>
      </c>
      <c r="AF675" t="s">
        <v>329</v>
      </c>
      <c r="AG675">
        <v>2012</v>
      </c>
      <c r="AH675">
        <v>0.66055276160614396</v>
      </c>
      <c r="AI675">
        <v>0</v>
      </c>
      <c r="AJ675">
        <v>0</v>
      </c>
    </row>
    <row r="676" spans="1:36" x14ac:dyDescent="0.3">
      <c r="A676">
        <v>2013</v>
      </c>
      <c r="B676">
        <v>68</v>
      </c>
      <c r="C676" t="s">
        <v>554</v>
      </c>
      <c r="D676" t="s">
        <v>395</v>
      </c>
      <c r="E676" t="s">
        <v>555</v>
      </c>
      <c r="F676" t="s">
        <v>395</v>
      </c>
      <c r="G676">
        <v>98759.5</v>
      </c>
      <c r="H676">
        <v>3.2</v>
      </c>
      <c r="I676">
        <v>6549</v>
      </c>
      <c r="J676">
        <v>-3.5</v>
      </c>
      <c r="K676">
        <v>173804.6</v>
      </c>
      <c r="L676">
        <v>39934.800000000003</v>
      </c>
      <c r="M676">
        <v>0</v>
      </c>
      <c r="N676">
        <v>6.6</v>
      </c>
      <c r="O676">
        <v>3.7679999999999998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105876</v>
      </c>
      <c r="Y676" t="s">
        <v>347</v>
      </c>
      <c r="Z676" t="s">
        <v>556</v>
      </c>
      <c r="AB676" t="s">
        <v>557</v>
      </c>
      <c r="AC676" t="s">
        <v>558</v>
      </c>
      <c r="AD676" t="s">
        <v>559</v>
      </c>
      <c r="AE676" t="s">
        <v>560</v>
      </c>
      <c r="AF676" t="s">
        <v>329</v>
      </c>
      <c r="AG676">
        <v>2012</v>
      </c>
      <c r="AH676">
        <v>0.56822143947858705</v>
      </c>
      <c r="AI676">
        <v>0</v>
      </c>
      <c r="AJ676">
        <v>0</v>
      </c>
    </row>
    <row r="677" spans="1:36" x14ac:dyDescent="0.3">
      <c r="A677">
        <v>2013</v>
      </c>
      <c r="B677">
        <v>47</v>
      </c>
      <c r="C677" t="s">
        <v>428</v>
      </c>
      <c r="D677" t="s">
        <v>429</v>
      </c>
      <c r="E677" t="s">
        <v>430</v>
      </c>
      <c r="F677" t="s">
        <v>429</v>
      </c>
      <c r="G677">
        <v>115961.4</v>
      </c>
      <c r="H677">
        <v>-2.7</v>
      </c>
      <c r="I677">
        <v>4123.8</v>
      </c>
      <c r="J677">
        <v>-4.5999999999999996</v>
      </c>
      <c r="K677">
        <v>136225.20000000001</v>
      </c>
      <c r="L677">
        <v>48031.3</v>
      </c>
      <c r="M677">
        <v>0</v>
      </c>
      <c r="N677">
        <v>3.6</v>
      </c>
      <c r="O677">
        <v>3.0272000000000001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160530</v>
      </c>
      <c r="Y677" t="s">
        <v>347</v>
      </c>
      <c r="Z677" t="s">
        <v>561</v>
      </c>
      <c r="AB677" t="s">
        <v>432</v>
      </c>
      <c r="AC677" t="s">
        <v>433</v>
      </c>
      <c r="AD677" t="s">
        <v>562</v>
      </c>
      <c r="AE677" t="s">
        <v>435</v>
      </c>
      <c r="AF677" t="s">
        <v>329</v>
      </c>
      <c r="AG677">
        <v>2012</v>
      </c>
      <c r="AH677">
        <v>0.85124778675311197</v>
      </c>
      <c r="AI677">
        <v>0</v>
      </c>
      <c r="AJ677">
        <v>0</v>
      </c>
    </row>
    <row r="678" spans="1:36" x14ac:dyDescent="0.3">
      <c r="A678">
        <v>2013</v>
      </c>
      <c r="B678">
        <v>23</v>
      </c>
      <c r="C678" t="s">
        <v>563</v>
      </c>
      <c r="D678" t="s">
        <v>395</v>
      </c>
      <c r="E678" t="s">
        <v>564</v>
      </c>
      <c r="F678" t="s">
        <v>395</v>
      </c>
      <c r="G678">
        <v>146886.29999999999</v>
      </c>
      <c r="H678">
        <v>-0.8</v>
      </c>
      <c r="I678">
        <v>7832.9</v>
      </c>
      <c r="J678">
        <v>-0.6</v>
      </c>
      <c r="K678">
        <v>214837.5</v>
      </c>
      <c r="L678">
        <v>57841.3</v>
      </c>
      <c r="M678">
        <v>0</v>
      </c>
      <c r="N678">
        <v>5.3</v>
      </c>
      <c r="O678">
        <v>3.6459000000000001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275087</v>
      </c>
      <c r="Y678" t="s">
        <v>347</v>
      </c>
      <c r="Z678" t="s">
        <v>565</v>
      </c>
      <c r="AB678">
        <v>70327</v>
      </c>
      <c r="AC678" t="s">
        <v>566</v>
      </c>
      <c r="AD678" t="s">
        <v>567</v>
      </c>
      <c r="AE678" t="s">
        <v>568</v>
      </c>
      <c r="AF678" t="s">
        <v>329</v>
      </c>
      <c r="AG678">
        <v>2012</v>
      </c>
      <c r="AH678">
        <v>0.68370884971199197</v>
      </c>
      <c r="AI678">
        <v>0</v>
      </c>
      <c r="AJ678">
        <v>0</v>
      </c>
    </row>
    <row r="679" spans="1:36" x14ac:dyDescent="0.3">
      <c r="A679">
        <v>2013</v>
      </c>
      <c r="B679">
        <v>9</v>
      </c>
      <c r="C679" t="s">
        <v>446</v>
      </c>
      <c r="D679" t="s">
        <v>395</v>
      </c>
      <c r="E679" t="s">
        <v>447</v>
      </c>
      <c r="F679" t="s">
        <v>395</v>
      </c>
      <c r="G679">
        <v>247613.3</v>
      </c>
      <c r="H679">
        <v>11.8</v>
      </c>
      <c r="I679">
        <v>27909.1</v>
      </c>
      <c r="J679">
        <v>30.3</v>
      </c>
      <c r="K679">
        <v>408172.5</v>
      </c>
      <c r="L679">
        <v>102180.2</v>
      </c>
      <c r="M679">
        <v>0</v>
      </c>
      <c r="N679">
        <v>11.3</v>
      </c>
      <c r="O679">
        <v>6.8376000000000001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549763</v>
      </c>
      <c r="Y679" t="s">
        <v>347</v>
      </c>
      <c r="Z679" t="s">
        <v>569</v>
      </c>
      <c r="AB679">
        <v>38436</v>
      </c>
      <c r="AC679" t="s">
        <v>570</v>
      </c>
      <c r="AD679" t="s">
        <v>468</v>
      </c>
      <c r="AE679" t="s">
        <v>571</v>
      </c>
      <c r="AF679" t="s">
        <v>329</v>
      </c>
      <c r="AG679">
        <v>2012</v>
      </c>
      <c r="AH679">
        <v>0.60663885979579701</v>
      </c>
      <c r="AI679">
        <v>0</v>
      </c>
      <c r="AJ679">
        <v>0</v>
      </c>
    </row>
    <row r="680" spans="1:36" x14ac:dyDescent="0.3">
      <c r="A680">
        <v>2013</v>
      </c>
      <c r="B680">
        <v>8</v>
      </c>
      <c r="C680" t="s">
        <v>572</v>
      </c>
      <c r="D680" t="s">
        <v>429</v>
      </c>
      <c r="E680" t="s">
        <v>573</v>
      </c>
      <c r="F680" t="s">
        <v>429</v>
      </c>
      <c r="G680">
        <v>265701.8</v>
      </c>
      <c r="H680">
        <v>12.9</v>
      </c>
      <c r="I680">
        <v>11586.6</v>
      </c>
      <c r="J680">
        <v>222.6</v>
      </c>
      <c r="K680">
        <v>377482.1</v>
      </c>
      <c r="L680">
        <v>129234.4</v>
      </c>
      <c r="M680">
        <v>0</v>
      </c>
      <c r="N680">
        <v>4.4000000000000004</v>
      </c>
      <c r="O680">
        <v>3.0693999999999999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333498</v>
      </c>
      <c r="Y680" t="s">
        <v>347</v>
      </c>
      <c r="Z680" t="s">
        <v>574</v>
      </c>
      <c r="AB680" t="s">
        <v>575</v>
      </c>
      <c r="AC680" t="s">
        <v>576</v>
      </c>
      <c r="AD680" t="s">
        <v>577</v>
      </c>
      <c r="AE680" t="s">
        <v>578</v>
      </c>
      <c r="AF680" t="s">
        <v>329</v>
      </c>
      <c r="AG680">
        <v>2012</v>
      </c>
      <c r="AH680">
        <v>0.70387920380860403</v>
      </c>
      <c r="AI680">
        <v>0</v>
      </c>
      <c r="AJ680">
        <v>0</v>
      </c>
    </row>
    <row r="681" spans="1:36" x14ac:dyDescent="0.3">
      <c r="A681">
        <v>2023</v>
      </c>
      <c r="B681">
        <v>286</v>
      </c>
      <c r="C681" t="s">
        <v>408</v>
      </c>
      <c r="D681" t="s">
        <v>409</v>
      </c>
      <c r="E681" t="s">
        <v>410</v>
      </c>
      <c r="F681" t="s">
        <v>409</v>
      </c>
      <c r="G681">
        <v>49923.8</v>
      </c>
      <c r="H681">
        <v>-8.6</v>
      </c>
      <c r="I681">
        <v>-355.5</v>
      </c>
      <c r="J681">
        <v>-133.9</v>
      </c>
      <c r="K681">
        <v>126246.39999999999</v>
      </c>
      <c r="L681">
        <v>30727.5</v>
      </c>
      <c r="M681">
        <v>0</v>
      </c>
      <c r="N681">
        <v>-0.7</v>
      </c>
      <c r="O681">
        <v>-0.3</v>
      </c>
      <c r="P681">
        <v>-1.2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105812</v>
      </c>
      <c r="Y681" t="s">
        <v>347</v>
      </c>
      <c r="Z681" t="s">
        <v>579</v>
      </c>
      <c r="AB681">
        <v>92100</v>
      </c>
      <c r="AC681" t="s">
        <v>412</v>
      </c>
      <c r="AD681" t="s">
        <v>413</v>
      </c>
      <c r="AE681" t="s">
        <v>414</v>
      </c>
      <c r="AF681">
        <v>29625</v>
      </c>
      <c r="AG681">
        <v>2022</v>
      </c>
      <c r="AH681">
        <v>0.39544731572543901</v>
      </c>
      <c r="AI681">
        <v>-1.2E-2</v>
      </c>
      <c r="AJ681">
        <v>4.2614818565400796</v>
      </c>
    </row>
    <row r="682" spans="1:36" x14ac:dyDescent="0.3">
      <c r="A682">
        <v>2020</v>
      </c>
      <c r="B682">
        <v>478</v>
      </c>
      <c r="C682" t="s">
        <v>499</v>
      </c>
      <c r="D682" t="s">
        <v>409</v>
      </c>
      <c r="E682" t="s">
        <v>500</v>
      </c>
      <c r="F682" t="s">
        <v>409</v>
      </c>
      <c r="G682">
        <v>25996.7</v>
      </c>
      <c r="H682">
        <v>5</v>
      </c>
      <c r="I682">
        <v>1979.1</v>
      </c>
      <c r="J682">
        <v>3.3</v>
      </c>
      <c r="K682">
        <v>33659.1</v>
      </c>
      <c r="L682">
        <v>13881.7</v>
      </c>
      <c r="M682">
        <v>0</v>
      </c>
      <c r="N682">
        <v>7.6</v>
      </c>
      <c r="O682">
        <v>5.9</v>
      </c>
      <c r="P682">
        <v>14.3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111117</v>
      </c>
      <c r="Y682" t="s">
        <v>347</v>
      </c>
      <c r="Z682" t="s">
        <v>580</v>
      </c>
      <c r="AB682">
        <v>63000</v>
      </c>
      <c r="AC682" t="s">
        <v>502</v>
      </c>
      <c r="AD682" t="s">
        <v>581</v>
      </c>
      <c r="AE682" t="s">
        <v>504</v>
      </c>
      <c r="AF682">
        <v>13839.8601398601</v>
      </c>
      <c r="AG682">
        <v>2019</v>
      </c>
      <c r="AH682">
        <v>0.77235279612348495</v>
      </c>
      <c r="AI682">
        <v>0.14299999999999999</v>
      </c>
      <c r="AJ682">
        <v>2.43204047294225</v>
      </c>
    </row>
    <row r="683" spans="1:36" x14ac:dyDescent="0.3">
      <c r="A683">
        <v>2020</v>
      </c>
      <c r="B683">
        <v>143</v>
      </c>
      <c r="C683" t="s">
        <v>408</v>
      </c>
      <c r="D683" t="s">
        <v>409</v>
      </c>
      <c r="E683" t="s">
        <v>410</v>
      </c>
      <c r="F683" t="s">
        <v>409</v>
      </c>
      <c r="G683">
        <v>67764.100000000006</v>
      </c>
      <c r="H683">
        <v>2.2999999999999998</v>
      </c>
      <c r="I683">
        <v>3896.9</v>
      </c>
      <c r="J683">
        <v>-32.4</v>
      </c>
      <c r="K683">
        <v>131440.4</v>
      </c>
      <c r="L683">
        <v>40629.1</v>
      </c>
      <c r="M683">
        <v>0</v>
      </c>
      <c r="N683">
        <v>5.8</v>
      </c>
      <c r="O683">
        <v>3</v>
      </c>
      <c r="P683">
        <v>9.6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183002</v>
      </c>
      <c r="Y683" t="s">
        <v>347</v>
      </c>
      <c r="Z683" t="s">
        <v>444</v>
      </c>
      <c r="AB683">
        <v>92100</v>
      </c>
      <c r="AC683" t="s">
        <v>412</v>
      </c>
      <c r="AD683" t="s">
        <v>413</v>
      </c>
      <c r="AE683" t="s">
        <v>582</v>
      </c>
      <c r="AF683">
        <v>40592.708333333299</v>
      </c>
      <c r="AG683">
        <v>2019</v>
      </c>
      <c r="AH683">
        <v>0.51555001354225904</v>
      </c>
      <c r="AI683">
        <v>9.6000000000000002E-2</v>
      </c>
      <c r="AJ683">
        <v>3.2380298185737399</v>
      </c>
    </row>
    <row r="684" spans="1:36" x14ac:dyDescent="0.3">
      <c r="A684">
        <v>2020</v>
      </c>
      <c r="B684">
        <v>96</v>
      </c>
      <c r="C684" t="s">
        <v>452</v>
      </c>
      <c r="D684" t="s">
        <v>409</v>
      </c>
      <c r="E684" t="s">
        <v>583</v>
      </c>
      <c r="F684" t="s">
        <v>409</v>
      </c>
      <c r="G684">
        <v>87364.3</v>
      </c>
      <c r="H684">
        <v>18.899999999999999</v>
      </c>
      <c r="I684">
        <v>3336.3</v>
      </c>
      <c r="J684">
        <v>53.4</v>
      </c>
      <c r="K684">
        <v>70811.100000000006</v>
      </c>
      <c r="L684">
        <v>19528.2</v>
      </c>
      <c r="M684">
        <v>0</v>
      </c>
      <c r="N684">
        <v>3.8</v>
      </c>
      <c r="O684">
        <v>4.7</v>
      </c>
      <c r="P684">
        <v>17.100000000000001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216539</v>
      </c>
      <c r="Y684" t="s">
        <v>347</v>
      </c>
      <c r="Z684" t="s">
        <v>584</v>
      </c>
      <c r="AB684">
        <v>92500</v>
      </c>
      <c r="AC684" t="s">
        <v>585</v>
      </c>
      <c r="AD684" t="s">
        <v>456</v>
      </c>
      <c r="AE684" t="s">
        <v>586</v>
      </c>
      <c r="AF684">
        <v>19510.526315789499</v>
      </c>
      <c r="AG684">
        <v>2019</v>
      </c>
      <c r="AH684">
        <v>1.2337656101938801</v>
      </c>
      <c r="AI684">
        <v>0.17100000000000001</v>
      </c>
      <c r="AJ684">
        <v>3.62937928243863</v>
      </c>
    </row>
    <row r="685" spans="1:36" x14ac:dyDescent="0.3">
      <c r="A685">
        <v>2019</v>
      </c>
      <c r="B685">
        <v>478</v>
      </c>
      <c r="C685" t="s">
        <v>499</v>
      </c>
      <c r="D685" t="s">
        <v>409</v>
      </c>
      <c r="E685" t="s">
        <v>500</v>
      </c>
      <c r="F685" t="s">
        <v>409</v>
      </c>
      <c r="G685">
        <v>25996.7</v>
      </c>
      <c r="H685">
        <v>5</v>
      </c>
      <c r="I685">
        <v>1979.1</v>
      </c>
      <c r="J685">
        <v>3.3</v>
      </c>
      <c r="K685">
        <v>33659.1</v>
      </c>
      <c r="L685">
        <v>13881.7</v>
      </c>
      <c r="M685">
        <v>0</v>
      </c>
      <c r="N685">
        <v>7.6</v>
      </c>
      <c r="O685">
        <v>5.9</v>
      </c>
      <c r="P685">
        <v>14.3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111117</v>
      </c>
      <c r="Y685" t="s">
        <v>347</v>
      </c>
      <c r="Z685" t="s">
        <v>580</v>
      </c>
      <c r="AB685">
        <v>63000</v>
      </c>
      <c r="AC685" t="s">
        <v>502</v>
      </c>
      <c r="AD685" t="s">
        <v>581</v>
      </c>
      <c r="AE685" t="s">
        <v>504</v>
      </c>
      <c r="AF685">
        <v>13839.8601398601</v>
      </c>
      <c r="AG685">
        <v>2018</v>
      </c>
      <c r="AH685">
        <v>0.77235279612348495</v>
      </c>
      <c r="AI685">
        <v>0.14299999999999999</v>
      </c>
      <c r="AJ685">
        <v>2.43204047294225</v>
      </c>
    </row>
    <row r="686" spans="1:36" x14ac:dyDescent="0.3">
      <c r="A686">
        <v>2019</v>
      </c>
      <c r="B686">
        <v>143</v>
      </c>
      <c r="C686" t="s">
        <v>408</v>
      </c>
      <c r="D686" t="s">
        <v>409</v>
      </c>
      <c r="E686" t="s">
        <v>410</v>
      </c>
      <c r="F686" t="s">
        <v>409</v>
      </c>
      <c r="G686">
        <v>67764.100000000006</v>
      </c>
      <c r="H686">
        <v>2.2999999999999998</v>
      </c>
      <c r="I686">
        <v>3896.9</v>
      </c>
      <c r="J686">
        <v>-32.4</v>
      </c>
      <c r="K686">
        <v>131440.4</v>
      </c>
      <c r="L686">
        <v>40629.1</v>
      </c>
      <c r="M686">
        <v>0</v>
      </c>
      <c r="N686">
        <v>5.8</v>
      </c>
      <c r="O686">
        <v>3</v>
      </c>
      <c r="P686">
        <v>9.6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183002</v>
      </c>
      <c r="Y686" t="s">
        <v>347</v>
      </c>
      <c r="Z686" t="s">
        <v>444</v>
      </c>
      <c r="AB686">
        <v>92100</v>
      </c>
      <c r="AC686" t="s">
        <v>412</v>
      </c>
      <c r="AD686" t="s">
        <v>413</v>
      </c>
      <c r="AE686" t="s">
        <v>582</v>
      </c>
      <c r="AF686">
        <v>40592.708333333299</v>
      </c>
      <c r="AG686">
        <v>2018</v>
      </c>
      <c r="AH686">
        <v>0.51555001354225904</v>
      </c>
      <c r="AI686">
        <v>9.6000000000000002E-2</v>
      </c>
      <c r="AJ686">
        <v>3.2380298185737399</v>
      </c>
    </row>
    <row r="687" spans="1:36" x14ac:dyDescent="0.3">
      <c r="A687">
        <v>2019</v>
      </c>
      <c r="B687">
        <v>96</v>
      </c>
      <c r="C687" t="s">
        <v>452</v>
      </c>
      <c r="D687" t="s">
        <v>409</v>
      </c>
      <c r="E687" t="s">
        <v>583</v>
      </c>
      <c r="F687" t="s">
        <v>409</v>
      </c>
      <c r="G687">
        <v>87364.3</v>
      </c>
      <c r="H687">
        <v>18.899999999999999</v>
      </c>
      <c r="I687">
        <v>3336.3</v>
      </c>
      <c r="J687">
        <v>53.4</v>
      </c>
      <c r="K687">
        <v>70811.100000000006</v>
      </c>
      <c r="L687">
        <v>19528.2</v>
      </c>
      <c r="M687">
        <v>0</v>
      </c>
      <c r="N687">
        <v>3.8</v>
      </c>
      <c r="O687">
        <v>4.7</v>
      </c>
      <c r="P687">
        <v>17.100000000000001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216539</v>
      </c>
      <c r="Y687" t="s">
        <v>347</v>
      </c>
      <c r="Z687" t="s">
        <v>584</v>
      </c>
      <c r="AB687">
        <v>92500</v>
      </c>
      <c r="AC687" t="s">
        <v>585</v>
      </c>
      <c r="AD687" t="s">
        <v>456</v>
      </c>
      <c r="AE687" t="s">
        <v>586</v>
      </c>
      <c r="AF687">
        <v>19510.526315789499</v>
      </c>
      <c r="AG687">
        <v>2018</v>
      </c>
      <c r="AH687">
        <v>1.2337656101938801</v>
      </c>
      <c r="AI687">
        <v>0.17100000000000001</v>
      </c>
      <c r="AJ687">
        <v>3.62937928243863</v>
      </c>
    </row>
    <row r="688" spans="1:36" x14ac:dyDescent="0.3">
      <c r="A688">
        <v>2018</v>
      </c>
      <c r="B688">
        <v>478</v>
      </c>
      <c r="C688" t="s">
        <v>499</v>
      </c>
      <c r="D688" t="s">
        <v>409</v>
      </c>
      <c r="E688" t="s">
        <v>500</v>
      </c>
      <c r="F688" t="s">
        <v>409</v>
      </c>
      <c r="G688">
        <v>25996.7</v>
      </c>
      <c r="H688">
        <v>5</v>
      </c>
      <c r="I688">
        <v>1979.1</v>
      </c>
      <c r="J688">
        <v>3.3</v>
      </c>
      <c r="K688">
        <v>33659.1</v>
      </c>
      <c r="L688">
        <v>13881.7</v>
      </c>
      <c r="M688">
        <v>0</v>
      </c>
      <c r="N688">
        <v>7.6</v>
      </c>
      <c r="O688">
        <v>5.9</v>
      </c>
      <c r="P688">
        <v>14.3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111117</v>
      </c>
      <c r="Y688" t="s">
        <v>347</v>
      </c>
      <c r="Z688" t="s">
        <v>580</v>
      </c>
      <c r="AB688">
        <v>63000</v>
      </c>
      <c r="AC688" t="s">
        <v>502</v>
      </c>
      <c r="AD688" t="s">
        <v>581</v>
      </c>
      <c r="AE688" t="s">
        <v>504</v>
      </c>
      <c r="AF688">
        <v>13839.8601398601</v>
      </c>
      <c r="AG688">
        <v>2017</v>
      </c>
      <c r="AH688">
        <v>0.77235279612348495</v>
      </c>
      <c r="AI688">
        <v>0.14299999999999999</v>
      </c>
      <c r="AJ688">
        <v>2.43204047294225</v>
      </c>
    </row>
    <row r="689" spans="1:36" x14ac:dyDescent="0.3">
      <c r="A689">
        <v>2018</v>
      </c>
      <c r="B689">
        <v>143</v>
      </c>
      <c r="C689" t="s">
        <v>408</v>
      </c>
      <c r="D689" t="s">
        <v>409</v>
      </c>
      <c r="E689" t="s">
        <v>410</v>
      </c>
      <c r="F689" t="s">
        <v>409</v>
      </c>
      <c r="G689">
        <v>67764.100000000006</v>
      </c>
      <c r="H689">
        <v>2.2999999999999998</v>
      </c>
      <c r="I689">
        <v>3896.9</v>
      </c>
      <c r="J689">
        <v>-32.4</v>
      </c>
      <c r="K689">
        <v>131440.4</v>
      </c>
      <c r="L689">
        <v>40629.1</v>
      </c>
      <c r="M689">
        <v>0</v>
      </c>
      <c r="N689">
        <v>5.8</v>
      </c>
      <c r="O689">
        <v>3</v>
      </c>
      <c r="P689">
        <v>9.6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183002</v>
      </c>
      <c r="Y689" t="s">
        <v>347</v>
      </c>
      <c r="Z689" t="s">
        <v>444</v>
      </c>
      <c r="AB689">
        <v>92100</v>
      </c>
      <c r="AC689" t="s">
        <v>412</v>
      </c>
      <c r="AD689" t="s">
        <v>413</v>
      </c>
      <c r="AE689" t="s">
        <v>582</v>
      </c>
      <c r="AF689">
        <v>40592.708333333299</v>
      </c>
      <c r="AG689">
        <v>2017</v>
      </c>
      <c r="AH689">
        <v>0.51555001354225904</v>
      </c>
      <c r="AI689">
        <v>9.6000000000000002E-2</v>
      </c>
      <c r="AJ689">
        <v>3.2380298185737399</v>
      </c>
    </row>
    <row r="690" spans="1:36" x14ac:dyDescent="0.3">
      <c r="A690">
        <v>2018</v>
      </c>
      <c r="B690">
        <v>96</v>
      </c>
      <c r="C690" t="s">
        <v>452</v>
      </c>
      <c r="D690" t="s">
        <v>409</v>
      </c>
      <c r="E690" t="s">
        <v>583</v>
      </c>
      <c r="F690" t="s">
        <v>409</v>
      </c>
      <c r="G690">
        <v>87364.3</v>
      </c>
      <c r="H690">
        <v>18.899999999999999</v>
      </c>
      <c r="I690">
        <v>3336.3</v>
      </c>
      <c r="J690">
        <v>53.4</v>
      </c>
      <c r="K690">
        <v>70811.100000000006</v>
      </c>
      <c r="L690">
        <v>19528.2</v>
      </c>
      <c r="M690">
        <v>0</v>
      </c>
      <c r="N690">
        <v>3.8</v>
      </c>
      <c r="O690">
        <v>4.7</v>
      </c>
      <c r="P690">
        <v>17.100000000000001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216539</v>
      </c>
      <c r="Y690" t="s">
        <v>347</v>
      </c>
      <c r="Z690" t="s">
        <v>584</v>
      </c>
      <c r="AB690">
        <v>92500</v>
      </c>
      <c r="AC690" t="s">
        <v>585</v>
      </c>
      <c r="AD690" t="s">
        <v>456</v>
      </c>
      <c r="AE690" t="s">
        <v>586</v>
      </c>
      <c r="AF690">
        <v>19510.526315789499</v>
      </c>
      <c r="AG690">
        <v>2017</v>
      </c>
      <c r="AH690">
        <v>1.2337656101938801</v>
      </c>
      <c r="AI690">
        <v>0.17100000000000001</v>
      </c>
      <c r="AJ690">
        <v>3.62937928243863</v>
      </c>
    </row>
    <row r="691" spans="1:36" x14ac:dyDescent="0.3">
      <c r="A691">
        <v>2017</v>
      </c>
      <c r="B691">
        <v>466</v>
      </c>
      <c r="C691" t="s">
        <v>499</v>
      </c>
      <c r="D691" t="s">
        <v>409</v>
      </c>
      <c r="E691" t="s">
        <v>500</v>
      </c>
      <c r="F691" t="s">
        <v>409</v>
      </c>
      <c r="G691">
        <v>23119.9</v>
      </c>
      <c r="H691">
        <v>-1.7</v>
      </c>
      <c r="I691">
        <v>1853.4</v>
      </c>
      <c r="J691">
        <v>43</v>
      </c>
      <c r="K691">
        <v>26705.3</v>
      </c>
      <c r="L691">
        <v>11178</v>
      </c>
      <c r="M691">
        <v>0</v>
      </c>
      <c r="N691">
        <v>8</v>
      </c>
      <c r="O691">
        <v>6.9</v>
      </c>
      <c r="P691">
        <v>16.600000000000001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105654</v>
      </c>
      <c r="Y691" t="s">
        <v>347</v>
      </c>
      <c r="Z691" t="s">
        <v>587</v>
      </c>
      <c r="AB691">
        <v>63000</v>
      </c>
      <c r="AC691" t="s">
        <v>502</v>
      </c>
      <c r="AD691" t="s">
        <v>581</v>
      </c>
      <c r="AE691" t="s">
        <v>504</v>
      </c>
      <c r="AF691">
        <v>11165.0602409639</v>
      </c>
      <c r="AG691">
        <v>2016</v>
      </c>
      <c r="AH691">
        <v>0.86574200626841902</v>
      </c>
      <c r="AI691">
        <v>0.16600000000000001</v>
      </c>
      <c r="AJ691">
        <v>2.3918634941189199</v>
      </c>
    </row>
    <row r="692" spans="1:36" x14ac:dyDescent="0.3">
      <c r="A692">
        <v>2017</v>
      </c>
      <c r="B692">
        <v>157</v>
      </c>
      <c r="C692" t="s">
        <v>408</v>
      </c>
      <c r="D692" t="s">
        <v>409</v>
      </c>
      <c r="E692" t="s">
        <v>410</v>
      </c>
      <c r="F692" t="s">
        <v>409</v>
      </c>
      <c r="G692">
        <v>56666.8</v>
      </c>
      <c r="H692">
        <v>12.7</v>
      </c>
      <c r="I692">
        <v>3780.9</v>
      </c>
      <c r="J692">
        <v>20.7</v>
      </c>
      <c r="K692">
        <v>107680.9</v>
      </c>
      <c r="L692">
        <v>32422.5</v>
      </c>
      <c r="M692">
        <v>0</v>
      </c>
      <c r="N692">
        <v>6.7</v>
      </c>
      <c r="O692">
        <v>3.5</v>
      </c>
      <c r="P692">
        <v>11.7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124849</v>
      </c>
      <c r="Y692" t="s">
        <v>347</v>
      </c>
      <c r="Z692" t="s">
        <v>444</v>
      </c>
      <c r="AB692">
        <v>92100</v>
      </c>
      <c r="AC692" t="s">
        <v>412</v>
      </c>
      <c r="AD692" t="s">
        <v>413</v>
      </c>
      <c r="AE692" t="s">
        <v>582</v>
      </c>
      <c r="AF692">
        <v>32315.384615384599</v>
      </c>
      <c r="AG692">
        <v>2016</v>
      </c>
      <c r="AH692">
        <v>0.526247458927256</v>
      </c>
      <c r="AI692">
        <v>0.11700000000000001</v>
      </c>
      <c r="AJ692">
        <v>3.33218686027136</v>
      </c>
    </row>
    <row r="693" spans="1:36" x14ac:dyDescent="0.3">
      <c r="A693">
        <v>2017</v>
      </c>
      <c r="B693">
        <v>140</v>
      </c>
      <c r="C693" t="s">
        <v>452</v>
      </c>
      <c r="D693" t="s">
        <v>409</v>
      </c>
      <c r="E693" t="s">
        <v>453</v>
      </c>
      <c r="F693" t="s">
        <v>409</v>
      </c>
      <c r="G693">
        <v>59748.800000000003</v>
      </c>
      <c r="H693">
        <v>-1.5</v>
      </c>
      <c r="I693">
        <v>1913.1</v>
      </c>
      <c r="J693">
        <v>91.8</v>
      </c>
      <c r="K693">
        <v>47619.7</v>
      </c>
      <c r="L693">
        <v>13348.4</v>
      </c>
      <c r="M693">
        <v>0</v>
      </c>
      <c r="N693">
        <v>3.2</v>
      </c>
      <c r="O693">
        <v>4</v>
      </c>
      <c r="P693">
        <v>14.3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175341</v>
      </c>
      <c r="Y693" t="s">
        <v>347</v>
      </c>
      <c r="Z693" t="s">
        <v>454</v>
      </c>
      <c r="AB693">
        <v>75116</v>
      </c>
      <c r="AC693" t="s">
        <v>455</v>
      </c>
      <c r="AD693" t="s">
        <v>456</v>
      </c>
      <c r="AE693" t="s">
        <v>586</v>
      </c>
      <c r="AF693">
        <v>13378.321678321699</v>
      </c>
      <c r="AG693">
        <v>2016</v>
      </c>
      <c r="AH693">
        <v>1.25470761050574</v>
      </c>
      <c r="AI693">
        <v>0.14299999999999999</v>
      </c>
      <c r="AJ693">
        <v>3.5594674089174601</v>
      </c>
    </row>
    <row r="694" spans="1:36" x14ac:dyDescent="0.3">
      <c r="A694">
        <v>2016</v>
      </c>
      <c r="B694">
        <v>451</v>
      </c>
      <c r="C694" t="s">
        <v>499</v>
      </c>
      <c r="D694" t="s">
        <v>409</v>
      </c>
      <c r="E694" t="s">
        <v>500</v>
      </c>
      <c r="F694" t="s">
        <v>409</v>
      </c>
      <c r="G694">
        <v>23515.599999999999</v>
      </c>
      <c r="H694">
        <v>-9.3000000000000007</v>
      </c>
      <c r="I694">
        <v>1295.5999999999999</v>
      </c>
      <c r="J694">
        <v>-5.3</v>
      </c>
      <c r="K694">
        <v>25952.6</v>
      </c>
      <c r="L694">
        <v>10306.9</v>
      </c>
      <c r="M694">
        <v>0</v>
      </c>
      <c r="N694">
        <v>5.5</v>
      </c>
      <c r="O694">
        <v>5</v>
      </c>
      <c r="P694">
        <v>12.6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105798</v>
      </c>
      <c r="Y694" t="s">
        <v>347</v>
      </c>
      <c r="Z694" t="s">
        <v>587</v>
      </c>
      <c r="AB694">
        <v>63000</v>
      </c>
      <c r="AC694" t="s">
        <v>502</v>
      </c>
      <c r="AD694" t="s">
        <v>581</v>
      </c>
      <c r="AE694" t="s">
        <v>504</v>
      </c>
      <c r="AF694">
        <v>10282.5396825397</v>
      </c>
      <c r="AG694">
        <v>2015</v>
      </c>
      <c r="AH694">
        <v>0.906098040273422</v>
      </c>
      <c r="AI694">
        <v>0.126</v>
      </c>
      <c r="AJ694">
        <v>2.52394844087681</v>
      </c>
    </row>
    <row r="695" spans="1:36" x14ac:dyDescent="0.3">
      <c r="A695">
        <v>2016</v>
      </c>
      <c r="B695">
        <v>178</v>
      </c>
      <c r="C695" t="s">
        <v>408</v>
      </c>
      <c r="D695" t="s">
        <v>409</v>
      </c>
      <c r="E695" t="s">
        <v>410</v>
      </c>
      <c r="F695" t="s">
        <v>409</v>
      </c>
      <c r="G695">
        <v>50280.2</v>
      </c>
      <c r="H695">
        <v>-7.7</v>
      </c>
      <c r="I695">
        <v>3131.5</v>
      </c>
      <c r="J695">
        <v>24.9</v>
      </c>
      <c r="K695">
        <v>98415.1</v>
      </c>
      <c r="L695">
        <v>30404.9</v>
      </c>
      <c r="M695">
        <v>0</v>
      </c>
      <c r="N695">
        <v>6.2</v>
      </c>
      <c r="O695">
        <v>3.2</v>
      </c>
      <c r="P695">
        <v>10.3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120136</v>
      </c>
      <c r="Y695" t="s">
        <v>347</v>
      </c>
      <c r="Z695" t="s">
        <v>444</v>
      </c>
      <c r="AB695">
        <v>92100</v>
      </c>
      <c r="AC695" t="s">
        <v>412</v>
      </c>
      <c r="AD695" t="s">
        <v>413</v>
      </c>
      <c r="AE695" t="s">
        <v>582</v>
      </c>
      <c r="AF695">
        <v>30402.912621359199</v>
      </c>
      <c r="AG695">
        <v>2015</v>
      </c>
      <c r="AH695">
        <v>0.51089924208784998</v>
      </c>
      <c r="AI695">
        <v>0.10299999999999999</v>
      </c>
      <c r="AJ695">
        <v>3.2370286763531899</v>
      </c>
    </row>
    <row r="696" spans="1:36" x14ac:dyDescent="0.3">
      <c r="A696">
        <v>2014</v>
      </c>
      <c r="B696">
        <v>448</v>
      </c>
      <c r="C696" t="s">
        <v>499</v>
      </c>
      <c r="D696" t="s">
        <v>409</v>
      </c>
      <c r="E696" t="s">
        <v>500</v>
      </c>
      <c r="F696" t="s">
        <v>409</v>
      </c>
      <c r="G696">
        <v>26879.200000000001</v>
      </c>
      <c r="H696">
        <v>-2.6</v>
      </c>
      <c r="I696">
        <v>1496.2</v>
      </c>
      <c r="J696">
        <v>-25.8</v>
      </c>
      <c r="K696">
        <v>28495.7</v>
      </c>
      <c r="L696">
        <v>12744.7019</v>
      </c>
      <c r="M696">
        <v>0</v>
      </c>
      <c r="N696">
        <v>5.6018999999999997</v>
      </c>
      <c r="O696">
        <v>5.3018999999999998</v>
      </c>
      <c r="P696">
        <v>11.7019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105724</v>
      </c>
      <c r="Y696" t="s">
        <v>347</v>
      </c>
      <c r="Z696" t="s">
        <v>588</v>
      </c>
      <c r="AB696">
        <v>63000</v>
      </c>
      <c r="AC696" t="s">
        <v>502</v>
      </c>
      <c r="AD696" t="s">
        <v>589</v>
      </c>
      <c r="AE696" t="s">
        <v>504</v>
      </c>
      <c r="AF696">
        <v>12785.957835907</v>
      </c>
      <c r="AG696">
        <v>2013</v>
      </c>
      <c r="AH696">
        <v>0.94327214281452998</v>
      </c>
      <c r="AI696">
        <v>0.11700000000000001</v>
      </c>
      <c r="AJ696">
        <v>2.2286715133672002</v>
      </c>
    </row>
    <row r="697" spans="1:36" x14ac:dyDescent="0.3">
      <c r="A697">
        <v>2014</v>
      </c>
      <c r="B697">
        <v>190</v>
      </c>
      <c r="C697" t="s">
        <v>408</v>
      </c>
      <c r="D697" t="s">
        <v>409</v>
      </c>
      <c r="E697" t="s">
        <v>410</v>
      </c>
      <c r="F697" t="s">
        <v>409</v>
      </c>
      <c r="G697">
        <v>54339.8</v>
      </c>
      <c r="H697">
        <v>2.5</v>
      </c>
      <c r="I697">
        <v>778</v>
      </c>
      <c r="J697">
        <v>-65.8</v>
      </c>
      <c r="K697">
        <v>103324</v>
      </c>
      <c r="L697">
        <v>31464.801899999999</v>
      </c>
      <c r="M697">
        <v>0</v>
      </c>
      <c r="N697">
        <v>1.4018999999999999</v>
      </c>
      <c r="O697">
        <v>0.80189999999999995</v>
      </c>
      <c r="P697">
        <v>2.5019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121807</v>
      </c>
      <c r="Y697" t="s">
        <v>347</v>
      </c>
      <c r="Z697" t="s">
        <v>541</v>
      </c>
      <c r="AB697">
        <v>92100</v>
      </c>
      <c r="AC697" t="s">
        <v>412</v>
      </c>
      <c r="AD697" t="s">
        <v>542</v>
      </c>
      <c r="AE697" t="s">
        <v>543</v>
      </c>
      <c r="AF697">
        <v>31096.366761261401</v>
      </c>
      <c r="AG697">
        <v>2013</v>
      </c>
      <c r="AH697">
        <v>0.52591653439665498</v>
      </c>
      <c r="AI697">
        <v>2.5000000000000001E-2</v>
      </c>
      <c r="AJ697">
        <v>3.32270328534704</v>
      </c>
    </row>
    <row r="698" spans="1:36" x14ac:dyDescent="0.3">
      <c r="A698">
        <v>2012</v>
      </c>
      <c r="B698">
        <v>466</v>
      </c>
      <c r="C698" t="s">
        <v>499</v>
      </c>
      <c r="D698" t="s">
        <v>409</v>
      </c>
      <c r="E698" t="s">
        <v>500</v>
      </c>
      <c r="F698" t="s">
        <v>409</v>
      </c>
      <c r="G698">
        <v>23119.9</v>
      </c>
      <c r="H698">
        <v>-1.7</v>
      </c>
      <c r="I698">
        <v>1853.4</v>
      </c>
      <c r="J698">
        <v>43</v>
      </c>
      <c r="K698">
        <v>26705.3</v>
      </c>
      <c r="L698">
        <v>11178</v>
      </c>
      <c r="M698">
        <v>0</v>
      </c>
      <c r="N698">
        <v>8</v>
      </c>
      <c r="O698">
        <v>6.9</v>
      </c>
      <c r="P698">
        <v>16.600000000000001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105654</v>
      </c>
      <c r="Y698" t="s">
        <v>347</v>
      </c>
      <c r="Z698" t="s">
        <v>588</v>
      </c>
      <c r="AB698">
        <v>63000</v>
      </c>
      <c r="AC698" t="s">
        <v>502</v>
      </c>
      <c r="AD698" t="s">
        <v>589</v>
      </c>
      <c r="AE698" t="s">
        <v>504</v>
      </c>
      <c r="AF698">
        <v>11165.0602409639</v>
      </c>
      <c r="AG698">
        <v>2011</v>
      </c>
      <c r="AH698">
        <v>0.86574200626841902</v>
      </c>
      <c r="AI698">
        <v>0.16600000000000001</v>
      </c>
      <c r="AJ698">
        <v>2.3918634941189199</v>
      </c>
    </row>
    <row r="699" spans="1:36" x14ac:dyDescent="0.3">
      <c r="A699">
        <v>2012</v>
      </c>
      <c r="B699">
        <v>157</v>
      </c>
      <c r="C699" t="s">
        <v>408</v>
      </c>
      <c r="D699" t="s">
        <v>409</v>
      </c>
      <c r="E699" t="s">
        <v>410</v>
      </c>
      <c r="F699" t="s">
        <v>409</v>
      </c>
      <c r="G699">
        <v>56666.8</v>
      </c>
      <c r="H699">
        <v>12.7</v>
      </c>
      <c r="I699">
        <v>3780.9</v>
      </c>
      <c r="J699">
        <v>20.7</v>
      </c>
      <c r="K699">
        <v>107680.9</v>
      </c>
      <c r="L699">
        <v>32422.5</v>
      </c>
      <c r="M699">
        <v>0</v>
      </c>
      <c r="N699">
        <v>6.7</v>
      </c>
      <c r="O699">
        <v>3.5</v>
      </c>
      <c r="P699">
        <v>11.7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124849</v>
      </c>
      <c r="Y699" t="s">
        <v>347</v>
      </c>
      <c r="Z699" t="s">
        <v>541</v>
      </c>
      <c r="AB699">
        <v>92100</v>
      </c>
      <c r="AC699" t="s">
        <v>412</v>
      </c>
      <c r="AD699" t="s">
        <v>590</v>
      </c>
      <c r="AE699" t="s">
        <v>582</v>
      </c>
      <c r="AF699">
        <v>32315.384615384599</v>
      </c>
      <c r="AG699">
        <v>2011</v>
      </c>
      <c r="AH699">
        <v>0.526247458927256</v>
      </c>
      <c r="AI699">
        <v>0.11700000000000001</v>
      </c>
      <c r="AJ699">
        <v>3.33218686027136</v>
      </c>
    </row>
    <row r="700" spans="1:36" x14ac:dyDescent="0.3">
      <c r="A700">
        <v>2012</v>
      </c>
      <c r="B700">
        <v>140</v>
      </c>
      <c r="C700" t="s">
        <v>452</v>
      </c>
      <c r="D700" t="s">
        <v>409</v>
      </c>
      <c r="E700" t="s">
        <v>453</v>
      </c>
      <c r="F700" t="s">
        <v>409</v>
      </c>
      <c r="G700">
        <v>59748.800000000003</v>
      </c>
      <c r="H700">
        <v>-1.5</v>
      </c>
      <c r="I700">
        <v>1913.1</v>
      </c>
      <c r="J700">
        <v>91.8</v>
      </c>
      <c r="K700">
        <v>47619.7</v>
      </c>
      <c r="L700">
        <v>13348.4</v>
      </c>
      <c r="M700">
        <v>0</v>
      </c>
      <c r="N700">
        <v>3.2</v>
      </c>
      <c r="O700">
        <v>4</v>
      </c>
      <c r="P700">
        <v>14.3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175341</v>
      </c>
      <c r="Y700" t="s">
        <v>347</v>
      </c>
      <c r="Z700" t="s">
        <v>458</v>
      </c>
      <c r="AB700">
        <v>75116</v>
      </c>
      <c r="AC700" t="s">
        <v>455</v>
      </c>
      <c r="AD700" t="s">
        <v>459</v>
      </c>
      <c r="AE700" t="s">
        <v>586</v>
      </c>
      <c r="AF700">
        <v>13378.321678321699</v>
      </c>
      <c r="AG700">
        <v>2011</v>
      </c>
      <c r="AH700">
        <v>1.25470761050574</v>
      </c>
      <c r="AI700">
        <v>0.14299999999999999</v>
      </c>
      <c r="AJ700">
        <v>3.5594674089174601</v>
      </c>
    </row>
    <row r="701" spans="1:36" x14ac:dyDescent="0.3">
      <c r="A701">
        <v>2023</v>
      </c>
      <c r="B701">
        <v>362</v>
      </c>
      <c r="C701" t="s">
        <v>415</v>
      </c>
      <c r="D701" t="s">
        <v>395</v>
      </c>
      <c r="E701" t="s">
        <v>416</v>
      </c>
      <c r="F701" t="s">
        <v>395</v>
      </c>
      <c r="G701">
        <v>41448.699999999997</v>
      </c>
      <c r="H701">
        <v>-8.1999999999999993</v>
      </c>
      <c r="I701">
        <v>70</v>
      </c>
      <c r="J701">
        <v>-95.9</v>
      </c>
      <c r="K701">
        <v>40467.800000000003</v>
      </c>
      <c r="L701">
        <v>14147.6</v>
      </c>
      <c r="M701">
        <v>0</v>
      </c>
      <c r="N701">
        <v>0.2</v>
      </c>
      <c r="O701">
        <v>0.2</v>
      </c>
      <c r="P701">
        <v>0.5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199038</v>
      </c>
      <c r="Y701" t="s">
        <v>347</v>
      </c>
      <c r="Z701" t="s">
        <v>417</v>
      </c>
      <c r="AB701">
        <v>30165</v>
      </c>
      <c r="AC701" t="s">
        <v>418</v>
      </c>
      <c r="AD701" t="s">
        <v>419</v>
      </c>
      <c r="AE701" t="s">
        <v>420</v>
      </c>
      <c r="AF701">
        <v>14000</v>
      </c>
      <c r="AG701">
        <v>2022</v>
      </c>
      <c r="AH701">
        <v>1.0242390246072199</v>
      </c>
      <c r="AI701">
        <v>5.0000000000000001E-3</v>
      </c>
      <c r="AJ701">
        <v>2.8905571428571402</v>
      </c>
    </row>
    <row r="702" spans="1:36" x14ac:dyDescent="0.3">
      <c r="A702">
        <v>2023</v>
      </c>
      <c r="B702">
        <v>57</v>
      </c>
      <c r="C702" t="s">
        <v>591</v>
      </c>
      <c r="D702" t="s">
        <v>395</v>
      </c>
      <c r="E702" t="s">
        <v>555</v>
      </c>
      <c r="F702" t="s">
        <v>395</v>
      </c>
      <c r="G702">
        <v>149991.29999999999</v>
      </c>
      <c r="H702">
        <v>14</v>
      </c>
      <c r="I702">
        <v>18869.599999999999</v>
      </c>
      <c r="J702">
        <v>28.9</v>
      </c>
      <c r="K702">
        <v>263470</v>
      </c>
      <c r="L702">
        <v>92962.4</v>
      </c>
      <c r="M702">
        <v>0</v>
      </c>
      <c r="N702">
        <v>12.6</v>
      </c>
      <c r="O702">
        <v>7.2</v>
      </c>
      <c r="P702">
        <v>20.3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149475</v>
      </c>
      <c r="Y702" t="s">
        <v>347</v>
      </c>
      <c r="Z702" t="s">
        <v>592</v>
      </c>
      <c r="AB702">
        <v>80809</v>
      </c>
      <c r="AC702" t="s">
        <v>593</v>
      </c>
      <c r="AD702" t="s">
        <v>594</v>
      </c>
      <c r="AE702" t="s">
        <v>560</v>
      </c>
      <c r="AF702">
        <v>92953.694581280797</v>
      </c>
      <c r="AG702">
        <v>2022</v>
      </c>
      <c r="AH702">
        <v>0.56929175997267201</v>
      </c>
      <c r="AI702">
        <v>0.20300000000000001</v>
      </c>
      <c r="AJ702">
        <v>2.83442203332344</v>
      </c>
    </row>
    <row r="703" spans="1:36" x14ac:dyDescent="0.3">
      <c r="A703">
        <v>2023</v>
      </c>
      <c r="B703">
        <v>47</v>
      </c>
      <c r="C703" t="s">
        <v>595</v>
      </c>
      <c r="D703" t="s">
        <v>395</v>
      </c>
      <c r="E703" t="s">
        <v>564</v>
      </c>
      <c r="F703" t="s">
        <v>395</v>
      </c>
      <c r="G703">
        <v>157781.70000000001</v>
      </c>
      <c r="H703">
        <v>-0.3</v>
      </c>
      <c r="I703">
        <v>15251.6</v>
      </c>
      <c r="J703">
        <v>-43.9</v>
      </c>
      <c r="K703">
        <v>277436</v>
      </c>
      <c r="L703">
        <v>91137.8</v>
      </c>
      <c r="M703">
        <v>0</v>
      </c>
      <c r="N703">
        <v>9.6999999999999993</v>
      </c>
      <c r="O703">
        <v>5.5</v>
      </c>
      <c r="P703">
        <v>16.7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168797</v>
      </c>
      <c r="Y703" t="s">
        <v>347</v>
      </c>
      <c r="Z703" t="s">
        <v>596</v>
      </c>
      <c r="AB703">
        <v>70372</v>
      </c>
      <c r="AC703" t="s">
        <v>566</v>
      </c>
      <c r="AD703" t="s">
        <v>597</v>
      </c>
      <c r="AE703" t="s">
        <v>598</v>
      </c>
      <c r="AF703">
        <v>91326.946107784403</v>
      </c>
      <c r="AG703">
        <v>2022</v>
      </c>
      <c r="AH703">
        <v>0.56871386554016101</v>
      </c>
      <c r="AI703">
        <v>0.16700000000000001</v>
      </c>
      <c r="AJ703">
        <v>3.0378328831073498</v>
      </c>
    </row>
    <row r="704" spans="1:36" x14ac:dyDescent="0.3">
      <c r="A704">
        <v>2023</v>
      </c>
      <c r="B704">
        <v>15</v>
      </c>
      <c r="C704" t="s">
        <v>446</v>
      </c>
      <c r="D704" t="s">
        <v>395</v>
      </c>
      <c r="E704" t="s">
        <v>447</v>
      </c>
      <c r="F704" t="s">
        <v>395</v>
      </c>
      <c r="G704">
        <v>293684.7</v>
      </c>
      <c r="H704">
        <v>-0.7</v>
      </c>
      <c r="I704">
        <v>15223.2</v>
      </c>
      <c r="J704">
        <v>-16.3</v>
      </c>
      <c r="K704">
        <v>602611.69999999995</v>
      </c>
      <c r="L704">
        <v>176458.3</v>
      </c>
      <c r="M704">
        <v>0</v>
      </c>
      <c r="N704">
        <v>5.2</v>
      </c>
      <c r="O704">
        <v>2.5</v>
      </c>
      <c r="P704">
        <v>8.6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675805</v>
      </c>
      <c r="Y704" t="s">
        <v>347</v>
      </c>
      <c r="Z704" t="s">
        <v>448</v>
      </c>
      <c r="AB704">
        <v>38440</v>
      </c>
      <c r="AC704" t="s">
        <v>449</v>
      </c>
      <c r="AD704" t="s">
        <v>599</v>
      </c>
      <c r="AE704" t="s">
        <v>571</v>
      </c>
      <c r="AF704">
        <v>177013.953488372</v>
      </c>
      <c r="AG704">
        <v>2022</v>
      </c>
      <c r="AH704">
        <v>0.48735313303741001</v>
      </c>
      <c r="AI704">
        <v>8.5999999999999993E-2</v>
      </c>
      <c r="AJ704">
        <v>3.4043175022334302</v>
      </c>
    </row>
    <row r="705" spans="1:36" x14ac:dyDescent="0.3">
      <c r="A705">
        <v>2022</v>
      </c>
      <c r="B705">
        <v>59</v>
      </c>
      <c r="C705" t="s">
        <v>591</v>
      </c>
      <c r="D705" t="s">
        <v>395</v>
      </c>
      <c r="E705" t="s">
        <v>555</v>
      </c>
      <c r="F705" t="s">
        <v>395</v>
      </c>
      <c r="G705">
        <v>131521.60000000001</v>
      </c>
      <c r="H705">
        <v>16.600000000000001</v>
      </c>
      <c r="I705">
        <v>14639.6</v>
      </c>
      <c r="J705">
        <v>240.3</v>
      </c>
      <c r="K705">
        <v>260972.2</v>
      </c>
      <c r="L705">
        <v>84554.1</v>
      </c>
      <c r="M705">
        <v>0</v>
      </c>
      <c r="N705">
        <v>11.1</v>
      </c>
      <c r="O705">
        <v>5.6</v>
      </c>
      <c r="P705">
        <v>17.3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118909</v>
      </c>
      <c r="Y705" t="s">
        <v>347</v>
      </c>
      <c r="Z705" t="s">
        <v>592</v>
      </c>
      <c r="AB705">
        <v>80788</v>
      </c>
      <c r="AC705" t="s">
        <v>593</v>
      </c>
      <c r="AD705" t="s">
        <v>594</v>
      </c>
      <c r="AE705" t="s">
        <v>560</v>
      </c>
      <c r="AF705">
        <v>84621.965317919094</v>
      </c>
      <c r="AG705">
        <v>2021</v>
      </c>
      <c r="AH705">
        <v>0.50396785558002</v>
      </c>
      <c r="AI705">
        <v>0.17299999999999999</v>
      </c>
      <c r="AJ705">
        <v>3.0839770622148199</v>
      </c>
    </row>
    <row r="706" spans="1:36" x14ac:dyDescent="0.3">
      <c r="A706">
        <v>2022</v>
      </c>
      <c r="B706">
        <v>8</v>
      </c>
      <c r="C706" t="s">
        <v>446</v>
      </c>
      <c r="D706" t="s">
        <v>395</v>
      </c>
      <c r="E706" t="s">
        <v>447</v>
      </c>
      <c r="F706" t="s">
        <v>395</v>
      </c>
      <c r="G706">
        <v>295819.8</v>
      </c>
      <c r="H706">
        <v>16.5</v>
      </c>
      <c r="I706">
        <v>18186.599999999999</v>
      </c>
      <c r="J706">
        <v>80</v>
      </c>
      <c r="K706">
        <v>601028.4</v>
      </c>
      <c r="L706">
        <v>164238.5</v>
      </c>
      <c r="M706">
        <v>0</v>
      </c>
      <c r="N706">
        <v>6.1</v>
      </c>
      <c r="O706">
        <v>3</v>
      </c>
      <c r="P706">
        <v>11.1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672789</v>
      </c>
      <c r="Y706" t="s">
        <v>347</v>
      </c>
      <c r="Z706" t="s">
        <v>448</v>
      </c>
      <c r="AB706">
        <v>38440</v>
      </c>
      <c r="AC706" t="s">
        <v>449</v>
      </c>
      <c r="AD706" t="s">
        <v>599</v>
      </c>
      <c r="AE706" t="s">
        <v>571</v>
      </c>
      <c r="AF706">
        <v>163843.24324324299</v>
      </c>
      <c r="AG706">
        <v>2021</v>
      </c>
      <c r="AH706">
        <v>0.492189387390013</v>
      </c>
      <c r="AI706">
        <v>0.111</v>
      </c>
      <c r="AJ706">
        <v>3.6683136155191201</v>
      </c>
    </row>
    <row r="707" spans="1:36" x14ac:dyDescent="0.3">
      <c r="A707">
        <v>2022</v>
      </c>
      <c r="B707">
        <v>38</v>
      </c>
      <c r="C707" t="s">
        <v>595</v>
      </c>
      <c r="D707" t="s">
        <v>395</v>
      </c>
      <c r="E707" t="s">
        <v>564</v>
      </c>
      <c r="F707" t="s">
        <v>395</v>
      </c>
      <c r="G707">
        <v>158306.1</v>
      </c>
      <c r="H707">
        <v>-10</v>
      </c>
      <c r="I707">
        <v>27200.799999999999</v>
      </c>
      <c r="J707">
        <v>558.20000000000005</v>
      </c>
      <c r="K707">
        <v>295427.8</v>
      </c>
      <c r="L707">
        <v>81808.3</v>
      </c>
      <c r="M707">
        <v>0</v>
      </c>
      <c r="N707">
        <v>17.2</v>
      </c>
      <c r="O707">
        <v>9.1999999999999993</v>
      </c>
      <c r="P707">
        <v>33.200000000000003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172425</v>
      </c>
      <c r="Y707" t="s">
        <v>347</v>
      </c>
      <c r="Z707" t="s">
        <v>600</v>
      </c>
      <c r="AB707">
        <v>70372</v>
      </c>
      <c r="AC707" t="s">
        <v>566</v>
      </c>
      <c r="AD707" t="s">
        <v>601</v>
      </c>
      <c r="AE707" t="s">
        <v>598</v>
      </c>
      <c r="AF707">
        <v>81930.120481927705</v>
      </c>
      <c r="AG707">
        <v>2021</v>
      </c>
      <c r="AH707">
        <v>0.53585376867038204</v>
      </c>
      <c r="AI707">
        <v>0.33200000000000002</v>
      </c>
      <c r="AJ707">
        <v>3.6058509161495298</v>
      </c>
    </row>
    <row r="708" spans="1:36" x14ac:dyDescent="0.3">
      <c r="A708">
        <v>2021</v>
      </c>
      <c r="B708">
        <v>54</v>
      </c>
      <c r="C708" t="s">
        <v>591</v>
      </c>
      <c r="D708" t="s">
        <v>395</v>
      </c>
      <c r="E708" t="s">
        <v>555</v>
      </c>
      <c r="F708" t="s">
        <v>395</v>
      </c>
      <c r="G708">
        <v>112794.1</v>
      </c>
      <c r="H708">
        <v>-3.3</v>
      </c>
      <c r="I708">
        <v>4301.3999999999996</v>
      </c>
      <c r="J708">
        <v>-21.8</v>
      </c>
      <c r="K708">
        <v>265146.09999999998</v>
      </c>
      <c r="L708">
        <v>74518.399999999994</v>
      </c>
      <c r="M708">
        <v>0</v>
      </c>
      <c r="N708">
        <v>3.8</v>
      </c>
      <c r="O708">
        <v>1.6</v>
      </c>
      <c r="P708">
        <v>5.8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120726</v>
      </c>
      <c r="Y708" t="s">
        <v>347</v>
      </c>
      <c r="Z708" t="s">
        <v>592</v>
      </c>
      <c r="AB708">
        <v>80788</v>
      </c>
      <c r="AC708" t="s">
        <v>593</v>
      </c>
      <c r="AD708" t="s">
        <v>594</v>
      </c>
      <c r="AE708" t="s">
        <v>560</v>
      </c>
      <c r="AF708">
        <v>74162.068965517203</v>
      </c>
      <c r="AG708">
        <v>2020</v>
      </c>
      <c r="AH708">
        <v>0.42540357938510098</v>
      </c>
      <c r="AI708">
        <v>5.8000000000000003E-2</v>
      </c>
      <c r="AJ708">
        <v>3.57522522899521</v>
      </c>
    </row>
    <row r="709" spans="1:36" x14ac:dyDescent="0.3">
      <c r="A709">
        <v>2021</v>
      </c>
      <c r="B709">
        <v>24</v>
      </c>
      <c r="C709" t="s">
        <v>563</v>
      </c>
      <c r="D709" t="s">
        <v>395</v>
      </c>
      <c r="E709" t="s">
        <v>564</v>
      </c>
      <c r="F709" t="s">
        <v>395</v>
      </c>
      <c r="G709">
        <v>175827.3</v>
      </c>
      <c r="H709">
        <v>-9.1</v>
      </c>
      <c r="I709">
        <v>4132.8</v>
      </c>
      <c r="J709">
        <v>55.3</v>
      </c>
      <c r="K709">
        <v>349684.9</v>
      </c>
      <c r="L709">
        <v>74273.600000000006</v>
      </c>
      <c r="M709">
        <v>0</v>
      </c>
      <c r="N709">
        <v>2.4</v>
      </c>
      <c r="O709">
        <v>1.2</v>
      </c>
      <c r="P709">
        <v>5.6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288481</v>
      </c>
      <c r="Y709" t="s">
        <v>347</v>
      </c>
      <c r="Z709" t="s">
        <v>600</v>
      </c>
      <c r="AB709">
        <v>70372</v>
      </c>
      <c r="AC709" t="s">
        <v>566</v>
      </c>
      <c r="AD709" t="s">
        <v>601</v>
      </c>
      <c r="AE709" t="s">
        <v>568</v>
      </c>
      <c r="AF709">
        <v>73800</v>
      </c>
      <c r="AG709">
        <v>2020</v>
      </c>
      <c r="AH709">
        <v>0.502816392700972</v>
      </c>
      <c r="AI709">
        <v>5.6000000000000001E-2</v>
      </c>
      <c r="AJ709">
        <v>4.73827777777778</v>
      </c>
    </row>
    <row r="710" spans="1:36" x14ac:dyDescent="0.3">
      <c r="A710">
        <v>2021</v>
      </c>
      <c r="B710">
        <v>10</v>
      </c>
      <c r="C710" t="s">
        <v>446</v>
      </c>
      <c r="D710" t="s">
        <v>395</v>
      </c>
      <c r="E710" t="s">
        <v>447</v>
      </c>
      <c r="F710" t="s">
        <v>395</v>
      </c>
      <c r="G710">
        <v>253965</v>
      </c>
      <c r="H710">
        <v>-10.199999999999999</v>
      </c>
      <c r="I710">
        <v>10103.5</v>
      </c>
      <c r="J710">
        <v>-35</v>
      </c>
      <c r="K710">
        <v>608368.1</v>
      </c>
      <c r="L710">
        <v>155482.6</v>
      </c>
      <c r="M710">
        <v>0</v>
      </c>
      <c r="N710">
        <v>4</v>
      </c>
      <c r="O710">
        <v>1.7</v>
      </c>
      <c r="P710">
        <v>6.5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662575</v>
      </c>
      <c r="Y710" t="s">
        <v>347</v>
      </c>
      <c r="Z710" t="s">
        <v>448</v>
      </c>
      <c r="AB710">
        <v>38440</v>
      </c>
      <c r="AC710" t="s">
        <v>449</v>
      </c>
      <c r="AD710" t="s">
        <v>599</v>
      </c>
      <c r="AE710" t="s">
        <v>571</v>
      </c>
      <c r="AF710">
        <v>155438.461538462</v>
      </c>
      <c r="AG710">
        <v>2020</v>
      </c>
      <c r="AH710">
        <v>0.417452854612199</v>
      </c>
      <c r="AI710">
        <v>6.5000000000000002E-2</v>
      </c>
      <c r="AJ710">
        <v>3.9138839511060501</v>
      </c>
    </row>
    <row r="711" spans="1:36" x14ac:dyDescent="0.3">
      <c r="A711">
        <v>2020</v>
      </c>
      <c r="B711">
        <v>205</v>
      </c>
      <c r="C711" t="s">
        <v>415</v>
      </c>
      <c r="D711" t="s">
        <v>395</v>
      </c>
      <c r="E711" t="s">
        <v>443</v>
      </c>
      <c r="F711" t="s">
        <v>395</v>
      </c>
      <c r="G711">
        <v>52404.7</v>
      </c>
      <c r="H711">
        <v>5.6</v>
      </c>
      <c r="I711">
        <v>3419.3</v>
      </c>
      <c r="J711">
        <v>1.6</v>
      </c>
      <c r="K711">
        <v>46229.1</v>
      </c>
      <c r="L711">
        <v>20403</v>
      </c>
      <c r="M711">
        <v>0</v>
      </c>
      <c r="N711">
        <v>6.5</v>
      </c>
      <c r="O711">
        <v>7.4</v>
      </c>
      <c r="P711">
        <v>16.8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243226</v>
      </c>
      <c r="Y711" t="s">
        <v>347</v>
      </c>
      <c r="Z711" t="s">
        <v>417</v>
      </c>
      <c r="AB711">
        <v>30165</v>
      </c>
      <c r="AC711" t="s">
        <v>418</v>
      </c>
      <c r="AD711" t="s">
        <v>419</v>
      </c>
      <c r="AE711" t="s">
        <v>525</v>
      </c>
      <c r="AF711">
        <v>20352.976190476202</v>
      </c>
      <c r="AG711">
        <v>2019</v>
      </c>
      <c r="AH711">
        <v>1.1335868533023601</v>
      </c>
      <c r="AI711">
        <v>0.16800000000000001</v>
      </c>
      <c r="AJ711">
        <v>2.2713680577896098</v>
      </c>
    </row>
    <row r="712" spans="1:36" x14ac:dyDescent="0.3">
      <c r="A712">
        <v>2020</v>
      </c>
      <c r="B712">
        <v>53</v>
      </c>
      <c r="C712" t="s">
        <v>591</v>
      </c>
      <c r="D712" t="s">
        <v>395</v>
      </c>
      <c r="E712" t="s">
        <v>555</v>
      </c>
      <c r="F712" t="s">
        <v>395</v>
      </c>
      <c r="G712">
        <v>115042.8</v>
      </c>
      <c r="H712">
        <v>3.4</v>
      </c>
      <c r="I712">
        <v>8399.2999999999993</v>
      </c>
      <c r="J712">
        <v>-13.6</v>
      </c>
      <c r="K712">
        <v>238864.1</v>
      </c>
      <c r="L712">
        <v>65789.899999999994</v>
      </c>
      <c r="M712">
        <v>0</v>
      </c>
      <c r="N712">
        <v>7.3</v>
      </c>
      <c r="O712">
        <v>3.5</v>
      </c>
      <c r="P712">
        <v>12.8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134682</v>
      </c>
      <c r="Y712" t="s">
        <v>347</v>
      </c>
      <c r="Z712" t="s">
        <v>592</v>
      </c>
      <c r="AB712">
        <v>80788</v>
      </c>
      <c r="AC712" t="s">
        <v>593</v>
      </c>
      <c r="AD712" t="s">
        <v>594</v>
      </c>
      <c r="AE712" t="s">
        <v>560</v>
      </c>
      <c r="AF712">
        <v>65619.53125</v>
      </c>
      <c r="AG712">
        <v>2019</v>
      </c>
      <c r="AH712">
        <v>0.48162448856902301</v>
      </c>
      <c r="AI712">
        <v>0.128</v>
      </c>
      <c r="AJ712">
        <v>3.6401372495327</v>
      </c>
    </row>
    <row r="713" spans="1:36" x14ac:dyDescent="0.3">
      <c r="A713">
        <v>2020</v>
      </c>
      <c r="B713">
        <v>18</v>
      </c>
      <c r="C713" t="s">
        <v>563</v>
      </c>
      <c r="D713" t="s">
        <v>395</v>
      </c>
      <c r="E713" t="s">
        <v>564</v>
      </c>
      <c r="F713" t="s">
        <v>395</v>
      </c>
      <c r="G713">
        <v>197515.3</v>
      </c>
      <c r="H713">
        <v>6.6</v>
      </c>
      <c r="I713">
        <v>8555</v>
      </c>
      <c r="J713">
        <v>-27.9</v>
      </c>
      <c r="K713">
        <v>321890.5</v>
      </c>
      <c r="L713">
        <v>73914.399999999994</v>
      </c>
      <c r="M713">
        <v>0</v>
      </c>
      <c r="N713">
        <v>4.3</v>
      </c>
      <c r="O713">
        <v>2.7</v>
      </c>
      <c r="P713">
        <v>11.6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298683</v>
      </c>
      <c r="Y713" t="s">
        <v>347</v>
      </c>
      <c r="Z713" t="s">
        <v>602</v>
      </c>
      <c r="AB713">
        <v>70327</v>
      </c>
      <c r="AC713" t="s">
        <v>566</v>
      </c>
      <c r="AD713" t="s">
        <v>601</v>
      </c>
      <c r="AE713" t="s">
        <v>568</v>
      </c>
      <c r="AF713">
        <v>73750</v>
      </c>
      <c r="AG713">
        <v>2019</v>
      </c>
      <c r="AH713">
        <v>0.61361021838171703</v>
      </c>
      <c r="AI713">
        <v>0.11600000000000001</v>
      </c>
      <c r="AJ713">
        <v>4.3646169491525404</v>
      </c>
    </row>
    <row r="714" spans="1:36" x14ac:dyDescent="0.3">
      <c r="A714">
        <v>2020</v>
      </c>
      <c r="B714">
        <v>9</v>
      </c>
      <c r="C714" t="s">
        <v>446</v>
      </c>
      <c r="D714" t="s">
        <v>395</v>
      </c>
      <c r="E714" t="s">
        <v>447</v>
      </c>
      <c r="F714" t="s">
        <v>395</v>
      </c>
      <c r="G714">
        <v>278341.5</v>
      </c>
      <c r="H714">
        <v>7</v>
      </c>
      <c r="I714">
        <v>14322.5</v>
      </c>
      <c r="J714">
        <v>9.3000000000000007</v>
      </c>
      <c r="K714">
        <v>523672.3</v>
      </c>
      <c r="L714">
        <v>133864.70000000001</v>
      </c>
      <c r="M714">
        <v>0</v>
      </c>
      <c r="N714">
        <v>5.0999999999999996</v>
      </c>
      <c r="O714">
        <v>2.7</v>
      </c>
      <c r="P714">
        <v>10.7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664496</v>
      </c>
      <c r="Y714" t="s">
        <v>347</v>
      </c>
      <c r="Z714" t="s">
        <v>448</v>
      </c>
      <c r="AB714">
        <v>38440</v>
      </c>
      <c r="AC714" t="s">
        <v>449</v>
      </c>
      <c r="AD714" t="s">
        <v>599</v>
      </c>
      <c r="AE714" t="s">
        <v>571</v>
      </c>
      <c r="AF714">
        <v>133855.14018691599</v>
      </c>
      <c r="AG714">
        <v>2019</v>
      </c>
      <c r="AH714">
        <v>0.53151847061607005</v>
      </c>
      <c r="AI714">
        <v>0.107</v>
      </c>
      <c r="AJ714">
        <v>3.9122315308081701</v>
      </c>
    </row>
    <row r="715" spans="1:36" x14ac:dyDescent="0.3">
      <c r="A715">
        <v>2019</v>
      </c>
      <c r="B715">
        <v>205</v>
      </c>
      <c r="C715" t="s">
        <v>415</v>
      </c>
      <c r="D715" t="s">
        <v>395</v>
      </c>
      <c r="E715" t="s">
        <v>443</v>
      </c>
      <c r="F715" t="s">
        <v>395</v>
      </c>
      <c r="G715">
        <v>52404.7</v>
      </c>
      <c r="H715">
        <v>5.6</v>
      </c>
      <c r="I715">
        <v>3419.3</v>
      </c>
      <c r="J715">
        <v>1.6</v>
      </c>
      <c r="K715">
        <v>46229.1</v>
      </c>
      <c r="L715">
        <v>20403</v>
      </c>
      <c r="M715">
        <v>0</v>
      </c>
      <c r="N715">
        <v>6.5</v>
      </c>
      <c r="O715">
        <v>7.4</v>
      </c>
      <c r="P715">
        <v>16.8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243226</v>
      </c>
      <c r="Y715" t="s">
        <v>347</v>
      </c>
      <c r="Z715" t="s">
        <v>417</v>
      </c>
      <c r="AB715">
        <v>30165</v>
      </c>
      <c r="AC715" t="s">
        <v>418</v>
      </c>
      <c r="AD715" t="s">
        <v>419</v>
      </c>
      <c r="AE715" t="s">
        <v>525</v>
      </c>
      <c r="AF715">
        <v>20352.976190476202</v>
      </c>
      <c r="AG715">
        <v>2018</v>
      </c>
      <c r="AH715">
        <v>1.1335868533023601</v>
      </c>
      <c r="AI715">
        <v>0.16800000000000001</v>
      </c>
      <c r="AJ715">
        <v>2.2713680577896098</v>
      </c>
    </row>
    <row r="716" spans="1:36" x14ac:dyDescent="0.3">
      <c r="A716">
        <v>2019</v>
      </c>
      <c r="B716">
        <v>53</v>
      </c>
      <c r="C716" t="s">
        <v>591</v>
      </c>
      <c r="D716" t="s">
        <v>395</v>
      </c>
      <c r="E716" t="s">
        <v>555</v>
      </c>
      <c r="F716" t="s">
        <v>395</v>
      </c>
      <c r="G716">
        <v>115042.8</v>
      </c>
      <c r="H716">
        <v>3.4</v>
      </c>
      <c r="I716">
        <v>8399.2999999999993</v>
      </c>
      <c r="J716">
        <v>-13.6</v>
      </c>
      <c r="K716">
        <v>238864.1</v>
      </c>
      <c r="L716">
        <v>65789.899999999994</v>
      </c>
      <c r="M716">
        <v>0</v>
      </c>
      <c r="N716">
        <v>7.3</v>
      </c>
      <c r="O716">
        <v>3.5</v>
      </c>
      <c r="P716">
        <v>12.8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134682</v>
      </c>
      <c r="Y716" t="s">
        <v>347</v>
      </c>
      <c r="Z716" t="s">
        <v>592</v>
      </c>
      <c r="AB716">
        <v>80788</v>
      </c>
      <c r="AC716" t="s">
        <v>593</v>
      </c>
      <c r="AD716" t="s">
        <v>594</v>
      </c>
      <c r="AE716" t="s">
        <v>560</v>
      </c>
      <c r="AF716">
        <v>65619.53125</v>
      </c>
      <c r="AG716">
        <v>2018</v>
      </c>
      <c r="AH716">
        <v>0.48162448856902301</v>
      </c>
      <c r="AI716">
        <v>0.128</v>
      </c>
      <c r="AJ716">
        <v>3.6401372495327</v>
      </c>
    </row>
    <row r="717" spans="1:36" x14ac:dyDescent="0.3">
      <c r="A717">
        <v>2019</v>
      </c>
      <c r="B717">
        <v>18</v>
      </c>
      <c r="C717" t="s">
        <v>563</v>
      </c>
      <c r="D717" t="s">
        <v>395</v>
      </c>
      <c r="E717" t="s">
        <v>564</v>
      </c>
      <c r="F717" t="s">
        <v>395</v>
      </c>
      <c r="G717">
        <v>197515.3</v>
      </c>
      <c r="H717">
        <v>6.6</v>
      </c>
      <c r="I717">
        <v>8555</v>
      </c>
      <c r="J717">
        <v>-27.9</v>
      </c>
      <c r="K717">
        <v>321890.5</v>
      </c>
      <c r="L717">
        <v>73914.399999999994</v>
      </c>
      <c r="M717">
        <v>0</v>
      </c>
      <c r="N717">
        <v>4.3</v>
      </c>
      <c r="O717">
        <v>2.7</v>
      </c>
      <c r="P717">
        <v>11.6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298683</v>
      </c>
      <c r="Y717" t="s">
        <v>347</v>
      </c>
      <c r="Z717" t="s">
        <v>602</v>
      </c>
      <c r="AB717">
        <v>70327</v>
      </c>
      <c r="AC717" t="s">
        <v>566</v>
      </c>
      <c r="AD717" t="s">
        <v>601</v>
      </c>
      <c r="AE717" t="s">
        <v>568</v>
      </c>
      <c r="AF717">
        <v>73750</v>
      </c>
      <c r="AG717">
        <v>2018</v>
      </c>
      <c r="AH717">
        <v>0.61361021838171703</v>
      </c>
      <c r="AI717">
        <v>0.11600000000000001</v>
      </c>
      <c r="AJ717">
        <v>4.3646169491525404</v>
      </c>
    </row>
    <row r="718" spans="1:36" x14ac:dyDescent="0.3">
      <c r="A718">
        <v>2019</v>
      </c>
      <c r="B718">
        <v>9</v>
      </c>
      <c r="C718" t="s">
        <v>446</v>
      </c>
      <c r="D718" t="s">
        <v>395</v>
      </c>
      <c r="E718" t="s">
        <v>447</v>
      </c>
      <c r="F718" t="s">
        <v>395</v>
      </c>
      <c r="G718">
        <v>278341.5</v>
      </c>
      <c r="H718">
        <v>7</v>
      </c>
      <c r="I718">
        <v>14322.5</v>
      </c>
      <c r="J718">
        <v>9.3000000000000007</v>
      </c>
      <c r="K718">
        <v>523672.3</v>
      </c>
      <c r="L718">
        <v>133864.70000000001</v>
      </c>
      <c r="M718">
        <v>0</v>
      </c>
      <c r="N718">
        <v>5.0999999999999996</v>
      </c>
      <c r="O718">
        <v>2.7</v>
      </c>
      <c r="P718">
        <v>10.7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664496</v>
      </c>
      <c r="Y718" t="s">
        <v>347</v>
      </c>
      <c r="Z718" t="s">
        <v>448</v>
      </c>
      <c r="AB718">
        <v>38440</v>
      </c>
      <c r="AC718" t="s">
        <v>449</v>
      </c>
      <c r="AD718" t="s">
        <v>599</v>
      </c>
      <c r="AE718" t="s">
        <v>571</v>
      </c>
      <c r="AF718">
        <v>133855.14018691599</v>
      </c>
      <c r="AG718">
        <v>2018</v>
      </c>
      <c r="AH718">
        <v>0.53151847061607005</v>
      </c>
      <c r="AI718">
        <v>0.107</v>
      </c>
      <c r="AJ718">
        <v>3.9122315308081701</v>
      </c>
    </row>
    <row r="719" spans="1:36" x14ac:dyDescent="0.3">
      <c r="A719">
        <v>2018</v>
      </c>
      <c r="B719">
        <v>205</v>
      </c>
      <c r="C719" t="s">
        <v>415</v>
      </c>
      <c r="D719" t="s">
        <v>395</v>
      </c>
      <c r="E719" t="s">
        <v>443</v>
      </c>
      <c r="F719" t="s">
        <v>395</v>
      </c>
      <c r="G719">
        <v>52404.7</v>
      </c>
      <c r="H719">
        <v>5.6</v>
      </c>
      <c r="I719">
        <v>3419.3</v>
      </c>
      <c r="J719">
        <v>1.6</v>
      </c>
      <c r="K719">
        <v>46229.1</v>
      </c>
      <c r="L719">
        <v>20403</v>
      </c>
      <c r="M719">
        <v>0</v>
      </c>
      <c r="N719">
        <v>6.5</v>
      </c>
      <c r="O719">
        <v>7.4</v>
      </c>
      <c r="P719">
        <v>16.8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243226</v>
      </c>
      <c r="Y719" t="s">
        <v>347</v>
      </c>
      <c r="Z719" t="s">
        <v>417</v>
      </c>
      <c r="AB719">
        <v>30165</v>
      </c>
      <c r="AC719" t="s">
        <v>418</v>
      </c>
      <c r="AD719" t="s">
        <v>419</v>
      </c>
      <c r="AE719" t="s">
        <v>525</v>
      </c>
      <c r="AF719">
        <v>20352.976190476202</v>
      </c>
      <c r="AG719">
        <v>2017</v>
      </c>
      <c r="AH719">
        <v>1.1335868533023601</v>
      </c>
      <c r="AI719">
        <v>0.16800000000000001</v>
      </c>
      <c r="AJ719">
        <v>2.2713680577896098</v>
      </c>
    </row>
    <row r="720" spans="1:36" x14ac:dyDescent="0.3">
      <c r="A720">
        <v>2018</v>
      </c>
      <c r="B720">
        <v>53</v>
      </c>
      <c r="C720" t="s">
        <v>591</v>
      </c>
      <c r="D720" t="s">
        <v>395</v>
      </c>
      <c r="E720" t="s">
        <v>555</v>
      </c>
      <c r="F720" t="s">
        <v>395</v>
      </c>
      <c r="G720">
        <v>115042.8</v>
      </c>
      <c r="H720">
        <v>3.4</v>
      </c>
      <c r="I720">
        <v>8399.2999999999993</v>
      </c>
      <c r="J720">
        <v>-13.6</v>
      </c>
      <c r="K720">
        <v>238864.1</v>
      </c>
      <c r="L720">
        <v>65789.899999999994</v>
      </c>
      <c r="M720">
        <v>0</v>
      </c>
      <c r="N720">
        <v>7.3</v>
      </c>
      <c r="O720">
        <v>3.5</v>
      </c>
      <c r="P720">
        <v>12.8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134682</v>
      </c>
      <c r="Y720" t="s">
        <v>347</v>
      </c>
      <c r="Z720" t="s">
        <v>592</v>
      </c>
      <c r="AB720">
        <v>80788</v>
      </c>
      <c r="AC720" t="s">
        <v>593</v>
      </c>
      <c r="AD720" t="s">
        <v>594</v>
      </c>
      <c r="AE720" t="s">
        <v>560</v>
      </c>
      <c r="AF720">
        <v>65619.53125</v>
      </c>
      <c r="AG720">
        <v>2017</v>
      </c>
      <c r="AH720">
        <v>0.48162448856902301</v>
      </c>
      <c r="AI720">
        <v>0.128</v>
      </c>
      <c r="AJ720">
        <v>3.6401372495327</v>
      </c>
    </row>
    <row r="721" spans="1:36" x14ac:dyDescent="0.3">
      <c r="A721">
        <v>2018</v>
      </c>
      <c r="B721">
        <v>18</v>
      </c>
      <c r="C721" t="s">
        <v>563</v>
      </c>
      <c r="D721" t="s">
        <v>395</v>
      </c>
      <c r="E721" t="s">
        <v>564</v>
      </c>
      <c r="F721" t="s">
        <v>395</v>
      </c>
      <c r="G721">
        <v>197515.3</v>
      </c>
      <c r="H721">
        <v>6.6</v>
      </c>
      <c r="I721">
        <v>8555</v>
      </c>
      <c r="J721">
        <v>-27.9</v>
      </c>
      <c r="K721">
        <v>321890.5</v>
      </c>
      <c r="L721">
        <v>73914.399999999994</v>
      </c>
      <c r="M721">
        <v>0</v>
      </c>
      <c r="N721">
        <v>4.3</v>
      </c>
      <c r="O721">
        <v>2.7</v>
      </c>
      <c r="P721">
        <v>11.6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298683</v>
      </c>
      <c r="Y721" t="s">
        <v>347</v>
      </c>
      <c r="Z721" t="s">
        <v>602</v>
      </c>
      <c r="AB721">
        <v>70327</v>
      </c>
      <c r="AC721" t="s">
        <v>566</v>
      </c>
      <c r="AD721" t="s">
        <v>601</v>
      </c>
      <c r="AE721" t="s">
        <v>568</v>
      </c>
      <c r="AF721">
        <v>73750</v>
      </c>
      <c r="AG721">
        <v>2017</v>
      </c>
      <c r="AH721">
        <v>0.61361021838171703</v>
      </c>
      <c r="AI721">
        <v>0.11600000000000001</v>
      </c>
      <c r="AJ721">
        <v>4.3646169491525404</v>
      </c>
    </row>
    <row r="722" spans="1:36" x14ac:dyDescent="0.3">
      <c r="A722">
        <v>2018</v>
      </c>
      <c r="B722">
        <v>9</v>
      </c>
      <c r="C722" t="s">
        <v>446</v>
      </c>
      <c r="D722" t="s">
        <v>395</v>
      </c>
      <c r="E722" t="s">
        <v>447</v>
      </c>
      <c r="F722" t="s">
        <v>395</v>
      </c>
      <c r="G722">
        <v>278341.5</v>
      </c>
      <c r="H722">
        <v>7</v>
      </c>
      <c r="I722">
        <v>14322.5</v>
      </c>
      <c r="J722">
        <v>9.3000000000000007</v>
      </c>
      <c r="K722">
        <v>523672.3</v>
      </c>
      <c r="L722">
        <v>133864.70000000001</v>
      </c>
      <c r="M722">
        <v>0</v>
      </c>
      <c r="N722">
        <v>5.0999999999999996</v>
      </c>
      <c r="O722">
        <v>2.7</v>
      </c>
      <c r="P722">
        <v>10.7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664496</v>
      </c>
      <c r="Y722" t="s">
        <v>347</v>
      </c>
      <c r="Z722" t="s">
        <v>448</v>
      </c>
      <c r="AB722">
        <v>38440</v>
      </c>
      <c r="AC722" t="s">
        <v>449</v>
      </c>
      <c r="AD722" t="s">
        <v>599</v>
      </c>
      <c r="AE722" t="s">
        <v>571</v>
      </c>
      <c r="AF722">
        <v>133855.14018691599</v>
      </c>
      <c r="AG722">
        <v>2017</v>
      </c>
      <c r="AH722">
        <v>0.53151847061607005</v>
      </c>
      <c r="AI722">
        <v>0.107</v>
      </c>
      <c r="AJ722">
        <v>3.9122315308081701</v>
      </c>
    </row>
    <row r="723" spans="1:36" x14ac:dyDescent="0.3">
      <c r="A723">
        <v>2017</v>
      </c>
      <c r="B723">
        <v>213</v>
      </c>
      <c r="C723" t="s">
        <v>415</v>
      </c>
      <c r="D723" t="s">
        <v>395</v>
      </c>
      <c r="E723" t="s">
        <v>443</v>
      </c>
      <c r="F723" t="s">
        <v>395</v>
      </c>
      <c r="G723">
        <v>44841.5</v>
      </c>
      <c r="H723">
        <v>3</v>
      </c>
      <c r="I723">
        <v>3099.1</v>
      </c>
      <c r="J723">
        <v>2.4</v>
      </c>
      <c r="K723">
        <v>38151.1</v>
      </c>
      <c r="L723">
        <v>15049.6</v>
      </c>
      <c r="M723">
        <v>0</v>
      </c>
      <c r="N723">
        <v>6.9</v>
      </c>
      <c r="O723">
        <v>8.1</v>
      </c>
      <c r="P723">
        <v>20.6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220137</v>
      </c>
      <c r="Y723" t="s">
        <v>347</v>
      </c>
      <c r="Z723" t="s">
        <v>417</v>
      </c>
      <c r="AB723">
        <v>30165</v>
      </c>
      <c r="AC723" t="s">
        <v>418</v>
      </c>
      <c r="AD723" t="s">
        <v>419</v>
      </c>
      <c r="AE723" t="s">
        <v>525</v>
      </c>
      <c r="AF723">
        <v>15044.1747572816</v>
      </c>
      <c r="AG723">
        <v>2016</v>
      </c>
      <c r="AH723">
        <v>1.1753658479047799</v>
      </c>
      <c r="AI723">
        <v>0.20599999999999999</v>
      </c>
      <c r="AJ723">
        <v>2.5359383692039601</v>
      </c>
    </row>
    <row r="724" spans="1:36" x14ac:dyDescent="0.3">
      <c r="A724">
        <v>2017</v>
      </c>
      <c r="B724">
        <v>52</v>
      </c>
      <c r="C724" t="s">
        <v>591</v>
      </c>
      <c r="D724" t="s">
        <v>395</v>
      </c>
      <c r="E724" t="s">
        <v>555</v>
      </c>
      <c r="F724" t="s">
        <v>395</v>
      </c>
      <c r="G724">
        <v>104129.7</v>
      </c>
      <c r="H724">
        <v>1.8</v>
      </c>
      <c r="I724">
        <v>7589.4</v>
      </c>
      <c r="J724">
        <v>7.4</v>
      </c>
      <c r="K724">
        <v>198834.6</v>
      </c>
      <c r="L724">
        <v>49681.5</v>
      </c>
      <c r="M724">
        <v>0</v>
      </c>
      <c r="N724">
        <v>7.3</v>
      </c>
      <c r="O724">
        <v>3.8</v>
      </c>
      <c r="P724">
        <v>15.3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124729</v>
      </c>
      <c r="Y724" t="s">
        <v>347</v>
      </c>
      <c r="Z724" t="s">
        <v>592</v>
      </c>
      <c r="AB724">
        <v>80788</v>
      </c>
      <c r="AC724" t="s">
        <v>593</v>
      </c>
      <c r="AD724" t="s">
        <v>594</v>
      </c>
      <c r="AE724" t="s">
        <v>560</v>
      </c>
      <c r="AF724">
        <v>49603.921568627396</v>
      </c>
      <c r="AG724">
        <v>2016</v>
      </c>
      <c r="AH724">
        <v>0.52370010048552895</v>
      </c>
      <c r="AI724">
        <v>0.153</v>
      </c>
      <c r="AJ724">
        <v>4.0084451735315003</v>
      </c>
    </row>
    <row r="725" spans="1:36" x14ac:dyDescent="0.3">
      <c r="A725">
        <v>2017</v>
      </c>
      <c r="B725">
        <v>17</v>
      </c>
      <c r="C725" t="s">
        <v>563</v>
      </c>
      <c r="D725" t="s">
        <v>395</v>
      </c>
      <c r="E725" t="s">
        <v>564</v>
      </c>
      <c r="F725" t="s">
        <v>395</v>
      </c>
      <c r="G725">
        <v>169483</v>
      </c>
      <c r="H725">
        <v>2.2000000000000002</v>
      </c>
      <c r="I725">
        <v>9428.4</v>
      </c>
      <c r="J725">
        <v>0.9</v>
      </c>
      <c r="K725">
        <v>256262.39999999999</v>
      </c>
      <c r="L725">
        <v>61115.8</v>
      </c>
      <c r="M725">
        <v>0</v>
      </c>
      <c r="N725">
        <v>5.6</v>
      </c>
      <c r="O725">
        <v>3.7</v>
      </c>
      <c r="P725">
        <v>15.4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282488</v>
      </c>
      <c r="Y725" t="s">
        <v>347</v>
      </c>
      <c r="Z725" t="s">
        <v>602</v>
      </c>
      <c r="AB725">
        <v>70327</v>
      </c>
      <c r="AC725" t="s">
        <v>566</v>
      </c>
      <c r="AD725" t="s">
        <v>603</v>
      </c>
      <c r="AE725" t="s">
        <v>568</v>
      </c>
      <c r="AF725">
        <v>61223.3766233766</v>
      </c>
      <c r="AG725">
        <v>2016</v>
      </c>
      <c r="AH725">
        <v>0.661365069553707</v>
      </c>
      <c r="AI725">
        <v>0.154</v>
      </c>
      <c r="AJ725">
        <v>4.1856953035509701</v>
      </c>
    </row>
    <row r="726" spans="1:36" x14ac:dyDescent="0.3">
      <c r="A726">
        <v>2016</v>
      </c>
      <c r="B726">
        <v>213</v>
      </c>
      <c r="C726" t="s">
        <v>415</v>
      </c>
      <c r="D726" t="s">
        <v>395</v>
      </c>
      <c r="E726" t="s">
        <v>443</v>
      </c>
      <c r="F726" t="s">
        <v>395</v>
      </c>
      <c r="G726">
        <v>43519.1</v>
      </c>
      <c r="H726">
        <v>-4.9000000000000004</v>
      </c>
      <c r="I726">
        <v>3025.4</v>
      </c>
      <c r="J726">
        <v>-4</v>
      </c>
      <c r="K726">
        <v>35666.1</v>
      </c>
      <c r="L726">
        <v>13888.5</v>
      </c>
      <c r="M726">
        <v>0</v>
      </c>
      <c r="N726">
        <v>7</v>
      </c>
      <c r="O726">
        <v>8.5</v>
      </c>
      <c r="P726">
        <v>21.8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207899</v>
      </c>
      <c r="Y726" t="s">
        <v>347</v>
      </c>
      <c r="Z726" t="s">
        <v>417</v>
      </c>
      <c r="AB726">
        <v>30165</v>
      </c>
      <c r="AC726" t="s">
        <v>418</v>
      </c>
      <c r="AD726" t="s">
        <v>419</v>
      </c>
      <c r="AE726" t="s">
        <v>525</v>
      </c>
      <c r="AF726">
        <v>13877.9816513761</v>
      </c>
      <c r="AG726">
        <v>2015</v>
      </c>
      <c r="AH726">
        <v>1.22018106829735</v>
      </c>
      <c r="AI726">
        <v>0.218</v>
      </c>
      <c r="AJ726">
        <v>2.5699774575262802</v>
      </c>
    </row>
    <row r="727" spans="1:36" x14ac:dyDescent="0.3">
      <c r="A727">
        <v>2016</v>
      </c>
      <c r="B727">
        <v>51</v>
      </c>
      <c r="C727" t="s">
        <v>591</v>
      </c>
      <c r="D727" t="s">
        <v>395</v>
      </c>
      <c r="E727" t="s">
        <v>555</v>
      </c>
      <c r="F727" t="s">
        <v>395</v>
      </c>
      <c r="G727">
        <v>102247.6</v>
      </c>
      <c r="H727">
        <v>-4.0999999999999996</v>
      </c>
      <c r="I727">
        <v>7065</v>
      </c>
      <c r="J727">
        <v>-8.1</v>
      </c>
      <c r="K727">
        <v>187015.4</v>
      </c>
      <c r="L727">
        <v>46196.1</v>
      </c>
      <c r="M727">
        <v>0</v>
      </c>
      <c r="N727">
        <v>6.9</v>
      </c>
      <c r="O727">
        <v>3.8</v>
      </c>
      <c r="P727">
        <v>15.3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122244</v>
      </c>
      <c r="Y727" t="s">
        <v>347</v>
      </c>
      <c r="Z727" t="s">
        <v>592</v>
      </c>
      <c r="AB727">
        <v>80788</v>
      </c>
      <c r="AC727" t="s">
        <v>593</v>
      </c>
      <c r="AD727" t="s">
        <v>604</v>
      </c>
      <c r="AE727" t="s">
        <v>560</v>
      </c>
      <c r="AF727">
        <v>46176.470588235301</v>
      </c>
      <c r="AG727">
        <v>2015</v>
      </c>
      <c r="AH727">
        <v>0.54673358450694398</v>
      </c>
      <c r="AI727">
        <v>0.153</v>
      </c>
      <c r="AJ727">
        <v>4.0500150318471304</v>
      </c>
    </row>
    <row r="728" spans="1:36" x14ac:dyDescent="0.3">
      <c r="A728">
        <v>2016</v>
      </c>
      <c r="B728">
        <v>16</v>
      </c>
      <c r="C728" t="s">
        <v>563</v>
      </c>
      <c r="D728" t="s">
        <v>395</v>
      </c>
      <c r="E728" t="s">
        <v>564</v>
      </c>
      <c r="F728" t="s">
        <v>395</v>
      </c>
      <c r="G728">
        <v>165800.20000000001</v>
      </c>
      <c r="H728">
        <v>-3.8</v>
      </c>
      <c r="I728">
        <v>9344.5</v>
      </c>
      <c r="J728">
        <v>1.2</v>
      </c>
      <c r="K728">
        <v>235885.7</v>
      </c>
      <c r="L728">
        <v>58177.9</v>
      </c>
      <c r="M728">
        <v>0</v>
      </c>
      <c r="N728">
        <v>5.6</v>
      </c>
      <c r="O728">
        <v>4</v>
      </c>
      <c r="P728">
        <v>16.100000000000001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284015</v>
      </c>
      <c r="Y728" t="s">
        <v>347</v>
      </c>
      <c r="Z728" t="s">
        <v>602</v>
      </c>
      <c r="AB728">
        <v>70327</v>
      </c>
      <c r="AC728" t="s">
        <v>566</v>
      </c>
      <c r="AD728" t="s">
        <v>603</v>
      </c>
      <c r="AE728" t="s">
        <v>568</v>
      </c>
      <c r="AF728">
        <v>58040.372670807403</v>
      </c>
      <c r="AG728">
        <v>2015</v>
      </c>
      <c r="AH728">
        <v>0.70288364237425205</v>
      </c>
      <c r="AI728">
        <v>0.161</v>
      </c>
      <c r="AJ728">
        <v>4.0641658408689603</v>
      </c>
    </row>
    <row r="729" spans="1:36" x14ac:dyDescent="0.3">
      <c r="A729">
        <v>2016</v>
      </c>
      <c r="B729">
        <v>7</v>
      </c>
      <c r="C729" t="s">
        <v>446</v>
      </c>
      <c r="D729" t="s">
        <v>395</v>
      </c>
      <c r="E729" t="s">
        <v>447</v>
      </c>
      <c r="F729" t="s">
        <v>395</v>
      </c>
      <c r="G729">
        <v>236599.8</v>
      </c>
      <c r="H729">
        <v>-11.9</v>
      </c>
      <c r="I729">
        <v>-1519.7</v>
      </c>
      <c r="J729">
        <v>-110.4</v>
      </c>
      <c r="K729">
        <v>414857.7</v>
      </c>
      <c r="L729">
        <v>95650.8</v>
      </c>
      <c r="M729">
        <v>0</v>
      </c>
      <c r="N729">
        <v>-0.6</v>
      </c>
      <c r="O729">
        <v>-0.4</v>
      </c>
      <c r="P729">
        <v>-1.6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610076</v>
      </c>
      <c r="Y729" t="s">
        <v>347</v>
      </c>
      <c r="Z729" t="s">
        <v>448</v>
      </c>
      <c r="AB729">
        <v>38440</v>
      </c>
      <c r="AC729" t="s">
        <v>449</v>
      </c>
      <c r="AD729" t="s">
        <v>450</v>
      </c>
      <c r="AE729" t="s">
        <v>451</v>
      </c>
      <c r="AF729">
        <v>94981.25</v>
      </c>
      <c r="AG729">
        <v>2015</v>
      </c>
      <c r="AH729">
        <v>0.57031555639439702</v>
      </c>
      <c r="AI729">
        <v>-1.6E-2</v>
      </c>
      <c r="AJ729">
        <v>4.3677852207672601</v>
      </c>
    </row>
    <row r="730" spans="1:36" x14ac:dyDescent="0.3">
      <c r="A730">
        <v>2014</v>
      </c>
      <c r="B730">
        <v>237</v>
      </c>
      <c r="C730" t="s">
        <v>415</v>
      </c>
      <c r="D730" t="s">
        <v>395</v>
      </c>
      <c r="E730" t="s">
        <v>443</v>
      </c>
      <c r="F730" t="s">
        <v>395</v>
      </c>
      <c r="G730">
        <v>44249</v>
      </c>
      <c r="H730">
        <v>5.2</v>
      </c>
      <c r="I730">
        <v>2553</v>
      </c>
      <c r="J730">
        <v>5.5</v>
      </c>
      <c r="K730">
        <v>36953.699999999997</v>
      </c>
      <c r="L730">
        <v>12415.6019</v>
      </c>
      <c r="M730">
        <v>0</v>
      </c>
      <c r="N730">
        <v>5.8018999999999998</v>
      </c>
      <c r="O730">
        <v>6.9019000000000004</v>
      </c>
      <c r="P730">
        <v>20.601900000000001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177762</v>
      </c>
      <c r="Y730" t="s">
        <v>347</v>
      </c>
      <c r="Z730" t="s">
        <v>605</v>
      </c>
      <c r="AB730">
        <v>30165</v>
      </c>
      <c r="AC730" t="s">
        <v>418</v>
      </c>
      <c r="AD730" t="s">
        <v>524</v>
      </c>
      <c r="AE730" t="s">
        <v>525</v>
      </c>
      <c r="AF730">
        <v>12392.060926419401</v>
      </c>
      <c r="AG730">
        <v>2013</v>
      </c>
      <c r="AH730">
        <v>1.19741730868628</v>
      </c>
      <c r="AI730">
        <v>0.20599999999999999</v>
      </c>
      <c r="AJ730">
        <v>2.9820463455934201</v>
      </c>
    </row>
    <row r="731" spans="1:36" x14ac:dyDescent="0.3">
      <c r="A731">
        <v>2014</v>
      </c>
      <c r="B731">
        <v>68</v>
      </c>
      <c r="C731" t="s">
        <v>554</v>
      </c>
      <c r="D731" t="s">
        <v>395</v>
      </c>
      <c r="E731" t="s">
        <v>555</v>
      </c>
      <c r="F731" t="s">
        <v>395</v>
      </c>
      <c r="G731">
        <v>100971.7</v>
      </c>
      <c r="H731">
        <v>2.2000000000000002</v>
      </c>
      <c r="I731">
        <v>7054.7</v>
      </c>
      <c r="J731">
        <v>7.7</v>
      </c>
      <c r="K731">
        <v>190643.4</v>
      </c>
      <c r="L731">
        <v>48849.901899999997</v>
      </c>
      <c r="M731">
        <v>0</v>
      </c>
      <c r="N731">
        <v>7.0019</v>
      </c>
      <c r="O731">
        <v>3.7019000000000002</v>
      </c>
      <c r="P731">
        <v>14.401899999999999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110351</v>
      </c>
      <c r="Y731" t="s">
        <v>347</v>
      </c>
      <c r="Z731" t="s">
        <v>556</v>
      </c>
      <c r="AB731">
        <v>80788</v>
      </c>
      <c r="AC731" t="s">
        <v>558</v>
      </c>
      <c r="AD731" t="s">
        <v>559</v>
      </c>
      <c r="AE731" t="s">
        <v>560</v>
      </c>
      <c r="AF731">
        <v>48984.5089883974</v>
      </c>
      <c r="AG731">
        <v>2013</v>
      </c>
      <c r="AH731">
        <v>0.52963648361285998</v>
      </c>
      <c r="AI731">
        <v>0.14399999999999999</v>
      </c>
      <c r="AJ731">
        <v>3.8919120337647199</v>
      </c>
    </row>
    <row r="732" spans="1:36" x14ac:dyDescent="0.3">
      <c r="A732">
        <v>2014</v>
      </c>
      <c r="B732">
        <v>20</v>
      </c>
      <c r="C732" t="s">
        <v>563</v>
      </c>
      <c r="D732" t="s">
        <v>395</v>
      </c>
      <c r="E732" t="s">
        <v>564</v>
      </c>
      <c r="F732" t="s">
        <v>395</v>
      </c>
      <c r="G732">
        <v>156628.4</v>
      </c>
      <c r="H732">
        <v>6.6</v>
      </c>
      <c r="I732">
        <v>9083.2000000000007</v>
      </c>
      <c r="J732">
        <v>16</v>
      </c>
      <c r="K732">
        <v>232184.1</v>
      </c>
      <c r="L732">
        <v>58804.501900000003</v>
      </c>
      <c r="M732">
        <v>0</v>
      </c>
      <c r="N732">
        <v>5.8018999999999998</v>
      </c>
      <c r="O732">
        <v>3.9018999999999999</v>
      </c>
      <c r="P732">
        <v>15.401899999999999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274616</v>
      </c>
      <c r="Y732" t="s">
        <v>347</v>
      </c>
      <c r="Z732" t="s">
        <v>606</v>
      </c>
      <c r="AB732">
        <v>70327</v>
      </c>
      <c r="AC732" t="s">
        <v>566</v>
      </c>
      <c r="AD732" t="s">
        <v>607</v>
      </c>
      <c r="AE732" t="s">
        <v>568</v>
      </c>
      <c r="AF732">
        <v>58974.5421019485</v>
      </c>
      <c r="AG732">
        <v>2013</v>
      </c>
      <c r="AH732">
        <v>0.67458710566313496</v>
      </c>
      <c r="AI732">
        <v>0.154</v>
      </c>
      <c r="AJ732">
        <v>3.9370225138607502</v>
      </c>
    </row>
    <row r="733" spans="1:36" x14ac:dyDescent="0.3">
      <c r="A733">
        <v>2014</v>
      </c>
      <c r="B733">
        <v>8</v>
      </c>
      <c r="C733" t="s">
        <v>446</v>
      </c>
      <c r="D733" t="s">
        <v>395</v>
      </c>
      <c r="E733" t="s">
        <v>447</v>
      </c>
      <c r="F733" t="s">
        <v>395</v>
      </c>
      <c r="G733">
        <v>261539.1</v>
      </c>
      <c r="H733">
        <v>5.6</v>
      </c>
      <c r="I733">
        <v>12071.5</v>
      </c>
      <c r="J733">
        <v>-56.7</v>
      </c>
      <c r="K733">
        <v>446866</v>
      </c>
      <c r="L733">
        <v>120878.5019</v>
      </c>
      <c r="M733">
        <v>0</v>
      </c>
      <c r="N733">
        <v>4.6018999999999997</v>
      </c>
      <c r="O733">
        <v>2.7019000000000002</v>
      </c>
      <c r="P733">
        <v>10.001899999999999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572800</v>
      </c>
      <c r="Y733" t="s">
        <v>347</v>
      </c>
      <c r="Z733" t="s">
        <v>467</v>
      </c>
      <c r="AB733">
        <v>38440</v>
      </c>
      <c r="AC733" t="s">
        <v>449</v>
      </c>
      <c r="AD733" t="s">
        <v>468</v>
      </c>
      <c r="AE733" t="s">
        <v>571</v>
      </c>
      <c r="AF733">
        <v>120692.068506984</v>
      </c>
      <c r="AG733">
        <v>2013</v>
      </c>
      <c r="AH733">
        <v>0.58527410901702104</v>
      </c>
      <c r="AI733">
        <v>0.1</v>
      </c>
      <c r="AJ733">
        <v>3.7025299634676698</v>
      </c>
    </row>
    <row r="734" spans="1:36" x14ac:dyDescent="0.3">
      <c r="A734">
        <v>2012</v>
      </c>
      <c r="B734">
        <v>213</v>
      </c>
      <c r="C734" t="s">
        <v>415</v>
      </c>
      <c r="D734" t="s">
        <v>395</v>
      </c>
      <c r="E734" t="s">
        <v>443</v>
      </c>
      <c r="F734" t="s">
        <v>395</v>
      </c>
      <c r="G734">
        <v>44841.5</v>
      </c>
      <c r="H734">
        <v>3</v>
      </c>
      <c r="I734">
        <v>3099.1</v>
      </c>
      <c r="J734">
        <v>2.4</v>
      </c>
      <c r="K734">
        <v>38151.1</v>
      </c>
      <c r="L734">
        <v>15049.6</v>
      </c>
      <c r="M734">
        <v>0</v>
      </c>
      <c r="N734">
        <v>6.9</v>
      </c>
      <c r="O734">
        <v>8.1</v>
      </c>
      <c r="P734">
        <v>20.6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220137</v>
      </c>
      <c r="Y734" t="s">
        <v>347</v>
      </c>
      <c r="Z734" t="s">
        <v>605</v>
      </c>
      <c r="AB734">
        <v>30165</v>
      </c>
      <c r="AC734" t="s">
        <v>418</v>
      </c>
      <c r="AD734" t="s">
        <v>524</v>
      </c>
      <c r="AE734" t="s">
        <v>525</v>
      </c>
      <c r="AF734">
        <v>15044.1747572816</v>
      </c>
      <c r="AG734">
        <v>2011</v>
      </c>
      <c r="AH734">
        <v>1.1753658479047799</v>
      </c>
      <c r="AI734">
        <v>0.20599999999999999</v>
      </c>
      <c r="AJ734">
        <v>2.5359383692039601</v>
      </c>
    </row>
    <row r="735" spans="1:36" x14ac:dyDescent="0.3">
      <c r="A735">
        <v>2012</v>
      </c>
      <c r="B735">
        <v>52</v>
      </c>
      <c r="C735" t="s">
        <v>591</v>
      </c>
      <c r="D735" t="s">
        <v>395</v>
      </c>
      <c r="E735" t="s">
        <v>555</v>
      </c>
      <c r="F735" t="s">
        <v>395</v>
      </c>
      <c r="G735">
        <v>104129.7</v>
      </c>
      <c r="H735">
        <v>1.8</v>
      </c>
      <c r="I735">
        <v>7589.4</v>
      </c>
      <c r="J735">
        <v>7.4</v>
      </c>
      <c r="K735">
        <v>198834.6</v>
      </c>
      <c r="L735">
        <v>49681.5</v>
      </c>
      <c r="M735">
        <v>0</v>
      </c>
      <c r="N735">
        <v>7.3</v>
      </c>
      <c r="O735">
        <v>3.8</v>
      </c>
      <c r="P735">
        <v>15.3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124729</v>
      </c>
      <c r="Y735" t="s">
        <v>347</v>
      </c>
      <c r="Z735" t="s">
        <v>556</v>
      </c>
      <c r="AB735">
        <v>80788</v>
      </c>
      <c r="AC735" t="s">
        <v>608</v>
      </c>
      <c r="AD735" t="s">
        <v>609</v>
      </c>
      <c r="AE735" t="s">
        <v>560</v>
      </c>
      <c r="AF735">
        <v>49603.921568627396</v>
      </c>
      <c r="AG735">
        <v>2011</v>
      </c>
      <c r="AH735">
        <v>0.52370010048552895</v>
      </c>
      <c r="AI735">
        <v>0.153</v>
      </c>
      <c r="AJ735">
        <v>4.0084451735315003</v>
      </c>
    </row>
    <row r="736" spans="1:36" x14ac:dyDescent="0.3">
      <c r="A736">
        <v>2012</v>
      </c>
      <c r="B736">
        <v>17</v>
      </c>
      <c r="C736" t="s">
        <v>563</v>
      </c>
      <c r="D736" t="s">
        <v>395</v>
      </c>
      <c r="E736" t="s">
        <v>564</v>
      </c>
      <c r="F736" t="s">
        <v>395</v>
      </c>
      <c r="G736">
        <v>169483</v>
      </c>
      <c r="H736">
        <v>2.2000000000000002</v>
      </c>
      <c r="I736">
        <v>9428.4</v>
      </c>
      <c r="J736">
        <v>0.9</v>
      </c>
      <c r="K736">
        <v>256262.39999999999</v>
      </c>
      <c r="L736">
        <v>61115.8</v>
      </c>
      <c r="M736">
        <v>0</v>
      </c>
      <c r="N736">
        <v>5.6</v>
      </c>
      <c r="O736">
        <v>3.7</v>
      </c>
      <c r="P736">
        <v>15.4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282488</v>
      </c>
      <c r="Y736" t="s">
        <v>347</v>
      </c>
      <c r="Z736" t="s">
        <v>606</v>
      </c>
      <c r="AB736">
        <v>70327</v>
      </c>
      <c r="AC736" t="s">
        <v>566</v>
      </c>
      <c r="AD736" t="s">
        <v>607</v>
      </c>
      <c r="AE736" t="s">
        <v>568</v>
      </c>
      <c r="AF736">
        <v>61223.3766233766</v>
      </c>
      <c r="AG736">
        <v>2011</v>
      </c>
      <c r="AH736">
        <v>0.661365069553707</v>
      </c>
      <c r="AI736">
        <v>0.154</v>
      </c>
      <c r="AJ736">
        <v>4.1856953035509701</v>
      </c>
    </row>
    <row r="737" spans="1:36" x14ac:dyDescent="0.3">
      <c r="A737">
        <v>2023</v>
      </c>
      <c r="B737">
        <v>395</v>
      </c>
      <c r="C737" t="s">
        <v>421</v>
      </c>
      <c r="D737" t="s">
        <v>422</v>
      </c>
      <c r="E737" t="s">
        <v>423</v>
      </c>
      <c r="F737" t="s">
        <v>422</v>
      </c>
      <c r="G737">
        <v>37724</v>
      </c>
      <c r="H737">
        <v>5.2</v>
      </c>
      <c r="I737">
        <v>354</v>
      </c>
      <c r="J737">
        <v>-81.2</v>
      </c>
      <c r="K737">
        <v>89148</v>
      </c>
      <c r="L737">
        <v>28826</v>
      </c>
      <c r="M737">
        <v>0</v>
      </c>
      <c r="N737">
        <v>0.9</v>
      </c>
      <c r="O737">
        <v>0.4</v>
      </c>
      <c r="P737">
        <v>1.2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425000</v>
      </c>
      <c r="Y737" t="s">
        <v>347</v>
      </c>
      <c r="Z737" t="s">
        <v>424</v>
      </c>
      <c r="AB737">
        <v>0</v>
      </c>
      <c r="AC737" t="s">
        <v>425</v>
      </c>
      <c r="AD737" t="s">
        <v>426</v>
      </c>
      <c r="AE737" t="s">
        <v>427</v>
      </c>
      <c r="AF737">
        <v>29500</v>
      </c>
      <c r="AG737">
        <v>2022</v>
      </c>
      <c r="AH737">
        <v>0.42316148427334299</v>
      </c>
      <c r="AI737">
        <v>1.2E-2</v>
      </c>
      <c r="AJ737">
        <v>3.02196610169492</v>
      </c>
    </row>
    <row r="738" spans="1:36" x14ac:dyDescent="0.3">
      <c r="A738">
        <v>2023</v>
      </c>
      <c r="B738">
        <v>212</v>
      </c>
      <c r="C738" t="s">
        <v>610</v>
      </c>
      <c r="D738" t="s">
        <v>422</v>
      </c>
      <c r="E738" t="s">
        <v>611</v>
      </c>
      <c r="F738" t="s">
        <v>422</v>
      </c>
      <c r="G738">
        <v>63040.800000000003</v>
      </c>
      <c r="H738">
        <v>92.4</v>
      </c>
      <c r="I738">
        <v>2471.1</v>
      </c>
      <c r="J738">
        <v>423.4</v>
      </c>
      <c r="K738">
        <v>71603.100000000006</v>
      </c>
      <c r="L738">
        <v>16097.7</v>
      </c>
      <c r="M738">
        <v>0</v>
      </c>
      <c r="N738">
        <v>3.9</v>
      </c>
      <c r="O738">
        <v>3.5</v>
      </c>
      <c r="P738">
        <v>15.4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570060</v>
      </c>
      <c r="Y738" t="s">
        <v>347</v>
      </c>
      <c r="Z738" t="s">
        <v>612</v>
      </c>
      <c r="AB738">
        <v>518118</v>
      </c>
      <c r="AC738" t="s">
        <v>613</v>
      </c>
      <c r="AD738" t="s">
        <v>614</v>
      </c>
      <c r="AE738" t="s">
        <v>615</v>
      </c>
      <c r="AF738">
        <v>16046.103896103899</v>
      </c>
      <c r="AG738">
        <v>2022</v>
      </c>
      <c r="AH738">
        <v>0.88041998181643</v>
      </c>
      <c r="AI738">
        <v>0.154</v>
      </c>
      <c r="AJ738">
        <v>4.4623355590627698</v>
      </c>
    </row>
    <row r="739" spans="1:36" x14ac:dyDescent="0.3">
      <c r="A739">
        <v>2022</v>
      </c>
      <c r="B739">
        <v>436</v>
      </c>
      <c r="C739" t="s">
        <v>610</v>
      </c>
      <c r="D739" t="s">
        <v>422</v>
      </c>
      <c r="E739" t="s">
        <v>611</v>
      </c>
      <c r="F739" t="s">
        <v>422</v>
      </c>
      <c r="G739">
        <v>32758</v>
      </c>
      <c r="H739">
        <v>47.3</v>
      </c>
      <c r="I739">
        <v>472.1</v>
      </c>
      <c r="J739">
        <v>-23.1</v>
      </c>
      <c r="K739">
        <v>46564.2</v>
      </c>
      <c r="L739">
        <v>14966.7</v>
      </c>
      <c r="M739">
        <v>0</v>
      </c>
      <c r="N739">
        <v>1.4</v>
      </c>
      <c r="O739">
        <v>1</v>
      </c>
      <c r="P739">
        <v>3.2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288186</v>
      </c>
      <c r="Y739" t="s">
        <v>347</v>
      </c>
      <c r="Z739" t="s">
        <v>612</v>
      </c>
      <c r="AB739">
        <v>518118</v>
      </c>
      <c r="AC739" t="s">
        <v>613</v>
      </c>
      <c r="AD739" t="s">
        <v>614</v>
      </c>
      <c r="AE739" t="s">
        <v>615</v>
      </c>
      <c r="AF739">
        <v>14753.125</v>
      </c>
      <c r="AG739">
        <v>2021</v>
      </c>
      <c r="AH739">
        <v>0.70350183187942705</v>
      </c>
      <c r="AI739">
        <v>3.2000000000000001E-2</v>
      </c>
      <c r="AJ739">
        <v>3.15622622325778</v>
      </c>
    </row>
    <row r="740" spans="1:36" x14ac:dyDescent="0.3">
      <c r="A740">
        <v>2021</v>
      </c>
      <c r="B740">
        <v>372</v>
      </c>
      <c r="C740" t="s">
        <v>421</v>
      </c>
      <c r="D740" t="s">
        <v>422</v>
      </c>
      <c r="E740" t="s">
        <v>423</v>
      </c>
      <c r="F740" t="s">
        <v>422</v>
      </c>
      <c r="G740">
        <v>32647</v>
      </c>
      <c r="H740">
        <v>-20.2</v>
      </c>
      <c r="I740">
        <v>-394</v>
      </c>
      <c r="J740">
        <v>-113.9</v>
      </c>
      <c r="K740">
        <v>93526</v>
      </c>
      <c r="L740">
        <v>29387</v>
      </c>
      <c r="M740">
        <v>0</v>
      </c>
      <c r="N740">
        <v>-1.2</v>
      </c>
      <c r="O740">
        <v>-0.4</v>
      </c>
      <c r="P740">
        <v>-1.3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403000</v>
      </c>
      <c r="Y740" t="s">
        <v>347</v>
      </c>
      <c r="Z740" t="s">
        <v>424</v>
      </c>
      <c r="AB740">
        <v>0</v>
      </c>
      <c r="AC740" t="s">
        <v>425</v>
      </c>
      <c r="AD740" t="s">
        <v>426</v>
      </c>
      <c r="AE740" t="s">
        <v>427</v>
      </c>
      <c r="AF740">
        <v>30307.692307692301</v>
      </c>
      <c r="AG740">
        <v>2020</v>
      </c>
      <c r="AH740">
        <v>0.34906870816671298</v>
      </c>
      <c r="AI740">
        <v>-1.2999999999999999E-2</v>
      </c>
      <c r="AJ740">
        <v>3.0858832487309602</v>
      </c>
    </row>
    <row r="741" spans="1:36" x14ac:dyDescent="0.3">
      <c r="A741">
        <v>2020</v>
      </c>
      <c r="B741">
        <v>280</v>
      </c>
      <c r="C741" t="s">
        <v>421</v>
      </c>
      <c r="D741" t="s">
        <v>422</v>
      </c>
      <c r="E741" t="s">
        <v>423</v>
      </c>
      <c r="F741" t="s">
        <v>422</v>
      </c>
      <c r="G741">
        <v>42527</v>
      </c>
      <c r="H741">
        <v>7.8</v>
      </c>
      <c r="I741">
        <v>1732</v>
      </c>
      <c r="J741">
        <v>-54.2</v>
      </c>
      <c r="K741">
        <v>86258</v>
      </c>
      <c r="L741">
        <v>26342</v>
      </c>
      <c r="M741">
        <v>0</v>
      </c>
      <c r="N741">
        <v>4.0999999999999996</v>
      </c>
      <c r="O741">
        <v>2</v>
      </c>
      <c r="P741">
        <v>6.6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469000</v>
      </c>
      <c r="Y741" t="s">
        <v>347</v>
      </c>
      <c r="Z741" t="s">
        <v>424</v>
      </c>
      <c r="AB741">
        <v>0</v>
      </c>
      <c r="AC741" t="s">
        <v>425</v>
      </c>
      <c r="AD741" t="s">
        <v>426</v>
      </c>
      <c r="AE741" t="s">
        <v>427</v>
      </c>
      <c r="AF741">
        <v>26242.4242424242</v>
      </c>
      <c r="AG741">
        <v>2019</v>
      </c>
      <c r="AH741">
        <v>0.49302093718843498</v>
      </c>
      <c r="AI741">
        <v>6.6000000000000003E-2</v>
      </c>
      <c r="AJ741">
        <v>3.2869676674364898</v>
      </c>
    </row>
    <row r="742" spans="1:36" x14ac:dyDescent="0.3">
      <c r="A742">
        <v>2019</v>
      </c>
      <c r="B742">
        <v>280</v>
      </c>
      <c r="C742" t="s">
        <v>421</v>
      </c>
      <c r="D742" t="s">
        <v>422</v>
      </c>
      <c r="E742" t="s">
        <v>423</v>
      </c>
      <c r="F742" t="s">
        <v>422</v>
      </c>
      <c r="G742">
        <v>42527</v>
      </c>
      <c r="H742">
        <v>7.8</v>
      </c>
      <c r="I742">
        <v>1732</v>
      </c>
      <c r="J742">
        <v>-54.2</v>
      </c>
      <c r="K742">
        <v>86258</v>
      </c>
      <c r="L742">
        <v>26342</v>
      </c>
      <c r="M742">
        <v>0</v>
      </c>
      <c r="N742">
        <v>4.0999999999999996</v>
      </c>
      <c r="O742">
        <v>2</v>
      </c>
      <c r="P742">
        <v>6.6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469000</v>
      </c>
      <c r="Y742" t="s">
        <v>347</v>
      </c>
      <c r="Z742" t="s">
        <v>424</v>
      </c>
      <c r="AB742">
        <v>0</v>
      </c>
      <c r="AC742" t="s">
        <v>425</v>
      </c>
      <c r="AD742" t="s">
        <v>426</v>
      </c>
      <c r="AE742" t="s">
        <v>427</v>
      </c>
      <c r="AF742">
        <v>26242.4242424242</v>
      </c>
      <c r="AG742">
        <v>2018</v>
      </c>
      <c r="AH742">
        <v>0.49302093718843498</v>
      </c>
      <c r="AI742">
        <v>6.6000000000000003E-2</v>
      </c>
      <c r="AJ742">
        <v>3.2869676674364898</v>
      </c>
    </row>
    <row r="743" spans="1:36" x14ac:dyDescent="0.3">
      <c r="A743">
        <v>2018</v>
      </c>
      <c r="B743">
        <v>280</v>
      </c>
      <c r="C743" t="s">
        <v>421</v>
      </c>
      <c r="D743" t="s">
        <v>422</v>
      </c>
      <c r="E743" t="s">
        <v>423</v>
      </c>
      <c r="F743" t="s">
        <v>422</v>
      </c>
      <c r="G743">
        <v>42527</v>
      </c>
      <c r="H743">
        <v>7.8</v>
      </c>
      <c r="I743">
        <v>1732</v>
      </c>
      <c r="J743">
        <v>-54.2</v>
      </c>
      <c r="K743">
        <v>86258</v>
      </c>
      <c r="L743">
        <v>26342</v>
      </c>
      <c r="M743">
        <v>0</v>
      </c>
      <c r="N743">
        <v>4.0999999999999996</v>
      </c>
      <c r="O743">
        <v>2</v>
      </c>
      <c r="P743">
        <v>6.6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469000</v>
      </c>
      <c r="Y743" t="s">
        <v>347</v>
      </c>
      <c r="Z743" t="s">
        <v>424</v>
      </c>
      <c r="AB743">
        <v>0</v>
      </c>
      <c r="AC743" t="s">
        <v>425</v>
      </c>
      <c r="AD743" t="s">
        <v>426</v>
      </c>
      <c r="AE743" t="s">
        <v>427</v>
      </c>
      <c r="AF743">
        <v>26242.4242424242</v>
      </c>
      <c r="AG743">
        <v>2017</v>
      </c>
      <c r="AH743">
        <v>0.49302093718843498</v>
      </c>
      <c r="AI743">
        <v>6.6000000000000003E-2</v>
      </c>
      <c r="AJ743">
        <v>3.2869676674364898</v>
      </c>
    </row>
    <row r="744" spans="1:36" x14ac:dyDescent="0.3">
      <c r="A744">
        <v>2017</v>
      </c>
      <c r="B744">
        <v>279</v>
      </c>
      <c r="C744" t="s">
        <v>421</v>
      </c>
      <c r="D744" t="s">
        <v>422</v>
      </c>
      <c r="E744" t="s">
        <v>423</v>
      </c>
      <c r="F744" t="s">
        <v>422</v>
      </c>
      <c r="G744">
        <v>37051</v>
      </c>
      <c r="H744">
        <v>0.1</v>
      </c>
      <c r="I744">
        <v>2503</v>
      </c>
      <c r="J744">
        <v>39.299999999999997</v>
      </c>
      <c r="K744">
        <v>71523</v>
      </c>
      <c r="L744">
        <v>21800</v>
      </c>
      <c r="M744">
        <v>0</v>
      </c>
      <c r="N744">
        <v>6.8</v>
      </c>
      <c r="O744">
        <v>3.5</v>
      </c>
      <c r="P744">
        <v>11.5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430000</v>
      </c>
      <c r="Y744" t="s">
        <v>347</v>
      </c>
      <c r="Z744" t="s">
        <v>424</v>
      </c>
      <c r="AB744">
        <v>0</v>
      </c>
      <c r="AC744" t="s">
        <v>425</v>
      </c>
      <c r="AD744" t="s">
        <v>426</v>
      </c>
      <c r="AE744" t="s">
        <v>427</v>
      </c>
      <c r="AF744">
        <v>21765.217391304301</v>
      </c>
      <c r="AG744">
        <v>2016</v>
      </c>
      <c r="AH744">
        <v>0.51802916544328403</v>
      </c>
      <c r="AI744">
        <v>0.115</v>
      </c>
      <c r="AJ744">
        <v>3.2861146624051099</v>
      </c>
    </row>
    <row r="745" spans="1:36" x14ac:dyDescent="0.3">
      <c r="A745">
        <v>2012</v>
      </c>
      <c r="B745">
        <v>279</v>
      </c>
      <c r="C745" t="s">
        <v>421</v>
      </c>
      <c r="D745" t="s">
        <v>422</v>
      </c>
      <c r="E745" t="s">
        <v>423</v>
      </c>
      <c r="F745" t="s">
        <v>422</v>
      </c>
      <c r="G745">
        <v>37051</v>
      </c>
      <c r="H745">
        <v>0.1</v>
      </c>
      <c r="I745">
        <v>2503</v>
      </c>
      <c r="J745">
        <v>39.299999999999997</v>
      </c>
      <c r="K745">
        <v>71523</v>
      </c>
      <c r="L745">
        <v>21800</v>
      </c>
      <c r="M745">
        <v>0</v>
      </c>
      <c r="N745">
        <v>6.8</v>
      </c>
      <c r="O745">
        <v>3.5</v>
      </c>
      <c r="P745">
        <v>11.5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430000</v>
      </c>
      <c r="Y745" t="s">
        <v>347</v>
      </c>
      <c r="Z745" t="s">
        <v>616</v>
      </c>
      <c r="AB745">
        <v>0</v>
      </c>
      <c r="AC745" t="s">
        <v>425</v>
      </c>
      <c r="AD745" t="s">
        <v>617</v>
      </c>
      <c r="AE745" t="s">
        <v>427</v>
      </c>
      <c r="AF745">
        <v>21765.217391304301</v>
      </c>
      <c r="AG745">
        <v>2011</v>
      </c>
      <c r="AH745">
        <v>0.51802916544328403</v>
      </c>
      <c r="AI745">
        <v>0.115</v>
      </c>
      <c r="AJ745">
        <v>3.2861146624051099</v>
      </c>
    </row>
    <row r="746" spans="1:36" x14ac:dyDescent="0.3">
      <c r="A746">
        <v>2023</v>
      </c>
      <c r="B746">
        <v>470</v>
      </c>
      <c r="C746" t="s">
        <v>618</v>
      </c>
      <c r="D746" t="s">
        <v>429</v>
      </c>
      <c r="E746" t="s">
        <v>527</v>
      </c>
      <c r="F746" t="s">
        <v>429</v>
      </c>
      <c r="G746">
        <v>32527.5</v>
      </c>
      <c r="H746">
        <v>-6.7</v>
      </c>
      <c r="I746">
        <v>278.3</v>
      </c>
      <c r="J746">
        <v>-78</v>
      </c>
      <c r="K746">
        <v>31157.3</v>
      </c>
      <c r="L746">
        <v>13193.7</v>
      </c>
      <c r="M746">
        <v>0</v>
      </c>
      <c r="N746">
        <v>0.9</v>
      </c>
      <c r="O746">
        <v>0.9</v>
      </c>
      <c r="P746">
        <v>2.1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116649</v>
      </c>
      <c r="Y746" t="s">
        <v>347</v>
      </c>
      <c r="Z746" t="s">
        <v>619</v>
      </c>
      <c r="AB746" t="s">
        <v>620</v>
      </c>
      <c r="AC746" t="s">
        <v>621</v>
      </c>
      <c r="AD746" t="s">
        <v>622</v>
      </c>
      <c r="AE746" t="s">
        <v>623</v>
      </c>
      <c r="AF746">
        <v>13252.380952381</v>
      </c>
      <c r="AG746">
        <v>2022</v>
      </c>
      <c r="AH746">
        <v>1.0439768529365501</v>
      </c>
      <c r="AI746">
        <v>2.1000000000000001E-2</v>
      </c>
      <c r="AJ746">
        <v>2.3510718648940001</v>
      </c>
    </row>
    <row r="747" spans="1:36" x14ac:dyDescent="0.3">
      <c r="A747">
        <v>2023</v>
      </c>
      <c r="B747">
        <v>441</v>
      </c>
      <c r="C747" t="s">
        <v>513</v>
      </c>
      <c r="D747" t="s">
        <v>429</v>
      </c>
      <c r="E747" t="s">
        <v>514</v>
      </c>
      <c r="F747" t="s">
        <v>429</v>
      </c>
      <c r="G747">
        <v>34291.9</v>
      </c>
      <c r="H747">
        <v>8</v>
      </c>
      <c r="I747">
        <v>1633.5</v>
      </c>
      <c r="J747">
        <v>14.4</v>
      </c>
      <c r="K747">
        <v>34486.300000000003</v>
      </c>
      <c r="L747">
        <v>15597.1</v>
      </c>
      <c r="M747">
        <v>0</v>
      </c>
      <c r="N747">
        <v>4.8</v>
      </c>
      <c r="O747">
        <v>4.7</v>
      </c>
      <c r="P747">
        <v>10.5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70012</v>
      </c>
      <c r="Y747" t="s">
        <v>347</v>
      </c>
      <c r="Z747" t="s">
        <v>624</v>
      </c>
      <c r="AB747" t="s">
        <v>516</v>
      </c>
      <c r="AC747" t="s">
        <v>517</v>
      </c>
      <c r="AD747" t="s">
        <v>625</v>
      </c>
      <c r="AE747" t="s">
        <v>519</v>
      </c>
      <c r="AF747">
        <v>15557.142857142901</v>
      </c>
      <c r="AG747">
        <v>2022</v>
      </c>
      <c r="AH747">
        <v>0.99436297892206504</v>
      </c>
      <c r="AI747">
        <v>0.105</v>
      </c>
      <c r="AJ747">
        <v>2.2167502295684098</v>
      </c>
    </row>
    <row r="748" spans="1:36" x14ac:dyDescent="0.3">
      <c r="A748">
        <v>2023</v>
      </c>
      <c r="B748">
        <v>303</v>
      </c>
      <c r="C748" t="s">
        <v>526</v>
      </c>
      <c r="D748" t="s">
        <v>429</v>
      </c>
      <c r="E748" t="s">
        <v>527</v>
      </c>
      <c r="F748" t="s">
        <v>429</v>
      </c>
      <c r="G748">
        <v>47292.2</v>
      </c>
      <c r="H748">
        <v>-3.7</v>
      </c>
      <c r="I748">
        <v>2324.5</v>
      </c>
      <c r="J748">
        <v>-1.1000000000000001</v>
      </c>
      <c r="K748">
        <v>55813.3</v>
      </c>
      <c r="L748">
        <v>32973.699999999997</v>
      </c>
      <c r="M748">
        <v>0</v>
      </c>
      <c r="N748">
        <v>4.9000000000000004</v>
      </c>
      <c r="O748">
        <v>4.2</v>
      </c>
      <c r="P748">
        <v>7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164572</v>
      </c>
      <c r="Y748" t="s">
        <v>347</v>
      </c>
      <c r="Z748" t="s">
        <v>626</v>
      </c>
      <c r="AB748" t="s">
        <v>529</v>
      </c>
      <c r="AC748" t="s">
        <v>530</v>
      </c>
      <c r="AD748" t="s">
        <v>627</v>
      </c>
      <c r="AE748" t="s">
        <v>628</v>
      </c>
      <c r="AF748">
        <v>33207.142857142899</v>
      </c>
      <c r="AG748">
        <v>2022</v>
      </c>
      <c r="AH748">
        <v>0.84732850413790295</v>
      </c>
      <c r="AI748">
        <v>7.0000000000000007E-2</v>
      </c>
      <c r="AJ748">
        <v>1.68076188427619</v>
      </c>
    </row>
    <row r="749" spans="1:36" x14ac:dyDescent="0.3">
      <c r="A749">
        <v>2023</v>
      </c>
      <c r="B749">
        <v>160</v>
      </c>
      <c r="C749" t="s">
        <v>428</v>
      </c>
      <c r="D749" t="s">
        <v>429</v>
      </c>
      <c r="E749" t="s">
        <v>430</v>
      </c>
      <c r="F749" t="s">
        <v>429</v>
      </c>
      <c r="G749">
        <v>78287.100000000006</v>
      </c>
      <c r="H749">
        <v>4.4000000000000004</v>
      </c>
      <c r="I749">
        <v>1639.4</v>
      </c>
      <c r="J749">
        <v>-14.6</v>
      </c>
      <c r="K749">
        <v>132579.29999999999</v>
      </c>
      <c r="L749">
        <v>40144</v>
      </c>
      <c r="M749">
        <v>0</v>
      </c>
      <c r="N749">
        <v>2.1</v>
      </c>
      <c r="O749">
        <v>1.2</v>
      </c>
      <c r="P749">
        <v>4.0999999999999996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139418</v>
      </c>
      <c r="Y749" t="s">
        <v>347</v>
      </c>
      <c r="Z749" t="s">
        <v>431</v>
      </c>
      <c r="AB749" t="s">
        <v>432</v>
      </c>
      <c r="AC749" t="s">
        <v>433</v>
      </c>
      <c r="AD749" t="s">
        <v>434</v>
      </c>
      <c r="AE749" t="s">
        <v>435</v>
      </c>
      <c r="AF749">
        <v>39985.365853658499</v>
      </c>
      <c r="AG749">
        <v>2022</v>
      </c>
      <c r="AH749">
        <v>0.59049263346540504</v>
      </c>
      <c r="AI749">
        <v>4.1000000000000002E-2</v>
      </c>
      <c r="AJ749">
        <v>3.31569555935098</v>
      </c>
    </row>
    <row r="750" spans="1:36" x14ac:dyDescent="0.3">
      <c r="A750">
        <v>2023</v>
      </c>
      <c r="B750">
        <v>19</v>
      </c>
      <c r="C750" t="s">
        <v>572</v>
      </c>
      <c r="D750" t="s">
        <v>429</v>
      </c>
      <c r="E750" t="s">
        <v>573</v>
      </c>
      <c r="F750" t="s">
        <v>429</v>
      </c>
      <c r="G750">
        <v>274491.40000000002</v>
      </c>
      <c r="H750">
        <v>-1.7</v>
      </c>
      <c r="I750">
        <v>18110</v>
      </c>
      <c r="J750">
        <v>-28.6</v>
      </c>
      <c r="K750">
        <v>559764.80000000005</v>
      </c>
      <c r="L750">
        <v>213490.3</v>
      </c>
      <c r="M750">
        <v>0</v>
      </c>
      <c r="N750">
        <v>6.6</v>
      </c>
      <c r="O750">
        <v>3.2</v>
      </c>
      <c r="P750">
        <v>8.5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375235</v>
      </c>
      <c r="Y750" t="s">
        <v>347</v>
      </c>
      <c r="Z750" t="s">
        <v>629</v>
      </c>
      <c r="AB750" t="s">
        <v>575</v>
      </c>
      <c r="AC750" t="s">
        <v>576</v>
      </c>
      <c r="AD750" t="s">
        <v>630</v>
      </c>
      <c r="AE750" t="s">
        <v>631</v>
      </c>
      <c r="AF750">
        <v>213058.82352941201</v>
      </c>
      <c r="AG750">
        <v>2022</v>
      </c>
      <c r="AH750">
        <v>0.490369169336836</v>
      </c>
      <c r="AI750">
        <v>8.5000000000000006E-2</v>
      </c>
      <c r="AJ750">
        <v>2.6272781888459402</v>
      </c>
    </row>
    <row r="751" spans="1:36" x14ac:dyDescent="0.3">
      <c r="A751">
        <v>2022</v>
      </c>
      <c r="B751">
        <v>476</v>
      </c>
      <c r="C751" t="s">
        <v>213</v>
      </c>
      <c r="D751" t="s">
        <v>429</v>
      </c>
      <c r="E751" t="s">
        <v>632</v>
      </c>
      <c r="F751" t="s">
        <v>429</v>
      </c>
      <c r="G751">
        <v>29980.400000000001</v>
      </c>
      <c r="H751">
        <v>8.9</v>
      </c>
      <c r="I751">
        <v>857.3</v>
      </c>
      <c r="J751">
        <v>61.3</v>
      </c>
      <c r="K751">
        <v>31359.8</v>
      </c>
      <c r="L751">
        <v>13143.1</v>
      </c>
      <c r="M751">
        <v>0</v>
      </c>
      <c r="N751">
        <v>2.9</v>
      </c>
      <c r="O751">
        <v>2.7</v>
      </c>
      <c r="P751">
        <v>6.5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281075</v>
      </c>
      <c r="Y751" t="s">
        <v>347</v>
      </c>
      <c r="Z751" t="s">
        <v>633</v>
      </c>
      <c r="AB751" t="s">
        <v>634</v>
      </c>
      <c r="AC751" t="s">
        <v>635</v>
      </c>
      <c r="AD751" t="s">
        <v>636</v>
      </c>
      <c r="AE751" t="s">
        <v>637</v>
      </c>
      <c r="AF751">
        <v>13189.2307692308</v>
      </c>
      <c r="AG751">
        <v>2021</v>
      </c>
      <c r="AH751">
        <v>0.95601375008769196</v>
      </c>
      <c r="AI751">
        <v>6.5000000000000002E-2</v>
      </c>
      <c r="AJ751">
        <v>2.37768225825265</v>
      </c>
    </row>
    <row r="752" spans="1:36" x14ac:dyDescent="0.3">
      <c r="A752">
        <v>2022</v>
      </c>
      <c r="B752">
        <v>409</v>
      </c>
      <c r="C752" t="s">
        <v>618</v>
      </c>
      <c r="D752" t="s">
        <v>429</v>
      </c>
      <c r="E752" t="s">
        <v>527</v>
      </c>
      <c r="F752" t="s">
        <v>429</v>
      </c>
      <c r="G752">
        <v>34872.699999999997</v>
      </c>
      <c r="H752">
        <v>4.8</v>
      </c>
      <c r="I752">
        <v>1263.5</v>
      </c>
      <c r="J752">
        <v>26.8</v>
      </c>
      <c r="K752">
        <v>34641.300000000003</v>
      </c>
      <c r="L752">
        <v>14467.6</v>
      </c>
      <c r="M752">
        <v>0</v>
      </c>
      <c r="N752">
        <v>3.6</v>
      </c>
      <c r="O752">
        <v>3.6</v>
      </c>
      <c r="P752">
        <v>8.6999999999999993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117177</v>
      </c>
      <c r="Y752" t="s">
        <v>347</v>
      </c>
      <c r="Z752" t="s">
        <v>619</v>
      </c>
      <c r="AB752" t="s">
        <v>620</v>
      </c>
      <c r="AC752" t="s">
        <v>621</v>
      </c>
      <c r="AD752" t="s">
        <v>622</v>
      </c>
      <c r="AE752" t="s">
        <v>623</v>
      </c>
      <c r="AF752">
        <v>14522.9885057471</v>
      </c>
      <c r="AG752">
        <v>2021</v>
      </c>
      <c r="AH752">
        <v>1.0066798878795</v>
      </c>
      <c r="AI752">
        <v>8.6999999999999994E-2</v>
      </c>
      <c r="AJ752">
        <v>2.3852735259200601</v>
      </c>
    </row>
    <row r="753" spans="1:36" x14ac:dyDescent="0.3">
      <c r="A753">
        <v>2022</v>
      </c>
      <c r="B753">
        <v>449</v>
      </c>
      <c r="C753" t="s">
        <v>513</v>
      </c>
      <c r="D753" t="s">
        <v>429</v>
      </c>
      <c r="E753" t="s">
        <v>514</v>
      </c>
      <c r="F753" t="s">
        <v>429</v>
      </c>
      <c r="G753">
        <v>31765.4</v>
      </c>
      <c r="H753">
        <v>6</v>
      </c>
      <c r="I753">
        <v>1427.4</v>
      </c>
      <c r="J753">
        <v>3.3</v>
      </c>
      <c r="K753">
        <v>34224.1</v>
      </c>
      <c r="L753">
        <v>15645.6</v>
      </c>
      <c r="M753">
        <v>0</v>
      </c>
      <c r="N753">
        <v>4.5</v>
      </c>
      <c r="O753">
        <v>4.2</v>
      </c>
      <c r="P753">
        <v>9.1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69193</v>
      </c>
      <c r="Y753" t="s">
        <v>347</v>
      </c>
      <c r="Z753" t="s">
        <v>624</v>
      </c>
      <c r="AB753" t="s">
        <v>516</v>
      </c>
      <c r="AC753" t="s">
        <v>517</v>
      </c>
      <c r="AD753" t="s">
        <v>625</v>
      </c>
      <c r="AE753" t="s">
        <v>519</v>
      </c>
      <c r="AF753">
        <v>15685.714285714301</v>
      </c>
      <c r="AG753">
        <v>2021</v>
      </c>
      <c r="AH753">
        <v>0.92815881206518203</v>
      </c>
      <c r="AI753">
        <v>9.0999999999999998E-2</v>
      </c>
      <c r="AJ753">
        <v>2.1818642987249501</v>
      </c>
    </row>
    <row r="754" spans="1:36" x14ac:dyDescent="0.3">
      <c r="A754">
        <v>2022</v>
      </c>
      <c r="B754">
        <v>278</v>
      </c>
      <c r="C754" t="s">
        <v>526</v>
      </c>
      <c r="D754" t="s">
        <v>429</v>
      </c>
      <c r="E754" t="s">
        <v>527</v>
      </c>
      <c r="F754" t="s">
        <v>429</v>
      </c>
      <c r="G754">
        <v>49098.6</v>
      </c>
      <c r="H754">
        <v>5.4</v>
      </c>
      <c r="I754">
        <v>2349.1999999999998</v>
      </c>
      <c r="J754">
        <v>99.1</v>
      </c>
      <c r="K754">
        <v>61216.3</v>
      </c>
      <c r="L754">
        <v>35411.9</v>
      </c>
      <c r="M754">
        <v>0</v>
      </c>
      <c r="N754">
        <v>4.8</v>
      </c>
      <c r="O754">
        <v>3.8</v>
      </c>
      <c r="P754">
        <v>6.6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167950</v>
      </c>
      <c r="Y754" t="s">
        <v>347</v>
      </c>
      <c r="Z754" t="s">
        <v>626</v>
      </c>
      <c r="AB754" t="s">
        <v>529</v>
      </c>
      <c r="AC754" t="s">
        <v>530</v>
      </c>
      <c r="AD754" t="s">
        <v>627</v>
      </c>
      <c r="AE754" t="s">
        <v>628</v>
      </c>
      <c r="AF754">
        <v>35593.939393939399</v>
      </c>
      <c r="AG754">
        <v>2021</v>
      </c>
      <c r="AH754">
        <v>0.80205108770049804</v>
      </c>
      <c r="AI754">
        <v>6.6000000000000003E-2</v>
      </c>
      <c r="AJ754">
        <v>1.7198517793291299</v>
      </c>
    </row>
    <row r="755" spans="1:36" x14ac:dyDescent="0.3">
      <c r="A755">
        <v>2022</v>
      </c>
      <c r="B755">
        <v>13</v>
      </c>
      <c r="C755" t="s">
        <v>572</v>
      </c>
      <c r="D755" t="s">
        <v>429</v>
      </c>
      <c r="E755" t="s">
        <v>573</v>
      </c>
      <c r="F755" t="s">
        <v>429</v>
      </c>
      <c r="G755">
        <v>279337.7</v>
      </c>
      <c r="H755">
        <v>8.8000000000000007</v>
      </c>
      <c r="I755">
        <v>25371.4</v>
      </c>
      <c r="J755">
        <v>19.8</v>
      </c>
      <c r="K755">
        <v>557522.19999999995</v>
      </c>
      <c r="L755">
        <v>216176.3</v>
      </c>
      <c r="M755">
        <v>0</v>
      </c>
      <c r="N755">
        <v>9.1</v>
      </c>
      <c r="O755">
        <v>4.5999999999999996</v>
      </c>
      <c r="P755">
        <v>11.7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372817</v>
      </c>
      <c r="Y755" t="s">
        <v>347</v>
      </c>
      <c r="Z755" t="s">
        <v>629</v>
      </c>
      <c r="AB755" t="s">
        <v>575</v>
      </c>
      <c r="AC755" t="s">
        <v>576</v>
      </c>
      <c r="AD755" t="s">
        <v>630</v>
      </c>
      <c r="AE755" t="s">
        <v>631</v>
      </c>
      <c r="AF755">
        <v>216849.57264957301</v>
      </c>
      <c r="AG755">
        <v>2021</v>
      </c>
      <c r="AH755">
        <v>0.50103421890643995</v>
      </c>
      <c r="AI755">
        <v>0.11700000000000001</v>
      </c>
      <c r="AJ755">
        <v>2.5710089864966101</v>
      </c>
    </row>
    <row r="756" spans="1:36" x14ac:dyDescent="0.3">
      <c r="A756">
        <v>2021</v>
      </c>
      <c r="B756">
        <v>449</v>
      </c>
      <c r="C756" t="s">
        <v>460</v>
      </c>
      <c r="D756" t="s">
        <v>429</v>
      </c>
      <c r="E756" t="s">
        <v>461</v>
      </c>
      <c r="F756" t="s">
        <v>429</v>
      </c>
      <c r="G756">
        <v>27187.200000000001</v>
      </c>
      <c r="H756">
        <v>-13.8</v>
      </c>
      <c r="I756">
        <v>-298.60000000000002</v>
      </c>
      <c r="J756">
        <v>-367.6</v>
      </c>
      <c r="K756">
        <v>26378.1</v>
      </c>
      <c r="L756">
        <v>9526.1</v>
      </c>
      <c r="M756">
        <v>0</v>
      </c>
      <c r="N756">
        <v>-1.1000000000000001</v>
      </c>
      <c r="O756">
        <v>-1.1000000000000001</v>
      </c>
      <c r="P756">
        <v>-3.1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49786</v>
      </c>
      <c r="Y756" t="s">
        <v>347</v>
      </c>
      <c r="Z756" t="s">
        <v>638</v>
      </c>
      <c r="AB756" t="s">
        <v>463</v>
      </c>
      <c r="AC756" t="s">
        <v>464</v>
      </c>
      <c r="AD756" t="s">
        <v>639</v>
      </c>
      <c r="AE756" t="s">
        <v>466</v>
      </c>
      <c r="AF756">
        <v>9632.2580645161306</v>
      </c>
      <c r="AG756">
        <v>2020</v>
      </c>
      <c r="AH756">
        <v>1.0306731720631901</v>
      </c>
      <c r="AI756">
        <v>-3.1E-2</v>
      </c>
      <c r="AJ756">
        <v>2.7385167448091101</v>
      </c>
    </row>
    <row r="757" spans="1:36" x14ac:dyDescent="0.3">
      <c r="A757">
        <v>2021</v>
      </c>
      <c r="B757">
        <v>442</v>
      </c>
      <c r="C757" t="s">
        <v>213</v>
      </c>
      <c r="D757" t="s">
        <v>429</v>
      </c>
      <c r="E757" t="s">
        <v>632</v>
      </c>
      <c r="F757" t="s">
        <v>429</v>
      </c>
      <c r="G757">
        <v>27531.7</v>
      </c>
      <c r="H757">
        <v>-3.7</v>
      </c>
      <c r="I757">
        <v>531.5</v>
      </c>
      <c r="J757">
        <v>-20.5</v>
      </c>
      <c r="K757">
        <v>30577.9</v>
      </c>
      <c r="L757">
        <v>13848.1</v>
      </c>
      <c r="M757">
        <v>0</v>
      </c>
      <c r="N757">
        <v>1.9</v>
      </c>
      <c r="O757">
        <v>1.7</v>
      </c>
      <c r="P757">
        <v>3.8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286784</v>
      </c>
      <c r="Y757" t="s">
        <v>347</v>
      </c>
      <c r="Z757" t="s">
        <v>633</v>
      </c>
      <c r="AB757" t="s">
        <v>634</v>
      </c>
      <c r="AC757" t="s">
        <v>635</v>
      </c>
      <c r="AD757" t="s">
        <v>636</v>
      </c>
      <c r="AE757" t="s">
        <v>637</v>
      </c>
      <c r="AF757">
        <v>13986.8421052632</v>
      </c>
      <c r="AG757">
        <v>2020</v>
      </c>
      <c r="AH757">
        <v>0.90037903191520696</v>
      </c>
      <c r="AI757">
        <v>3.7999999999999999E-2</v>
      </c>
      <c r="AJ757">
        <v>2.18619040451552</v>
      </c>
    </row>
    <row r="758" spans="1:36" x14ac:dyDescent="0.3">
      <c r="A758">
        <v>2021</v>
      </c>
      <c r="B758">
        <v>412</v>
      </c>
      <c r="C758" t="s">
        <v>513</v>
      </c>
      <c r="D758" t="s">
        <v>429</v>
      </c>
      <c r="E758" t="s">
        <v>514</v>
      </c>
      <c r="F758" t="s">
        <v>429</v>
      </c>
      <c r="G758">
        <v>29980.799999999999</v>
      </c>
      <c r="H758">
        <v>-6.6</v>
      </c>
      <c r="I758">
        <v>1381.2</v>
      </c>
      <c r="J758">
        <v>11.9</v>
      </c>
      <c r="K758">
        <v>36495.1</v>
      </c>
      <c r="L758">
        <v>16098.2</v>
      </c>
      <c r="M758">
        <v>0</v>
      </c>
      <c r="N758">
        <v>4.5999999999999996</v>
      </c>
      <c r="O758">
        <v>3.8</v>
      </c>
      <c r="P758">
        <v>8.6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68739</v>
      </c>
      <c r="Y758" t="s">
        <v>347</v>
      </c>
      <c r="Z758" t="s">
        <v>624</v>
      </c>
      <c r="AB758" t="s">
        <v>516</v>
      </c>
      <c r="AC758" t="s">
        <v>517</v>
      </c>
      <c r="AD758" t="s">
        <v>625</v>
      </c>
      <c r="AE758" t="s">
        <v>519</v>
      </c>
      <c r="AF758">
        <v>16060.4651162791</v>
      </c>
      <c r="AG758">
        <v>2020</v>
      </c>
      <c r="AH758">
        <v>0.82150206466073505</v>
      </c>
      <c r="AI758">
        <v>8.5999999999999993E-2</v>
      </c>
      <c r="AJ758">
        <v>2.2723563567912</v>
      </c>
    </row>
    <row r="759" spans="1:36" x14ac:dyDescent="0.3">
      <c r="A759">
        <v>2021</v>
      </c>
      <c r="B759">
        <v>365</v>
      </c>
      <c r="C759" t="s">
        <v>618</v>
      </c>
      <c r="D759" t="s">
        <v>429</v>
      </c>
      <c r="E759" t="s">
        <v>527</v>
      </c>
      <c r="F759" t="s">
        <v>429</v>
      </c>
      <c r="G759">
        <v>33259.699999999997</v>
      </c>
      <c r="H759">
        <v>-4.5</v>
      </c>
      <c r="I759">
        <v>996.5</v>
      </c>
      <c r="J759">
        <v>350.3</v>
      </c>
      <c r="K759">
        <v>36411.4</v>
      </c>
      <c r="L759">
        <v>13883.5</v>
      </c>
      <c r="M759">
        <v>0</v>
      </c>
      <c r="N759">
        <v>3</v>
      </c>
      <c r="O759">
        <v>2.7</v>
      </c>
      <c r="P759">
        <v>7.2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118359</v>
      </c>
      <c r="Y759" t="s">
        <v>347</v>
      </c>
      <c r="Z759" t="s">
        <v>619</v>
      </c>
      <c r="AB759" t="s">
        <v>620</v>
      </c>
      <c r="AC759" t="s">
        <v>621</v>
      </c>
      <c r="AD759" t="s">
        <v>622</v>
      </c>
      <c r="AE759" t="s">
        <v>623</v>
      </c>
      <c r="AF759">
        <v>13840.277777777799</v>
      </c>
      <c r="AG759">
        <v>2020</v>
      </c>
      <c r="AH759">
        <v>0.91344194400654699</v>
      </c>
      <c r="AI759">
        <v>7.1999999999999995E-2</v>
      </c>
      <c r="AJ759">
        <v>2.63082870045158</v>
      </c>
    </row>
    <row r="760" spans="1:36" x14ac:dyDescent="0.3">
      <c r="A760">
        <v>2021</v>
      </c>
      <c r="B760">
        <v>244</v>
      </c>
      <c r="C760" t="s">
        <v>526</v>
      </c>
      <c r="D760" t="s">
        <v>429</v>
      </c>
      <c r="E760" t="s">
        <v>527</v>
      </c>
      <c r="F760" t="s">
        <v>429</v>
      </c>
      <c r="G760">
        <v>46569.3</v>
      </c>
      <c r="H760">
        <v>-1.8</v>
      </c>
      <c r="I760">
        <v>1179.7</v>
      </c>
      <c r="J760">
        <v>88.3</v>
      </c>
      <c r="K760">
        <v>61190.6</v>
      </c>
      <c r="L760">
        <v>35180.9</v>
      </c>
      <c r="M760">
        <v>0</v>
      </c>
      <c r="N760">
        <v>2.5</v>
      </c>
      <c r="O760">
        <v>1.9</v>
      </c>
      <c r="P760">
        <v>3.4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168391</v>
      </c>
      <c r="Y760" t="s">
        <v>347</v>
      </c>
      <c r="Z760" t="s">
        <v>626</v>
      </c>
      <c r="AB760" t="s">
        <v>529</v>
      </c>
      <c r="AC760" t="s">
        <v>530</v>
      </c>
      <c r="AD760" t="s">
        <v>627</v>
      </c>
      <c r="AE760" t="s">
        <v>628</v>
      </c>
      <c r="AF760">
        <v>34697.058823529398</v>
      </c>
      <c r="AG760">
        <v>2020</v>
      </c>
      <c r="AH760">
        <v>0.76105316829709102</v>
      </c>
      <c r="AI760">
        <v>3.4000000000000002E-2</v>
      </c>
      <c r="AJ760">
        <v>1.7635673476307501</v>
      </c>
    </row>
    <row r="761" spans="1:36" x14ac:dyDescent="0.3">
      <c r="A761">
        <v>2021</v>
      </c>
      <c r="B761">
        <v>9</v>
      </c>
      <c r="C761" t="s">
        <v>572</v>
      </c>
      <c r="D761" t="s">
        <v>429</v>
      </c>
      <c r="E761" t="s">
        <v>573</v>
      </c>
      <c r="F761" t="s">
        <v>429</v>
      </c>
      <c r="G761">
        <v>256721.7</v>
      </c>
      <c r="H761">
        <v>-6.5</v>
      </c>
      <c r="I761">
        <v>21180.1</v>
      </c>
      <c r="J761">
        <v>13.1</v>
      </c>
      <c r="K761">
        <v>562994</v>
      </c>
      <c r="L761">
        <v>211614.3</v>
      </c>
      <c r="M761">
        <v>0</v>
      </c>
      <c r="N761">
        <v>8.3000000000000007</v>
      </c>
      <c r="O761">
        <v>3.8</v>
      </c>
      <c r="P761">
        <v>10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366283</v>
      </c>
      <c r="Y761" t="s">
        <v>347</v>
      </c>
      <c r="Z761" t="s">
        <v>629</v>
      </c>
      <c r="AB761" t="s">
        <v>575</v>
      </c>
      <c r="AC761" t="s">
        <v>576</v>
      </c>
      <c r="AD761" t="s">
        <v>630</v>
      </c>
      <c r="AE761" t="s">
        <v>631</v>
      </c>
      <c r="AF761">
        <v>211801</v>
      </c>
      <c r="AG761">
        <v>2020</v>
      </c>
      <c r="AH761">
        <v>0.45599366955953402</v>
      </c>
      <c r="AI761">
        <v>0.1</v>
      </c>
      <c r="AJ761">
        <v>2.6581272043097099</v>
      </c>
    </row>
    <row r="762" spans="1:36" x14ac:dyDescent="0.3">
      <c r="A762">
        <v>2020</v>
      </c>
      <c r="B762">
        <v>437</v>
      </c>
      <c r="C762" t="s">
        <v>213</v>
      </c>
      <c r="D762" t="s">
        <v>429</v>
      </c>
      <c r="E762" t="s">
        <v>632</v>
      </c>
      <c r="F762" t="s">
        <v>429</v>
      </c>
      <c r="G762">
        <v>28662.9</v>
      </c>
      <c r="H762">
        <v>3</v>
      </c>
      <c r="I762">
        <v>1064.8</v>
      </c>
      <c r="J762">
        <v>-2</v>
      </c>
      <c r="K762">
        <v>27588.9</v>
      </c>
      <c r="L762">
        <v>13247.2</v>
      </c>
      <c r="M762">
        <v>0</v>
      </c>
      <c r="N762">
        <v>3.7</v>
      </c>
      <c r="O762">
        <v>3.9</v>
      </c>
      <c r="P762">
        <v>8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272796</v>
      </c>
      <c r="Y762" t="s">
        <v>347</v>
      </c>
      <c r="Z762" t="s">
        <v>633</v>
      </c>
      <c r="AB762" t="s">
        <v>634</v>
      </c>
      <c r="AC762" t="s">
        <v>640</v>
      </c>
      <c r="AD762" t="s">
        <v>636</v>
      </c>
      <c r="AE762" t="s">
        <v>637</v>
      </c>
      <c r="AF762">
        <v>13310</v>
      </c>
      <c r="AG762">
        <v>2019</v>
      </c>
      <c r="AH762">
        <v>1.0389286995857001</v>
      </c>
      <c r="AI762">
        <v>0.08</v>
      </c>
      <c r="AJ762">
        <v>2.0727948910593499</v>
      </c>
    </row>
    <row r="763" spans="1:36" x14ac:dyDescent="0.3">
      <c r="A763">
        <v>2020</v>
      </c>
      <c r="B763">
        <v>389</v>
      </c>
      <c r="C763" t="s">
        <v>460</v>
      </c>
      <c r="D763" t="s">
        <v>429</v>
      </c>
      <c r="E763" t="s">
        <v>461</v>
      </c>
      <c r="F763" t="s">
        <v>429</v>
      </c>
      <c r="G763">
        <v>32150.799999999999</v>
      </c>
      <c r="H763">
        <v>2.5</v>
      </c>
      <c r="I763">
        <v>572.5</v>
      </c>
      <c r="J763">
        <v>-43.4</v>
      </c>
      <c r="K763">
        <v>25942.2</v>
      </c>
      <c r="L763">
        <v>10160.799999999999</v>
      </c>
      <c r="M763">
        <v>0</v>
      </c>
      <c r="N763">
        <v>1.8</v>
      </c>
      <c r="O763">
        <v>2.2000000000000002</v>
      </c>
      <c r="P763">
        <v>5.6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49998</v>
      </c>
      <c r="Y763" t="s">
        <v>347</v>
      </c>
      <c r="Z763" t="s">
        <v>638</v>
      </c>
      <c r="AB763" t="s">
        <v>463</v>
      </c>
      <c r="AC763" t="s">
        <v>464</v>
      </c>
      <c r="AD763" t="s">
        <v>639</v>
      </c>
      <c r="AE763" t="s">
        <v>466</v>
      </c>
      <c r="AF763">
        <v>10223.214285714301</v>
      </c>
      <c r="AG763">
        <v>2019</v>
      </c>
      <c r="AH763">
        <v>1.23932434411885</v>
      </c>
      <c r="AI763">
        <v>5.6000000000000001E-2</v>
      </c>
      <c r="AJ763">
        <v>2.5375776419213998</v>
      </c>
    </row>
    <row r="764" spans="1:36" x14ac:dyDescent="0.3">
      <c r="A764">
        <v>2020</v>
      </c>
      <c r="B764">
        <v>357</v>
      </c>
      <c r="C764" t="s">
        <v>513</v>
      </c>
      <c r="D764" t="s">
        <v>429</v>
      </c>
      <c r="E764" t="s">
        <v>514</v>
      </c>
      <c r="F764" t="s">
        <v>429</v>
      </c>
      <c r="G764">
        <v>34917.9</v>
      </c>
      <c r="H764">
        <v>3</v>
      </c>
      <c r="I764">
        <v>1612.3</v>
      </c>
      <c r="J764">
        <v>-17.2</v>
      </c>
      <c r="K764">
        <v>30739.8</v>
      </c>
      <c r="L764">
        <v>13397.9</v>
      </c>
      <c r="M764">
        <v>0</v>
      </c>
      <c r="N764">
        <v>4.5999999999999996</v>
      </c>
      <c r="O764">
        <v>5.2</v>
      </c>
      <c r="P764">
        <v>12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67721</v>
      </c>
      <c r="Y764" t="s">
        <v>347</v>
      </c>
      <c r="Z764" t="s">
        <v>624</v>
      </c>
      <c r="AB764" t="s">
        <v>516</v>
      </c>
      <c r="AC764" t="s">
        <v>517</v>
      </c>
      <c r="AD764" t="s">
        <v>625</v>
      </c>
      <c r="AE764" t="s">
        <v>519</v>
      </c>
      <c r="AF764">
        <v>13435.833333333299</v>
      </c>
      <c r="AG764">
        <v>2019</v>
      </c>
      <c r="AH764">
        <v>1.13591825581168</v>
      </c>
      <c r="AI764">
        <v>0.12</v>
      </c>
      <c r="AJ764">
        <v>2.2878967934007299</v>
      </c>
    </row>
    <row r="765" spans="1:36" x14ac:dyDescent="0.3">
      <c r="A765">
        <v>2020</v>
      </c>
      <c r="B765">
        <v>339</v>
      </c>
      <c r="C765" t="s">
        <v>641</v>
      </c>
      <c r="D765" t="s">
        <v>429</v>
      </c>
      <c r="E765" t="s">
        <v>527</v>
      </c>
      <c r="F765" t="s">
        <v>429</v>
      </c>
      <c r="G765">
        <v>36465.699999999997</v>
      </c>
      <c r="H765">
        <v>3.4</v>
      </c>
      <c r="I765">
        <v>993.2</v>
      </c>
      <c r="J765">
        <v>-18.2</v>
      </c>
      <c r="K765">
        <v>33901.5</v>
      </c>
      <c r="L765">
        <v>12170.4</v>
      </c>
      <c r="M765">
        <v>0</v>
      </c>
      <c r="N765">
        <v>2.7</v>
      </c>
      <c r="O765">
        <v>2.9</v>
      </c>
      <c r="P765">
        <v>8.1999999999999993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119732</v>
      </c>
      <c r="Y765" t="s">
        <v>347</v>
      </c>
      <c r="Z765" t="s">
        <v>619</v>
      </c>
      <c r="AB765" t="s">
        <v>620</v>
      </c>
      <c r="AC765" t="s">
        <v>621</v>
      </c>
      <c r="AD765" t="s">
        <v>622</v>
      </c>
      <c r="AE765" t="s">
        <v>623</v>
      </c>
      <c r="AF765">
        <v>12112.195121951199</v>
      </c>
      <c r="AG765">
        <v>2019</v>
      </c>
      <c r="AH765">
        <v>1.07563677123431</v>
      </c>
      <c r="AI765">
        <v>8.2000000000000003E-2</v>
      </c>
      <c r="AJ765">
        <v>2.79895590012082</v>
      </c>
    </row>
    <row r="766" spans="1:36" x14ac:dyDescent="0.3">
      <c r="A766">
        <v>2020</v>
      </c>
      <c r="B766">
        <v>230</v>
      </c>
      <c r="C766" t="s">
        <v>526</v>
      </c>
      <c r="D766" t="s">
        <v>429</v>
      </c>
      <c r="E766" t="s">
        <v>527</v>
      </c>
      <c r="F766" t="s">
        <v>429</v>
      </c>
      <c r="G766">
        <v>48368</v>
      </c>
      <c r="H766">
        <v>4.9000000000000004</v>
      </c>
      <c r="I766">
        <v>2295.6</v>
      </c>
      <c r="J766">
        <v>-20.7</v>
      </c>
      <c r="K766">
        <v>52339.5</v>
      </c>
      <c r="L766">
        <v>32490.2</v>
      </c>
      <c r="M766">
        <v>0</v>
      </c>
      <c r="N766">
        <v>4.7</v>
      </c>
      <c r="O766">
        <v>4.4000000000000004</v>
      </c>
      <c r="P766">
        <v>7.1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171992</v>
      </c>
      <c r="Y766" t="s">
        <v>347</v>
      </c>
      <c r="Z766" t="s">
        <v>626</v>
      </c>
      <c r="AB766" t="s">
        <v>529</v>
      </c>
      <c r="AC766" t="s">
        <v>530</v>
      </c>
      <c r="AD766" t="s">
        <v>627</v>
      </c>
      <c r="AE766" t="s">
        <v>628</v>
      </c>
      <c r="AF766">
        <v>32332.394366197201</v>
      </c>
      <c r="AG766">
        <v>2019</v>
      </c>
      <c r="AH766">
        <v>0.92412040619417501</v>
      </c>
      <c r="AI766">
        <v>7.0999999999999994E-2</v>
      </c>
      <c r="AJ766">
        <v>1.6187944328280199</v>
      </c>
    </row>
    <row r="767" spans="1:36" x14ac:dyDescent="0.3">
      <c r="A767">
        <v>2020</v>
      </c>
      <c r="B767">
        <v>66</v>
      </c>
      <c r="C767" t="s">
        <v>428</v>
      </c>
      <c r="D767" t="s">
        <v>429</v>
      </c>
      <c r="E767" t="s">
        <v>430</v>
      </c>
      <c r="F767" t="s">
        <v>429</v>
      </c>
      <c r="G767">
        <v>104390.6</v>
      </c>
      <c r="H767">
        <v>-3.2</v>
      </c>
      <c r="I767">
        <v>2878.4</v>
      </c>
      <c r="J767">
        <v>-57.3</v>
      </c>
      <c r="K767">
        <v>171251</v>
      </c>
      <c r="L767">
        <v>56411.1</v>
      </c>
      <c r="M767">
        <v>0</v>
      </c>
      <c r="N767">
        <v>2.8</v>
      </c>
      <c r="O767">
        <v>1.7</v>
      </c>
      <c r="P767">
        <v>5.0999999999999996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148513</v>
      </c>
      <c r="Y767" t="s">
        <v>347</v>
      </c>
      <c r="Z767" t="s">
        <v>431</v>
      </c>
      <c r="AB767" t="s">
        <v>432</v>
      </c>
      <c r="AC767" t="s">
        <v>433</v>
      </c>
      <c r="AD767" t="s">
        <v>434</v>
      </c>
      <c r="AE767" t="s">
        <v>435</v>
      </c>
      <c r="AF767">
        <v>56439.215686274503</v>
      </c>
      <c r="AG767">
        <v>2019</v>
      </c>
      <c r="AH767">
        <v>0.60957658641409396</v>
      </c>
      <c r="AI767">
        <v>5.0999999999999997E-2</v>
      </c>
      <c r="AJ767">
        <v>3.0342554891606399</v>
      </c>
    </row>
    <row r="768" spans="1:36" x14ac:dyDescent="0.3">
      <c r="A768">
        <v>2020</v>
      </c>
      <c r="B768">
        <v>10</v>
      </c>
      <c r="C768" t="s">
        <v>572</v>
      </c>
      <c r="D768" t="s">
        <v>429</v>
      </c>
      <c r="E768" t="s">
        <v>573</v>
      </c>
      <c r="F768" t="s">
        <v>429</v>
      </c>
      <c r="G768">
        <v>272612</v>
      </c>
      <c r="H768">
        <v>2.8</v>
      </c>
      <c r="I768">
        <v>16982</v>
      </c>
      <c r="J768">
        <v>-24.6</v>
      </c>
      <c r="K768">
        <v>469295.6</v>
      </c>
      <c r="L768">
        <v>174827.4</v>
      </c>
      <c r="M768">
        <v>0</v>
      </c>
      <c r="N768">
        <v>6.2</v>
      </c>
      <c r="O768">
        <v>3.6</v>
      </c>
      <c r="P768">
        <v>9.6999999999999993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370870</v>
      </c>
      <c r="Y768" t="s">
        <v>347</v>
      </c>
      <c r="Z768" t="s">
        <v>629</v>
      </c>
      <c r="AB768" t="s">
        <v>575</v>
      </c>
      <c r="AC768" t="s">
        <v>576</v>
      </c>
      <c r="AD768" t="s">
        <v>630</v>
      </c>
      <c r="AE768" t="s">
        <v>578</v>
      </c>
      <c r="AF768">
        <v>175072.16494845401</v>
      </c>
      <c r="AG768">
        <v>2019</v>
      </c>
      <c r="AH768">
        <v>0.58089613454718103</v>
      </c>
      <c r="AI768">
        <v>9.7000000000000003E-2</v>
      </c>
      <c r="AJ768">
        <v>2.6805837474973502</v>
      </c>
    </row>
    <row r="769" spans="1:36" x14ac:dyDescent="0.3">
      <c r="A769">
        <v>2019</v>
      </c>
      <c r="B769">
        <v>437</v>
      </c>
      <c r="C769" t="s">
        <v>213</v>
      </c>
      <c r="D769" t="s">
        <v>429</v>
      </c>
      <c r="E769" t="s">
        <v>632</v>
      </c>
      <c r="F769" t="s">
        <v>429</v>
      </c>
      <c r="G769">
        <v>28662.9</v>
      </c>
      <c r="H769">
        <v>3</v>
      </c>
      <c r="I769">
        <v>1064.8</v>
      </c>
      <c r="J769">
        <v>-2</v>
      </c>
      <c r="K769">
        <v>27588.9</v>
      </c>
      <c r="L769">
        <v>13247.2</v>
      </c>
      <c r="M769">
        <v>0</v>
      </c>
      <c r="N769">
        <v>3.7</v>
      </c>
      <c r="O769">
        <v>3.9</v>
      </c>
      <c r="P769">
        <v>8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272796</v>
      </c>
      <c r="Y769" t="s">
        <v>347</v>
      </c>
      <c r="Z769" t="s">
        <v>633</v>
      </c>
      <c r="AB769" t="s">
        <v>634</v>
      </c>
      <c r="AC769" t="s">
        <v>640</v>
      </c>
      <c r="AD769" t="s">
        <v>636</v>
      </c>
      <c r="AE769" t="s">
        <v>637</v>
      </c>
      <c r="AF769">
        <v>13310</v>
      </c>
      <c r="AG769">
        <v>2018</v>
      </c>
      <c r="AH769">
        <v>1.0389286995857001</v>
      </c>
      <c r="AI769">
        <v>0.08</v>
      </c>
      <c r="AJ769">
        <v>2.0727948910593499</v>
      </c>
    </row>
    <row r="770" spans="1:36" x14ac:dyDescent="0.3">
      <c r="A770">
        <v>2019</v>
      </c>
      <c r="B770">
        <v>389</v>
      </c>
      <c r="C770" t="s">
        <v>460</v>
      </c>
      <c r="D770" t="s">
        <v>429</v>
      </c>
      <c r="E770" t="s">
        <v>461</v>
      </c>
      <c r="F770" t="s">
        <v>429</v>
      </c>
      <c r="G770">
        <v>32150.799999999999</v>
      </c>
      <c r="H770">
        <v>2.5</v>
      </c>
      <c r="I770">
        <v>572.5</v>
      </c>
      <c r="J770">
        <v>-43.4</v>
      </c>
      <c r="K770">
        <v>25942.2</v>
      </c>
      <c r="L770">
        <v>10160.799999999999</v>
      </c>
      <c r="M770">
        <v>0</v>
      </c>
      <c r="N770">
        <v>1.8</v>
      </c>
      <c r="O770">
        <v>2.2000000000000002</v>
      </c>
      <c r="P770">
        <v>5.6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49998</v>
      </c>
      <c r="Y770" t="s">
        <v>347</v>
      </c>
      <c r="Z770" t="s">
        <v>638</v>
      </c>
      <c r="AB770" t="s">
        <v>463</v>
      </c>
      <c r="AC770" t="s">
        <v>464</v>
      </c>
      <c r="AD770" t="s">
        <v>639</v>
      </c>
      <c r="AE770" t="s">
        <v>466</v>
      </c>
      <c r="AF770">
        <v>10223.214285714301</v>
      </c>
      <c r="AG770">
        <v>2018</v>
      </c>
      <c r="AH770">
        <v>1.23932434411885</v>
      </c>
      <c r="AI770">
        <v>5.6000000000000001E-2</v>
      </c>
      <c r="AJ770">
        <v>2.5375776419213998</v>
      </c>
    </row>
    <row r="771" spans="1:36" x14ac:dyDescent="0.3">
      <c r="A771">
        <v>2019</v>
      </c>
      <c r="B771">
        <v>357</v>
      </c>
      <c r="C771" t="s">
        <v>513</v>
      </c>
      <c r="D771" t="s">
        <v>429</v>
      </c>
      <c r="E771" t="s">
        <v>514</v>
      </c>
      <c r="F771" t="s">
        <v>429</v>
      </c>
      <c r="G771">
        <v>34917.9</v>
      </c>
      <c r="H771">
        <v>3</v>
      </c>
      <c r="I771">
        <v>1612.3</v>
      </c>
      <c r="J771">
        <v>-17.2</v>
      </c>
      <c r="K771">
        <v>30739.8</v>
      </c>
      <c r="L771">
        <v>13397.9</v>
      </c>
      <c r="M771">
        <v>0</v>
      </c>
      <c r="N771">
        <v>4.5999999999999996</v>
      </c>
      <c r="O771">
        <v>5.2</v>
      </c>
      <c r="P771">
        <v>12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67721</v>
      </c>
      <c r="Y771" t="s">
        <v>347</v>
      </c>
      <c r="Z771" t="s">
        <v>624</v>
      </c>
      <c r="AB771" t="s">
        <v>516</v>
      </c>
      <c r="AC771" t="s">
        <v>517</v>
      </c>
      <c r="AD771" t="s">
        <v>625</v>
      </c>
      <c r="AE771" t="s">
        <v>519</v>
      </c>
      <c r="AF771">
        <v>13435.833333333299</v>
      </c>
      <c r="AG771">
        <v>2018</v>
      </c>
      <c r="AH771">
        <v>1.13591825581168</v>
      </c>
      <c r="AI771">
        <v>0.12</v>
      </c>
      <c r="AJ771">
        <v>2.2878967934007299</v>
      </c>
    </row>
    <row r="772" spans="1:36" x14ac:dyDescent="0.3">
      <c r="A772">
        <v>2019</v>
      </c>
      <c r="B772">
        <v>339</v>
      </c>
      <c r="C772" t="s">
        <v>641</v>
      </c>
      <c r="D772" t="s">
        <v>429</v>
      </c>
      <c r="E772" t="s">
        <v>527</v>
      </c>
      <c r="F772" t="s">
        <v>429</v>
      </c>
      <c r="G772">
        <v>36465.699999999997</v>
      </c>
      <c r="H772">
        <v>3.4</v>
      </c>
      <c r="I772">
        <v>993.2</v>
      </c>
      <c r="J772">
        <v>-18.2</v>
      </c>
      <c r="K772">
        <v>33901.5</v>
      </c>
      <c r="L772">
        <v>12170.4</v>
      </c>
      <c r="M772">
        <v>0</v>
      </c>
      <c r="N772">
        <v>2.7</v>
      </c>
      <c r="O772">
        <v>2.9</v>
      </c>
      <c r="P772">
        <v>8.1999999999999993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119732</v>
      </c>
      <c r="Y772" t="s">
        <v>347</v>
      </c>
      <c r="Z772" t="s">
        <v>619</v>
      </c>
      <c r="AB772" t="s">
        <v>620</v>
      </c>
      <c r="AC772" t="s">
        <v>621</v>
      </c>
      <c r="AD772" t="s">
        <v>622</v>
      </c>
      <c r="AE772" t="s">
        <v>623</v>
      </c>
      <c r="AF772">
        <v>12112.195121951199</v>
      </c>
      <c r="AG772">
        <v>2018</v>
      </c>
      <c r="AH772">
        <v>1.07563677123431</v>
      </c>
      <c r="AI772">
        <v>8.2000000000000003E-2</v>
      </c>
      <c r="AJ772">
        <v>2.79895590012082</v>
      </c>
    </row>
    <row r="773" spans="1:36" x14ac:dyDescent="0.3">
      <c r="A773">
        <v>2019</v>
      </c>
      <c r="B773">
        <v>230</v>
      </c>
      <c r="C773" t="s">
        <v>526</v>
      </c>
      <c r="D773" t="s">
        <v>429</v>
      </c>
      <c r="E773" t="s">
        <v>527</v>
      </c>
      <c r="F773" t="s">
        <v>429</v>
      </c>
      <c r="G773">
        <v>48368</v>
      </c>
      <c r="H773">
        <v>4.9000000000000004</v>
      </c>
      <c r="I773">
        <v>2295.6</v>
      </c>
      <c r="J773">
        <v>-20.7</v>
      </c>
      <c r="K773">
        <v>52339.5</v>
      </c>
      <c r="L773">
        <v>32490.2</v>
      </c>
      <c r="M773">
        <v>0</v>
      </c>
      <c r="N773">
        <v>4.7</v>
      </c>
      <c r="O773">
        <v>4.4000000000000004</v>
      </c>
      <c r="P773">
        <v>7.1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171992</v>
      </c>
      <c r="Y773" t="s">
        <v>347</v>
      </c>
      <c r="Z773" t="s">
        <v>626</v>
      </c>
      <c r="AB773" t="s">
        <v>529</v>
      </c>
      <c r="AC773" t="s">
        <v>530</v>
      </c>
      <c r="AD773" t="s">
        <v>627</v>
      </c>
      <c r="AE773" t="s">
        <v>628</v>
      </c>
      <c r="AF773">
        <v>32332.394366197201</v>
      </c>
      <c r="AG773">
        <v>2018</v>
      </c>
      <c r="AH773">
        <v>0.92412040619417501</v>
      </c>
      <c r="AI773">
        <v>7.0999999999999994E-2</v>
      </c>
      <c r="AJ773">
        <v>1.6187944328280199</v>
      </c>
    </row>
    <row r="774" spans="1:36" x14ac:dyDescent="0.3">
      <c r="A774">
        <v>2019</v>
      </c>
      <c r="B774">
        <v>66</v>
      </c>
      <c r="C774" t="s">
        <v>428</v>
      </c>
      <c r="D774" t="s">
        <v>429</v>
      </c>
      <c r="E774" t="s">
        <v>430</v>
      </c>
      <c r="F774" t="s">
        <v>429</v>
      </c>
      <c r="G774">
        <v>104390.6</v>
      </c>
      <c r="H774">
        <v>-3.2</v>
      </c>
      <c r="I774">
        <v>2878.4</v>
      </c>
      <c r="J774">
        <v>-57.3</v>
      </c>
      <c r="K774">
        <v>171251</v>
      </c>
      <c r="L774">
        <v>56411.1</v>
      </c>
      <c r="M774">
        <v>0</v>
      </c>
      <c r="N774">
        <v>2.8</v>
      </c>
      <c r="O774">
        <v>1.7</v>
      </c>
      <c r="P774">
        <v>5.0999999999999996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148513</v>
      </c>
      <c r="Y774" t="s">
        <v>347</v>
      </c>
      <c r="Z774" t="s">
        <v>431</v>
      </c>
      <c r="AB774" t="s">
        <v>432</v>
      </c>
      <c r="AC774" t="s">
        <v>433</v>
      </c>
      <c r="AD774" t="s">
        <v>434</v>
      </c>
      <c r="AE774" t="s">
        <v>435</v>
      </c>
      <c r="AF774">
        <v>56439.215686274503</v>
      </c>
      <c r="AG774">
        <v>2018</v>
      </c>
      <c r="AH774">
        <v>0.60957658641409396</v>
      </c>
      <c r="AI774">
        <v>5.0999999999999997E-2</v>
      </c>
      <c r="AJ774">
        <v>3.0342554891606399</v>
      </c>
    </row>
    <row r="775" spans="1:36" x14ac:dyDescent="0.3">
      <c r="A775">
        <v>2019</v>
      </c>
      <c r="B775">
        <v>10</v>
      </c>
      <c r="C775" t="s">
        <v>572</v>
      </c>
      <c r="D775" t="s">
        <v>429</v>
      </c>
      <c r="E775" t="s">
        <v>573</v>
      </c>
      <c r="F775" t="s">
        <v>429</v>
      </c>
      <c r="G775">
        <v>272612</v>
      </c>
      <c r="H775">
        <v>2.8</v>
      </c>
      <c r="I775">
        <v>16982</v>
      </c>
      <c r="J775">
        <v>-24.6</v>
      </c>
      <c r="K775">
        <v>469295.6</v>
      </c>
      <c r="L775">
        <v>174827.4</v>
      </c>
      <c r="M775">
        <v>0</v>
      </c>
      <c r="N775">
        <v>6.2</v>
      </c>
      <c r="O775">
        <v>3.6</v>
      </c>
      <c r="P775">
        <v>9.6999999999999993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370870</v>
      </c>
      <c r="Y775" t="s">
        <v>347</v>
      </c>
      <c r="Z775" t="s">
        <v>629</v>
      </c>
      <c r="AB775" t="s">
        <v>575</v>
      </c>
      <c r="AC775" t="s">
        <v>576</v>
      </c>
      <c r="AD775" t="s">
        <v>630</v>
      </c>
      <c r="AE775" t="s">
        <v>578</v>
      </c>
      <c r="AF775">
        <v>175072.16494845401</v>
      </c>
      <c r="AG775">
        <v>2018</v>
      </c>
      <c r="AH775">
        <v>0.58089613454718103</v>
      </c>
      <c r="AI775">
        <v>9.7000000000000003E-2</v>
      </c>
      <c r="AJ775">
        <v>2.6805837474973502</v>
      </c>
    </row>
    <row r="776" spans="1:36" x14ac:dyDescent="0.3">
      <c r="A776">
        <v>2018</v>
      </c>
      <c r="B776">
        <v>437</v>
      </c>
      <c r="C776" t="s">
        <v>213</v>
      </c>
      <c r="D776" t="s">
        <v>429</v>
      </c>
      <c r="E776" t="s">
        <v>632</v>
      </c>
      <c r="F776" t="s">
        <v>429</v>
      </c>
      <c r="G776">
        <v>28662.9</v>
      </c>
      <c r="H776">
        <v>3</v>
      </c>
      <c r="I776">
        <v>1064.8</v>
      </c>
      <c r="J776">
        <v>-2</v>
      </c>
      <c r="K776">
        <v>27588.9</v>
      </c>
      <c r="L776">
        <v>13247.2</v>
      </c>
      <c r="M776">
        <v>0</v>
      </c>
      <c r="N776">
        <v>3.7</v>
      </c>
      <c r="O776">
        <v>3.9</v>
      </c>
      <c r="P776">
        <v>8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272796</v>
      </c>
      <c r="Y776" t="s">
        <v>347</v>
      </c>
      <c r="Z776" t="s">
        <v>633</v>
      </c>
      <c r="AB776" t="s">
        <v>634</v>
      </c>
      <c r="AC776" t="s">
        <v>640</v>
      </c>
      <c r="AD776" t="s">
        <v>636</v>
      </c>
      <c r="AE776" t="s">
        <v>637</v>
      </c>
      <c r="AF776">
        <v>13310</v>
      </c>
      <c r="AG776">
        <v>2017</v>
      </c>
      <c r="AH776">
        <v>1.0389286995857001</v>
      </c>
      <c r="AI776">
        <v>0.08</v>
      </c>
      <c r="AJ776">
        <v>2.0727948910593499</v>
      </c>
    </row>
    <row r="777" spans="1:36" x14ac:dyDescent="0.3">
      <c r="A777">
        <v>2018</v>
      </c>
      <c r="B777">
        <v>389</v>
      </c>
      <c r="C777" t="s">
        <v>460</v>
      </c>
      <c r="D777" t="s">
        <v>429</v>
      </c>
      <c r="E777" t="s">
        <v>461</v>
      </c>
      <c r="F777" t="s">
        <v>429</v>
      </c>
      <c r="G777">
        <v>32150.799999999999</v>
      </c>
      <c r="H777">
        <v>2.5</v>
      </c>
      <c r="I777">
        <v>572.5</v>
      </c>
      <c r="J777">
        <v>-43.4</v>
      </c>
      <c r="K777">
        <v>25942.2</v>
      </c>
      <c r="L777">
        <v>10160.799999999999</v>
      </c>
      <c r="M777">
        <v>0</v>
      </c>
      <c r="N777">
        <v>1.8</v>
      </c>
      <c r="O777">
        <v>2.2000000000000002</v>
      </c>
      <c r="P777">
        <v>5.6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49998</v>
      </c>
      <c r="Y777" t="s">
        <v>347</v>
      </c>
      <c r="Z777" t="s">
        <v>638</v>
      </c>
      <c r="AB777" t="s">
        <v>463</v>
      </c>
      <c r="AC777" t="s">
        <v>464</v>
      </c>
      <c r="AD777" t="s">
        <v>639</v>
      </c>
      <c r="AE777" t="s">
        <v>466</v>
      </c>
      <c r="AF777">
        <v>10223.214285714301</v>
      </c>
      <c r="AG777">
        <v>2017</v>
      </c>
      <c r="AH777">
        <v>1.23932434411885</v>
      </c>
      <c r="AI777">
        <v>5.6000000000000001E-2</v>
      </c>
      <c r="AJ777">
        <v>2.5375776419213998</v>
      </c>
    </row>
    <row r="778" spans="1:36" x14ac:dyDescent="0.3">
      <c r="A778">
        <v>2018</v>
      </c>
      <c r="B778">
        <v>357</v>
      </c>
      <c r="C778" t="s">
        <v>513</v>
      </c>
      <c r="D778" t="s">
        <v>429</v>
      </c>
      <c r="E778" t="s">
        <v>514</v>
      </c>
      <c r="F778" t="s">
        <v>429</v>
      </c>
      <c r="G778">
        <v>34917.9</v>
      </c>
      <c r="H778">
        <v>3</v>
      </c>
      <c r="I778">
        <v>1612.3</v>
      </c>
      <c r="J778">
        <v>-17.2</v>
      </c>
      <c r="K778">
        <v>30739.8</v>
      </c>
      <c r="L778">
        <v>13397.9</v>
      </c>
      <c r="M778">
        <v>0</v>
      </c>
      <c r="N778">
        <v>4.5999999999999996</v>
      </c>
      <c r="O778">
        <v>5.2</v>
      </c>
      <c r="P778">
        <v>12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67721</v>
      </c>
      <c r="Y778" t="s">
        <v>347</v>
      </c>
      <c r="Z778" t="s">
        <v>624</v>
      </c>
      <c r="AB778" t="s">
        <v>516</v>
      </c>
      <c r="AC778" t="s">
        <v>517</v>
      </c>
      <c r="AD778" t="s">
        <v>625</v>
      </c>
      <c r="AE778" t="s">
        <v>519</v>
      </c>
      <c r="AF778">
        <v>13435.833333333299</v>
      </c>
      <c r="AG778">
        <v>2017</v>
      </c>
      <c r="AH778">
        <v>1.13591825581168</v>
      </c>
      <c r="AI778">
        <v>0.12</v>
      </c>
      <c r="AJ778">
        <v>2.2878967934007299</v>
      </c>
    </row>
    <row r="779" spans="1:36" x14ac:dyDescent="0.3">
      <c r="A779">
        <v>2018</v>
      </c>
      <c r="B779">
        <v>339</v>
      </c>
      <c r="C779" t="s">
        <v>641</v>
      </c>
      <c r="D779" t="s">
        <v>429</v>
      </c>
      <c r="E779" t="s">
        <v>527</v>
      </c>
      <c r="F779" t="s">
        <v>429</v>
      </c>
      <c r="G779">
        <v>36465.699999999997</v>
      </c>
      <c r="H779">
        <v>3.4</v>
      </c>
      <c r="I779">
        <v>993.2</v>
      </c>
      <c r="J779">
        <v>-18.2</v>
      </c>
      <c r="K779">
        <v>33901.5</v>
      </c>
      <c r="L779">
        <v>12170.4</v>
      </c>
      <c r="M779">
        <v>0</v>
      </c>
      <c r="N779">
        <v>2.7</v>
      </c>
      <c r="O779">
        <v>2.9</v>
      </c>
      <c r="P779">
        <v>8.1999999999999993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119732</v>
      </c>
      <c r="Y779" t="s">
        <v>347</v>
      </c>
      <c r="Z779" t="s">
        <v>619</v>
      </c>
      <c r="AB779" t="s">
        <v>620</v>
      </c>
      <c r="AC779" t="s">
        <v>621</v>
      </c>
      <c r="AD779" t="s">
        <v>622</v>
      </c>
      <c r="AE779" t="s">
        <v>623</v>
      </c>
      <c r="AF779">
        <v>12112.195121951199</v>
      </c>
      <c r="AG779">
        <v>2017</v>
      </c>
      <c r="AH779">
        <v>1.07563677123431</v>
      </c>
      <c r="AI779">
        <v>8.2000000000000003E-2</v>
      </c>
      <c r="AJ779">
        <v>2.79895590012082</v>
      </c>
    </row>
    <row r="780" spans="1:36" x14ac:dyDescent="0.3">
      <c r="A780">
        <v>2018</v>
      </c>
      <c r="B780">
        <v>230</v>
      </c>
      <c r="C780" t="s">
        <v>526</v>
      </c>
      <c r="D780" t="s">
        <v>429</v>
      </c>
      <c r="E780" t="s">
        <v>527</v>
      </c>
      <c r="F780" t="s">
        <v>429</v>
      </c>
      <c r="G780">
        <v>48368</v>
      </c>
      <c r="H780">
        <v>4.9000000000000004</v>
      </c>
      <c r="I780">
        <v>2295.6</v>
      </c>
      <c r="J780">
        <v>-20.7</v>
      </c>
      <c r="K780">
        <v>52339.5</v>
      </c>
      <c r="L780">
        <v>32490.2</v>
      </c>
      <c r="M780">
        <v>0</v>
      </c>
      <c r="N780">
        <v>4.7</v>
      </c>
      <c r="O780">
        <v>4.4000000000000004</v>
      </c>
      <c r="P780">
        <v>7.1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171992</v>
      </c>
      <c r="Y780" t="s">
        <v>347</v>
      </c>
      <c r="Z780" t="s">
        <v>626</v>
      </c>
      <c r="AB780" t="s">
        <v>529</v>
      </c>
      <c r="AC780" t="s">
        <v>530</v>
      </c>
      <c r="AD780" t="s">
        <v>627</v>
      </c>
      <c r="AE780" t="s">
        <v>628</v>
      </c>
      <c r="AF780">
        <v>32332.394366197201</v>
      </c>
      <c r="AG780">
        <v>2017</v>
      </c>
      <c r="AH780">
        <v>0.92412040619417501</v>
      </c>
      <c r="AI780">
        <v>7.0999999999999994E-2</v>
      </c>
      <c r="AJ780">
        <v>1.6187944328280199</v>
      </c>
    </row>
    <row r="781" spans="1:36" x14ac:dyDescent="0.3">
      <c r="A781">
        <v>2018</v>
      </c>
      <c r="B781">
        <v>66</v>
      </c>
      <c r="C781" t="s">
        <v>428</v>
      </c>
      <c r="D781" t="s">
        <v>429</v>
      </c>
      <c r="E781" t="s">
        <v>430</v>
      </c>
      <c r="F781" t="s">
        <v>429</v>
      </c>
      <c r="G781">
        <v>104390.6</v>
      </c>
      <c r="H781">
        <v>-3.2</v>
      </c>
      <c r="I781">
        <v>2878.4</v>
      </c>
      <c r="J781">
        <v>-57.3</v>
      </c>
      <c r="K781">
        <v>171251</v>
      </c>
      <c r="L781">
        <v>56411.1</v>
      </c>
      <c r="M781">
        <v>0</v>
      </c>
      <c r="N781">
        <v>2.8</v>
      </c>
      <c r="O781">
        <v>1.7</v>
      </c>
      <c r="P781">
        <v>5.0999999999999996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148513</v>
      </c>
      <c r="Y781" t="s">
        <v>347</v>
      </c>
      <c r="Z781" t="s">
        <v>431</v>
      </c>
      <c r="AB781" t="s">
        <v>432</v>
      </c>
      <c r="AC781" t="s">
        <v>433</v>
      </c>
      <c r="AD781" t="s">
        <v>434</v>
      </c>
      <c r="AE781" t="s">
        <v>435</v>
      </c>
      <c r="AF781">
        <v>56439.215686274503</v>
      </c>
      <c r="AG781">
        <v>2017</v>
      </c>
      <c r="AH781">
        <v>0.60957658641409396</v>
      </c>
      <c r="AI781">
        <v>5.0999999999999997E-2</v>
      </c>
      <c r="AJ781">
        <v>3.0342554891606399</v>
      </c>
    </row>
    <row r="782" spans="1:36" x14ac:dyDescent="0.3">
      <c r="A782">
        <v>2018</v>
      </c>
      <c r="B782">
        <v>10</v>
      </c>
      <c r="C782" t="s">
        <v>572</v>
      </c>
      <c r="D782" t="s">
        <v>429</v>
      </c>
      <c r="E782" t="s">
        <v>573</v>
      </c>
      <c r="F782" t="s">
        <v>429</v>
      </c>
      <c r="G782">
        <v>272612</v>
      </c>
      <c r="H782">
        <v>2.8</v>
      </c>
      <c r="I782">
        <v>16982</v>
      </c>
      <c r="J782">
        <v>-24.6</v>
      </c>
      <c r="K782">
        <v>469295.6</v>
      </c>
      <c r="L782">
        <v>174827.4</v>
      </c>
      <c r="M782">
        <v>0</v>
      </c>
      <c r="N782">
        <v>6.2</v>
      </c>
      <c r="O782">
        <v>3.6</v>
      </c>
      <c r="P782">
        <v>9.6999999999999993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370870</v>
      </c>
      <c r="Y782" t="s">
        <v>347</v>
      </c>
      <c r="Z782" t="s">
        <v>629</v>
      </c>
      <c r="AB782" t="s">
        <v>575</v>
      </c>
      <c r="AC782" t="s">
        <v>576</v>
      </c>
      <c r="AD782" t="s">
        <v>630</v>
      </c>
      <c r="AE782" t="s">
        <v>578</v>
      </c>
      <c r="AF782">
        <v>175072.16494845401</v>
      </c>
      <c r="AG782">
        <v>2017</v>
      </c>
      <c r="AH782">
        <v>0.58089613454718103</v>
      </c>
      <c r="AI782">
        <v>9.7000000000000003E-2</v>
      </c>
      <c r="AJ782">
        <v>2.6805837474973502</v>
      </c>
    </row>
    <row r="783" spans="1:36" x14ac:dyDescent="0.3">
      <c r="A783">
        <v>2017</v>
      </c>
      <c r="B783">
        <v>420</v>
      </c>
      <c r="C783" t="s">
        <v>213</v>
      </c>
      <c r="D783" t="s">
        <v>429</v>
      </c>
      <c r="E783" t="s">
        <v>632</v>
      </c>
      <c r="F783" t="s">
        <v>429</v>
      </c>
      <c r="G783">
        <v>25974.799999999999</v>
      </c>
      <c r="H783">
        <v>6.3</v>
      </c>
      <c r="I783">
        <v>992.7</v>
      </c>
      <c r="J783">
        <v>31</v>
      </c>
      <c r="K783">
        <v>26062.1</v>
      </c>
      <c r="L783">
        <v>11769.4</v>
      </c>
      <c r="M783">
        <v>0</v>
      </c>
      <c r="N783">
        <v>3.8</v>
      </c>
      <c r="O783">
        <v>3.8</v>
      </c>
      <c r="P783">
        <v>8.4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248330</v>
      </c>
      <c r="Y783" t="s">
        <v>347</v>
      </c>
      <c r="Z783" t="s">
        <v>633</v>
      </c>
      <c r="AB783" t="s">
        <v>634</v>
      </c>
      <c r="AC783" t="s">
        <v>640</v>
      </c>
      <c r="AD783" t="s">
        <v>636</v>
      </c>
      <c r="AE783" t="s">
        <v>637</v>
      </c>
      <c r="AF783">
        <v>11817.857142857099</v>
      </c>
      <c r="AG783">
        <v>2016</v>
      </c>
      <c r="AH783">
        <v>0.996650308302094</v>
      </c>
      <c r="AI783">
        <v>8.4000000000000005E-2</v>
      </c>
      <c r="AJ783">
        <v>2.20531520096706</v>
      </c>
    </row>
    <row r="784" spans="1:36" x14ac:dyDescent="0.3">
      <c r="A784">
        <v>2017</v>
      </c>
      <c r="B784">
        <v>373</v>
      </c>
      <c r="C784" t="s">
        <v>513</v>
      </c>
      <c r="D784" t="s">
        <v>429</v>
      </c>
      <c r="E784" t="s">
        <v>514</v>
      </c>
      <c r="F784" t="s">
        <v>429</v>
      </c>
      <c r="G784">
        <v>29251.599999999999</v>
      </c>
      <c r="H784">
        <v>10.4</v>
      </c>
      <c r="I784">
        <v>1476.2</v>
      </c>
      <c r="J784">
        <v>51.9</v>
      </c>
      <c r="K784">
        <v>27968.6</v>
      </c>
      <c r="L784">
        <v>10318.200000000001</v>
      </c>
      <c r="M784">
        <v>0</v>
      </c>
      <c r="N784">
        <v>5</v>
      </c>
      <c r="O784">
        <v>5.3</v>
      </c>
      <c r="P784">
        <v>14.3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62992</v>
      </c>
      <c r="Y784" t="s">
        <v>347</v>
      </c>
      <c r="Z784" t="s">
        <v>624</v>
      </c>
      <c r="AB784" t="s">
        <v>516</v>
      </c>
      <c r="AC784" t="s">
        <v>517</v>
      </c>
      <c r="AD784" t="s">
        <v>625</v>
      </c>
      <c r="AE784" t="s">
        <v>519</v>
      </c>
      <c r="AF784">
        <v>10323.0769230769</v>
      </c>
      <c r="AG784">
        <v>2016</v>
      </c>
      <c r="AH784">
        <v>1.04587287172043</v>
      </c>
      <c r="AI784">
        <v>0.14299999999999999</v>
      </c>
      <c r="AJ784">
        <v>2.7093278688524598</v>
      </c>
    </row>
    <row r="785" spans="1:36" x14ac:dyDescent="0.3">
      <c r="A785">
        <v>2017</v>
      </c>
      <c r="B785">
        <v>367</v>
      </c>
      <c r="C785" t="s">
        <v>460</v>
      </c>
      <c r="D785" t="s">
        <v>429</v>
      </c>
      <c r="E785" t="s">
        <v>461</v>
      </c>
      <c r="F785" t="s">
        <v>429</v>
      </c>
      <c r="G785">
        <v>29665.3</v>
      </c>
      <c r="H785">
        <v>4.5</v>
      </c>
      <c r="I785">
        <v>865.5</v>
      </c>
      <c r="J785">
        <v>-22.7</v>
      </c>
      <c r="K785">
        <v>22660</v>
      </c>
      <c r="L785">
        <v>8455.1</v>
      </c>
      <c r="M785">
        <v>0</v>
      </c>
      <c r="N785">
        <v>2.9</v>
      </c>
      <c r="O785">
        <v>3.8</v>
      </c>
      <c r="P785">
        <v>10.199999999999999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48849</v>
      </c>
      <c r="Y785" t="s">
        <v>347</v>
      </c>
      <c r="Z785" t="s">
        <v>638</v>
      </c>
      <c r="AB785" t="s">
        <v>463</v>
      </c>
      <c r="AC785" t="s">
        <v>464</v>
      </c>
      <c r="AD785" t="s">
        <v>639</v>
      </c>
      <c r="AE785" t="s">
        <v>466</v>
      </c>
      <c r="AF785">
        <v>8485.2941176470595</v>
      </c>
      <c r="AG785">
        <v>2016</v>
      </c>
      <c r="AH785">
        <v>1.30914827890556</v>
      </c>
      <c r="AI785">
        <v>0.10199999999999999</v>
      </c>
      <c r="AJ785">
        <v>2.6705025996533802</v>
      </c>
    </row>
    <row r="786" spans="1:36" x14ac:dyDescent="0.3">
      <c r="A786">
        <v>2017</v>
      </c>
      <c r="B786">
        <v>324</v>
      </c>
      <c r="C786" t="s">
        <v>641</v>
      </c>
      <c r="D786" t="s">
        <v>429</v>
      </c>
      <c r="E786" t="s">
        <v>527</v>
      </c>
      <c r="F786" t="s">
        <v>429</v>
      </c>
      <c r="G786">
        <v>32879.4</v>
      </c>
      <c r="H786">
        <v>21.6</v>
      </c>
      <c r="I786">
        <v>1168.9000000000001</v>
      </c>
      <c r="J786">
        <v>39.9</v>
      </c>
      <c r="K786">
        <v>29964.400000000001</v>
      </c>
      <c r="L786">
        <v>11097.6</v>
      </c>
      <c r="M786">
        <v>0</v>
      </c>
      <c r="N786">
        <v>3.6</v>
      </c>
      <c r="O786">
        <v>3.9</v>
      </c>
      <c r="P786">
        <v>10.5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99389</v>
      </c>
      <c r="Y786" t="s">
        <v>347</v>
      </c>
      <c r="Z786" t="s">
        <v>619</v>
      </c>
      <c r="AB786" t="s">
        <v>620</v>
      </c>
      <c r="AC786" t="s">
        <v>621</v>
      </c>
      <c r="AD786" t="s">
        <v>622</v>
      </c>
      <c r="AE786" t="s">
        <v>623</v>
      </c>
      <c r="AF786">
        <v>11132.380952381</v>
      </c>
      <c r="AG786">
        <v>2016</v>
      </c>
      <c r="AH786">
        <v>1.09728210810161</v>
      </c>
      <c r="AI786">
        <v>0.105</v>
      </c>
      <c r="AJ786">
        <v>2.6916434254427202</v>
      </c>
    </row>
    <row r="787" spans="1:36" x14ac:dyDescent="0.3">
      <c r="A787">
        <v>2017</v>
      </c>
      <c r="B787">
        <v>236</v>
      </c>
      <c r="C787" t="s">
        <v>526</v>
      </c>
      <c r="D787" t="s">
        <v>429</v>
      </c>
      <c r="E787" t="s">
        <v>527</v>
      </c>
      <c r="F787" t="s">
        <v>429</v>
      </c>
      <c r="G787">
        <v>41781</v>
      </c>
      <c r="H787">
        <v>10.9</v>
      </c>
      <c r="I787">
        <v>2377.6</v>
      </c>
      <c r="J787">
        <v>16.899999999999999</v>
      </c>
      <c r="K787">
        <v>46232.5</v>
      </c>
      <c r="L787">
        <v>29734.5</v>
      </c>
      <c r="M787">
        <v>0</v>
      </c>
      <c r="N787">
        <v>5.7</v>
      </c>
      <c r="O787">
        <v>5.0999999999999996</v>
      </c>
      <c r="P787">
        <v>8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154493</v>
      </c>
      <c r="Y787" t="s">
        <v>347</v>
      </c>
      <c r="Z787" t="s">
        <v>626</v>
      </c>
      <c r="AB787" t="s">
        <v>529</v>
      </c>
      <c r="AC787" t="s">
        <v>530</v>
      </c>
      <c r="AD787" t="s">
        <v>627</v>
      </c>
      <c r="AE787" t="s">
        <v>642</v>
      </c>
      <c r="AF787">
        <v>29720</v>
      </c>
      <c r="AG787">
        <v>2016</v>
      </c>
      <c r="AH787">
        <v>0.90371491915860103</v>
      </c>
      <c r="AI787">
        <v>0.08</v>
      </c>
      <c r="AJ787">
        <v>1.5556022880215301</v>
      </c>
    </row>
    <row r="788" spans="1:36" x14ac:dyDescent="0.3">
      <c r="A788">
        <v>2017</v>
      </c>
      <c r="B788">
        <v>44</v>
      </c>
      <c r="C788" t="s">
        <v>428</v>
      </c>
      <c r="D788" t="s">
        <v>429</v>
      </c>
      <c r="E788" t="s">
        <v>430</v>
      </c>
      <c r="F788" t="s">
        <v>429</v>
      </c>
      <c r="G788">
        <v>108164.1</v>
      </c>
      <c r="H788">
        <v>6.5</v>
      </c>
      <c r="I788">
        <v>6123.4</v>
      </c>
      <c r="J788">
        <v>40.299999999999997</v>
      </c>
      <c r="K788">
        <v>165344.29999999999</v>
      </c>
      <c r="L788">
        <v>50549.5</v>
      </c>
      <c r="M788">
        <v>0</v>
      </c>
      <c r="N788">
        <v>5.7</v>
      </c>
      <c r="O788">
        <v>3.7</v>
      </c>
      <c r="P788">
        <v>12.1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137250</v>
      </c>
      <c r="Y788" t="s">
        <v>347</v>
      </c>
      <c r="Z788" t="s">
        <v>431</v>
      </c>
      <c r="AB788" t="s">
        <v>432</v>
      </c>
      <c r="AC788" t="s">
        <v>433</v>
      </c>
      <c r="AD788" t="s">
        <v>434</v>
      </c>
      <c r="AE788" t="s">
        <v>435</v>
      </c>
      <c r="AF788">
        <v>50606.6115702479</v>
      </c>
      <c r="AG788">
        <v>2016</v>
      </c>
      <c r="AH788">
        <v>0.65417495492738498</v>
      </c>
      <c r="AI788">
        <v>0.121</v>
      </c>
      <c r="AJ788">
        <v>3.2672470032988201</v>
      </c>
    </row>
    <row r="789" spans="1:36" x14ac:dyDescent="0.3">
      <c r="A789">
        <v>2017</v>
      </c>
      <c r="B789">
        <v>5</v>
      </c>
      <c r="C789" t="s">
        <v>572</v>
      </c>
      <c r="D789" t="s">
        <v>429</v>
      </c>
      <c r="E789" t="s">
        <v>573</v>
      </c>
      <c r="F789" t="s">
        <v>429</v>
      </c>
      <c r="G789">
        <v>254694</v>
      </c>
      <c r="H789">
        <v>7.7</v>
      </c>
      <c r="I789">
        <v>16899.3</v>
      </c>
      <c r="J789">
        <v>-12.3</v>
      </c>
      <c r="K789">
        <v>437574.6</v>
      </c>
      <c r="L789">
        <v>157210.4</v>
      </c>
      <c r="M789">
        <v>0</v>
      </c>
      <c r="N789">
        <v>6.6</v>
      </c>
      <c r="O789">
        <v>3.9</v>
      </c>
      <c r="P789">
        <v>10.7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364445</v>
      </c>
      <c r="Y789" t="s">
        <v>347</v>
      </c>
      <c r="Z789" t="s">
        <v>629</v>
      </c>
      <c r="AB789" t="s">
        <v>575</v>
      </c>
      <c r="AC789" t="s">
        <v>576</v>
      </c>
      <c r="AD789" t="s">
        <v>630</v>
      </c>
      <c r="AE789" t="s">
        <v>578</v>
      </c>
      <c r="AF789">
        <v>157937.38317757001</v>
      </c>
      <c r="AG789">
        <v>2016</v>
      </c>
      <c r="AH789">
        <v>0.58205846500231095</v>
      </c>
      <c r="AI789">
        <v>0.107</v>
      </c>
      <c r="AJ789">
        <v>2.7705574905469499</v>
      </c>
    </row>
    <row r="790" spans="1:36" x14ac:dyDescent="0.3">
      <c r="A790">
        <v>2016</v>
      </c>
      <c r="B790">
        <v>440</v>
      </c>
      <c r="C790" t="s">
        <v>213</v>
      </c>
      <c r="D790" t="s">
        <v>429</v>
      </c>
      <c r="E790" t="s">
        <v>632</v>
      </c>
      <c r="F790" t="s">
        <v>429</v>
      </c>
      <c r="G790">
        <v>24432</v>
      </c>
      <c r="H790">
        <v>-4.8</v>
      </c>
      <c r="I790">
        <v>758</v>
      </c>
      <c r="J790">
        <v>-30.4</v>
      </c>
      <c r="K790">
        <v>24406.9</v>
      </c>
      <c r="L790">
        <v>11138.9</v>
      </c>
      <c r="M790">
        <v>0</v>
      </c>
      <c r="N790">
        <v>3.1</v>
      </c>
      <c r="O790">
        <v>3.1</v>
      </c>
      <c r="P790">
        <v>6.8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240865</v>
      </c>
      <c r="Y790" t="s">
        <v>347</v>
      </c>
      <c r="Z790" t="s">
        <v>633</v>
      </c>
      <c r="AB790" t="s">
        <v>634</v>
      </c>
      <c r="AC790" t="s">
        <v>640</v>
      </c>
      <c r="AD790" t="s">
        <v>636</v>
      </c>
      <c r="AE790" t="s">
        <v>310</v>
      </c>
      <c r="AF790">
        <v>11147.0588235294</v>
      </c>
      <c r="AG790">
        <v>2015</v>
      </c>
      <c r="AH790">
        <v>1.0010283977072101</v>
      </c>
      <c r="AI790">
        <v>6.8000000000000005E-2</v>
      </c>
      <c r="AJ790">
        <v>2.1895372031662301</v>
      </c>
    </row>
    <row r="791" spans="1:36" x14ac:dyDescent="0.3">
      <c r="A791">
        <v>2016</v>
      </c>
      <c r="B791">
        <v>405</v>
      </c>
      <c r="C791" t="s">
        <v>513</v>
      </c>
      <c r="D791" t="s">
        <v>429</v>
      </c>
      <c r="E791" t="s">
        <v>514</v>
      </c>
      <c r="F791" t="s">
        <v>429</v>
      </c>
      <c r="G791">
        <v>26494.2</v>
      </c>
      <c r="H791">
        <v>-3.4</v>
      </c>
      <c r="I791">
        <v>971.8</v>
      </c>
      <c r="J791">
        <v>10.3</v>
      </c>
      <c r="K791">
        <v>24043.5</v>
      </c>
      <c r="L791">
        <v>8939.9</v>
      </c>
      <c r="M791">
        <v>0</v>
      </c>
      <c r="N791">
        <v>3.7</v>
      </c>
      <c r="O791">
        <v>4</v>
      </c>
      <c r="P791">
        <v>10.9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61601</v>
      </c>
      <c r="Y791" t="s">
        <v>347</v>
      </c>
      <c r="Z791" t="s">
        <v>624</v>
      </c>
      <c r="AB791" t="s">
        <v>516</v>
      </c>
      <c r="AC791" t="s">
        <v>517</v>
      </c>
      <c r="AD791" t="s">
        <v>625</v>
      </c>
      <c r="AE791" t="s">
        <v>519</v>
      </c>
      <c r="AF791">
        <v>8915.5963302752298</v>
      </c>
      <c r="AG791">
        <v>2015</v>
      </c>
      <c r="AH791">
        <v>1.1019277559423499</v>
      </c>
      <c r="AI791">
        <v>0.109</v>
      </c>
      <c r="AJ791">
        <v>2.6967910063799101</v>
      </c>
    </row>
    <row r="792" spans="1:36" x14ac:dyDescent="0.3">
      <c r="A792">
        <v>2016</v>
      </c>
      <c r="B792">
        <v>393</v>
      </c>
      <c r="C792" t="s">
        <v>641</v>
      </c>
      <c r="D792" t="s">
        <v>429</v>
      </c>
      <c r="E792" t="s">
        <v>527</v>
      </c>
      <c r="F792" t="s">
        <v>429</v>
      </c>
      <c r="G792">
        <v>27014.9</v>
      </c>
      <c r="H792">
        <v>0.2</v>
      </c>
      <c r="I792">
        <v>807.8</v>
      </c>
      <c r="J792">
        <v>14.9</v>
      </c>
      <c r="K792">
        <v>25492.2</v>
      </c>
      <c r="L792">
        <v>8728.2000000000007</v>
      </c>
      <c r="M792">
        <v>0</v>
      </c>
      <c r="N792">
        <v>3</v>
      </c>
      <c r="O792">
        <v>3.2</v>
      </c>
      <c r="P792">
        <v>9.3000000000000007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99389</v>
      </c>
      <c r="Y792" t="s">
        <v>347</v>
      </c>
      <c r="Z792" t="s">
        <v>619</v>
      </c>
      <c r="AB792" t="s">
        <v>620</v>
      </c>
      <c r="AC792" t="s">
        <v>621</v>
      </c>
      <c r="AD792" t="s">
        <v>622</v>
      </c>
      <c r="AE792" t="s">
        <v>623</v>
      </c>
      <c r="AF792">
        <v>8686.0215053763404</v>
      </c>
      <c r="AG792">
        <v>2015</v>
      </c>
      <c r="AH792">
        <v>1.0597319964538201</v>
      </c>
      <c r="AI792">
        <v>9.2999999999999999E-2</v>
      </c>
      <c r="AJ792">
        <v>2.9348534290666</v>
      </c>
    </row>
    <row r="793" spans="1:36" x14ac:dyDescent="0.3">
      <c r="A793">
        <v>2016</v>
      </c>
      <c r="B793">
        <v>373</v>
      </c>
      <c r="C793" t="s">
        <v>460</v>
      </c>
      <c r="D793" t="s">
        <v>429</v>
      </c>
      <c r="E793" t="s">
        <v>461</v>
      </c>
      <c r="F793" t="s">
        <v>429</v>
      </c>
      <c r="G793">
        <v>28376.2</v>
      </c>
      <c r="H793">
        <v>2.8</v>
      </c>
      <c r="I793">
        <v>1119.7</v>
      </c>
      <c r="J793">
        <v>-22.5</v>
      </c>
      <c r="K793">
        <v>22676.6</v>
      </c>
      <c r="L793">
        <v>7718.3</v>
      </c>
      <c r="M793">
        <v>0</v>
      </c>
      <c r="N793">
        <v>3.9</v>
      </c>
      <c r="O793">
        <v>4.9000000000000004</v>
      </c>
      <c r="P793">
        <v>14.5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46398</v>
      </c>
      <c r="Y793" t="s">
        <v>347</v>
      </c>
      <c r="Z793" t="s">
        <v>638</v>
      </c>
      <c r="AB793" t="s">
        <v>463</v>
      </c>
      <c r="AC793" t="s">
        <v>464</v>
      </c>
      <c r="AD793" t="s">
        <v>639</v>
      </c>
      <c r="AE793" t="s">
        <v>466</v>
      </c>
      <c r="AF793">
        <v>7722.06896551724</v>
      </c>
      <c r="AG793">
        <v>2015</v>
      </c>
      <c r="AH793">
        <v>1.25134279389326</v>
      </c>
      <c r="AI793">
        <v>0.14499999999999999</v>
      </c>
      <c r="AJ793">
        <v>2.9365964097526098</v>
      </c>
    </row>
    <row r="794" spans="1:36" x14ac:dyDescent="0.3">
      <c r="A794">
        <v>2016</v>
      </c>
      <c r="B794">
        <v>268</v>
      </c>
      <c r="C794" t="s">
        <v>526</v>
      </c>
      <c r="D794" t="s">
        <v>429</v>
      </c>
      <c r="E794" t="s">
        <v>527</v>
      </c>
      <c r="F794" t="s">
        <v>429</v>
      </c>
      <c r="G794">
        <v>37688.300000000003</v>
      </c>
      <c r="H794">
        <v>-3.9</v>
      </c>
      <c r="I794">
        <v>2034.6</v>
      </c>
      <c r="J794">
        <v>-13.4</v>
      </c>
      <c r="K794">
        <v>44873.599999999999</v>
      </c>
      <c r="L794">
        <v>27794.799999999999</v>
      </c>
      <c r="M794">
        <v>0</v>
      </c>
      <c r="N794">
        <v>5.4</v>
      </c>
      <c r="O794">
        <v>4.5</v>
      </c>
      <c r="P794">
        <v>7.3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151775</v>
      </c>
      <c r="Y794" t="s">
        <v>347</v>
      </c>
      <c r="Z794" t="s">
        <v>626</v>
      </c>
      <c r="AB794" t="s">
        <v>529</v>
      </c>
      <c r="AC794" t="s">
        <v>530</v>
      </c>
      <c r="AD794" t="s">
        <v>627</v>
      </c>
      <c r="AE794" t="s">
        <v>532</v>
      </c>
      <c r="AF794">
        <v>27871.2328767123</v>
      </c>
      <c r="AG794">
        <v>2015</v>
      </c>
      <c r="AH794">
        <v>0.83987689866647697</v>
      </c>
      <c r="AI794">
        <v>7.2999999999999995E-2</v>
      </c>
      <c r="AJ794">
        <v>1.61003283200629</v>
      </c>
    </row>
    <row r="795" spans="1:36" x14ac:dyDescent="0.3">
      <c r="A795">
        <v>2016</v>
      </c>
      <c r="B795">
        <v>53</v>
      </c>
      <c r="C795" t="s">
        <v>428</v>
      </c>
      <c r="D795" t="s">
        <v>429</v>
      </c>
      <c r="E795" t="s">
        <v>430</v>
      </c>
      <c r="F795" t="s">
        <v>429</v>
      </c>
      <c r="G795">
        <v>101536</v>
      </c>
      <c r="H795">
        <v>-1.9</v>
      </c>
      <c r="I795">
        <v>4363.5</v>
      </c>
      <c r="J795">
        <v>4.8</v>
      </c>
      <c r="K795">
        <v>154597.29999999999</v>
      </c>
      <c r="L795">
        <v>48171.5</v>
      </c>
      <c r="M795">
        <v>0</v>
      </c>
      <c r="N795">
        <v>4.3</v>
      </c>
      <c r="O795">
        <v>2.8</v>
      </c>
      <c r="P795">
        <v>9.1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152421</v>
      </c>
      <c r="Y795" t="s">
        <v>347</v>
      </c>
      <c r="Z795" t="s">
        <v>431</v>
      </c>
      <c r="AB795" t="s">
        <v>432</v>
      </c>
      <c r="AC795" t="s">
        <v>433</v>
      </c>
      <c r="AD795" t="s">
        <v>434</v>
      </c>
      <c r="AE795" t="s">
        <v>435</v>
      </c>
      <c r="AF795">
        <v>47950.549450549501</v>
      </c>
      <c r="AG795">
        <v>2015</v>
      </c>
      <c r="AH795">
        <v>0.65677731758575397</v>
      </c>
      <c r="AI795">
        <v>9.0999999999999998E-2</v>
      </c>
      <c r="AJ795">
        <v>3.2240986134983398</v>
      </c>
    </row>
    <row r="796" spans="1:36" x14ac:dyDescent="0.3">
      <c r="A796">
        <v>2016</v>
      </c>
      <c r="B796">
        <v>8</v>
      </c>
      <c r="C796" t="s">
        <v>572</v>
      </c>
      <c r="D796" t="s">
        <v>429</v>
      </c>
      <c r="E796" t="s">
        <v>573</v>
      </c>
      <c r="F796" t="s">
        <v>429</v>
      </c>
      <c r="G796">
        <v>236591.6</v>
      </c>
      <c r="H796">
        <v>-4.5</v>
      </c>
      <c r="I796">
        <v>19264.2</v>
      </c>
      <c r="J796">
        <v>-2.5</v>
      </c>
      <c r="K796">
        <v>422028.79999999999</v>
      </c>
      <c r="L796">
        <v>149020.6</v>
      </c>
      <c r="M796">
        <v>0</v>
      </c>
      <c r="N796">
        <v>8.1</v>
      </c>
      <c r="O796">
        <v>4.5999999999999996</v>
      </c>
      <c r="P796">
        <v>12.9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348877</v>
      </c>
      <c r="Y796" t="s">
        <v>347</v>
      </c>
      <c r="Z796" t="s">
        <v>629</v>
      </c>
      <c r="AB796" t="s">
        <v>575</v>
      </c>
      <c r="AC796" t="s">
        <v>576</v>
      </c>
      <c r="AD796" t="s">
        <v>630</v>
      </c>
      <c r="AE796" t="s">
        <v>578</v>
      </c>
      <c r="AF796">
        <v>149334.88372093</v>
      </c>
      <c r="AG796">
        <v>2015</v>
      </c>
      <c r="AH796">
        <v>0.56060534257377703</v>
      </c>
      <c r="AI796">
        <v>0.129</v>
      </c>
      <c r="AJ796">
        <v>2.8260563739994402</v>
      </c>
    </row>
    <row r="797" spans="1:36" x14ac:dyDescent="0.3">
      <c r="A797">
        <v>2014</v>
      </c>
      <c r="B797">
        <v>449</v>
      </c>
      <c r="C797" t="s">
        <v>460</v>
      </c>
      <c r="D797" t="s">
        <v>429</v>
      </c>
      <c r="E797" t="s">
        <v>461</v>
      </c>
      <c r="F797" t="s">
        <v>429</v>
      </c>
      <c r="G797">
        <v>26873.7</v>
      </c>
      <c r="H797">
        <v>1.2</v>
      </c>
      <c r="I797">
        <v>1354.5</v>
      </c>
      <c r="J797">
        <v>227.9</v>
      </c>
      <c r="K797">
        <v>21812.5</v>
      </c>
      <c r="L797">
        <v>5718.4018999999998</v>
      </c>
      <c r="M797">
        <v>0</v>
      </c>
      <c r="N797">
        <v>5.0019</v>
      </c>
      <c r="O797">
        <v>6.2019000000000002</v>
      </c>
      <c r="P797">
        <v>23.701899999999998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40892</v>
      </c>
      <c r="Y797" t="s">
        <v>347</v>
      </c>
      <c r="Z797" t="s">
        <v>643</v>
      </c>
      <c r="AB797" t="s">
        <v>463</v>
      </c>
      <c r="AC797" t="s">
        <v>464</v>
      </c>
      <c r="AD797" t="s">
        <v>465</v>
      </c>
      <c r="AE797" t="s">
        <v>466</v>
      </c>
      <c r="AF797">
        <v>5714.73173036761</v>
      </c>
      <c r="AG797">
        <v>2013</v>
      </c>
      <c r="AH797">
        <v>1.2320320916905401</v>
      </c>
      <c r="AI797">
        <v>0.23699999999999999</v>
      </c>
      <c r="AJ797">
        <v>3.81688958102621</v>
      </c>
    </row>
    <row r="798" spans="1:36" x14ac:dyDescent="0.3">
      <c r="A798">
        <v>2014</v>
      </c>
      <c r="B798">
        <v>431</v>
      </c>
      <c r="C798" t="s">
        <v>641</v>
      </c>
      <c r="D798" t="s">
        <v>429</v>
      </c>
      <c r="E798" t="s">
        <v>527</v>
      </c>
      <c r="F798" t="s">
        <v>429</v>
      </c>
      <c r="G798">
        <v>28171.1</v>
      </c>
      <c r="H798">
        <v>-7.5</v>
      </c>
      <c r="I798">
        <v>899.3</v>
      </c>
      <c r="J798">
        <v>-3.7</v>
      </c>
      <c r="K798">
        <v>25129.9</v>
      </c>
      <c r="L798">
        <v>8371.3019000000004</v>
      </c>
      <c r="M798">
        <v>0</v>
      </c>
      <c r="N798">
        <v>3.2019000000000002</v>
      </c>
      <c r="O798">
        <v>3.6019000000000001</v>
      </c>
      <c r="P798">
        <v>10.7019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89531</v>
      </c>
      <c r="Y798" t="s">
        <v>347</v>
      </c>
      <c r="Z798" t="s">
        <v>644</v>
      </c>
      <c r="AB798" t="s">
        <v>620</v>
      </c>
      <c r="AC798" t="s">
        <v>621</v>
      </c>
      <c r="AD798" t="s">
        <v>645</v>
      </c>
      <c r="AE798" t="s">
        <v>623</v>
      </c>
      <c r="AF798">
        <v>8403.1807436062809</v>
      </c>
      <c r="AG798">
        <v>2013</v>
      </c>
      <c r="AH798">
        <v>1.12101918431828</v>
      </c>
      <c r="AI798">
        <v>0.107</v>
      </c>
      <c r="AJ798">
        <v>2.9905223708439901</v>
      </c>
    </row>
    <row r="799" spans="1:36" x14ac:dyDescent="0.3">
      <c r="A799">
        <v>2014</v>
      </c>
      <c r="B799">
        <v>414</v>
      </c>
      <c r="C799" t="s">
        <v>513</v>
      </c>
      <c r="D799" t="s">
        <v>429</v>
      </c>
      <c r="E799" t="s">
        <v>514</v>
      </c>
      <c r="F799" t="s">
        <v>429</v>
      </c>
      <c r="G799">
        <v>29330</v>
      </c>
      <c r="H799">
        <v>-5.5</v>
      </c>
      <c r="I799">
        <v>1072.9000000000001</v>
      </c>
      <c r="J799">
        <v>10.8</v>
      </c>
      <c r="K799">
        <v>27911.8</v>
      </c>
      <c r="L799">
        <v>12536.401900000001</v>
      </c>
      <c r="M799">
        <v>0</v>
      </c>
      <c r="N799">
        <v>3.7019000000000002</v>
      </c>
      <c r="O799">
        <v>3.8018999999999998</v>
      </c>
      <c r="P799">
        <v>8.6019000000000005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57749</v>
      </c>
      <c r="Y799" t="s">
        <v>347</v>
      </c>
      <c r="Z799" t="s">
        <v>646</v>
      </c>
      <c r="AB799" t="s">
        <v>516</v>
      </c>
      <c r="AC799" t="s">
        <v>517</v>
      </c>
      <c r="AD799" t="s">
        <v>647</v>
      </c>
      <c r="AE799" t="s">
        <v>519</v>
      </c>
      <c r="AF799">
        <v>12472.8257710506</v>
      </c>
      <c r="AG799">
        <v>2013</v>
      </c>
      <c r="AH799">
        <v>1.0508100516627401</v>
      </c>
      <c r="AI799">
        <v>8.5999999999999993E-2</v>
      </c>
      <c r="AJ799">
        <v>2.2378088584210998</v>
      </c>
    </row>
    <row r="800" spans="1:36" x14ac:dyDescent="0.3">
      <c r="A800">
        <v>2014</v>
      </c>
      <c r="B800">
        <v>269</v>
      </c>
      <c r="C800" t="s">
        <v>526</v>
      </c>
      <c r="D800" t="s">
        <v>429</v>
      </c>
      <c r="E800" t="s">
        <v>527</v>
      </c>
      <c r="F800" t="s">
        <v>429</v>
      </c>
      <c r="G800">
        <v>40885.199999999997</v>
      </c>
      <c r="H800">
        <v>-5.2</v>
      </c>
      <c r="I800">
        <v>2868.7</v>
      </c>
      <c r="J800">
        <v>31.1</v>
      </c>
      <c r="K800">
        <v>43143.7</v>
      </c>
      <c r="L800">
        <v>23512.401900000001</v>
      </c>
      <c r="M800">
        <v>0</v>
      </c>
      <c r="N800">
        <v>7.0019</v>
      </c>
      <c r="O800">
        <v>6.6018999999999997</v>
      </c>
      <c r="P800">
        <v>12.2019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139842</v>
      </c>
      <c r="Y800" t="s">
        <v>347</v>
      </c>
      <c r="Z800" t="s">
        <v>648</v>
      </c>
      <c r="AB800" t="s">
        <v>529</v>
      </c>
      <c r="AC800" t="s">
        <v>530</v>
      </c>
      <c r="AD800" t="s">
        <v>531</v>
      </c>
      <c r="AE800" t="s">
        <v>532</v>
      </c>
      <c r="AF800">
        <v>23510.272990271998</v>
      </c>
      <c r="AG800">
        <v>2013</v>
      </c>
      <c r="AH800">
        <v>0.94765168495052599</v>
      </c>
      <c r="AI800">
        <v>0.122</v>
      </c>
      <c r="AJ800">
        <v>1.83509991644299</v>
      </c>
    </row>
    <row r="801" spans="1:36" x14ac:dyDescent="0.3">
      <c r="A801">
        <v>2014</v>
      </c>
      <c r="B801">
        <v>61</v>
      </c>
      <c r="C801" t="s">
        <v>428</v>
      </c>
      <c r="D801" t="s">
        <v>429</v>
      </c>
      <c r="E801" t="s">
        <v>430</v>
      </c>
      <c r="F801" t="s">
        <v>429</v>
      </c>
      <c r="G801">
        <v>104635.8</v>
      </c>
      <c r="H801">
        <v>0</v>
      </c>
      <c r="I801">
        <v>3883.3</v>
      </c>
      <c r="J801">
        <v>-5.8</v>
      </c>
      <c r="K801">
        <v>142793.1</v>
      </c>
      <c r="L801">
        <v>46495.401899999997</v>
      </c>
      <c r="M801">
        <v>0</v>
      </c>
      <c r="N801">
        <v>3.7019000000000002</v>
      </c>
      <c r="O801">
        <v>2.7019000000000002</v>
      </c>
      <c r="P801">
        <v>8.4018999999999995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142925</v>
      </c>
      <c r="Y801" t="s">
        <v>347</v>
      </c>
      <c r="Z801" t="s">
        <v>649</v>
      </c>
      <c r="AB801" t="s">
        <v>432</v>
      </c>
      <c r="AC801" t="s">
        <v>433</v>
      </c>
      <c r="AD801" t="s">
        <v>562</v>
      </c>
      <c r="AE801" t="s">
        <v>435</v>
      </c>
      <c r="AF801">
        <v>46219.307537580797</v>
      </c>
      <c r="AG801">
        <v>2013</v>
      </c>
      <c r="AH801">
        <v>0.73277910487271403</v>
      </c>
      <c r="AI801">
        <v>8.4000000000000005E-2</v>
      </c>
      <c r="AJ801">
        <v>3.0894686140396099</v>
      </c>
    </row>
    <row r="802" spans="1:36" x14ac:dyDescent="0.3">
      <c r="A802">
        <v>2014</v>
      </c>
      <c r="B802">
        <v>9</v>
      </c>
      <c r="C802" t="s">
        <v>572</v>
      </c>
      <c r="D802" t="s">
        <v>429</v>
      </c>
      <c r="E802" t="s">
        <v>573</v>
      </c>
      <c r="F802" t="s">
        <v>429</v>
      </c>
      <c r="G802">
        <v>256454.8</v>
      </c>
      <c r="H802">
        <v>-3.5</v>
      </c>
      <c r="I802">
        <v>18198.2</v>
      </c>
      <c r="J802">
        <v>57.1</v>
      </c>
      <c r="K802">
        <v>402422.8</v>
      </c>
      <c r="L802">
        <v>140518.10190000001</v>
      </c>
      <c r="M802">
        <v>0</v>
      </c>
      <c r="N802">
        <v>7.1018999999999997</v>
      </c>
      <c r="O802">
        <v>4.5019</v>
      </c>
      <c r="P802">
        <v>13.001899999999999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338875</v>
      </c>
      <c r="Y802" t="s">
        <v>347</v>
      </c>
      <c r="Z802" t="s">
        <v>650</v>
      </c>
      <c r="AB802" t="s">
        <v>575</v>
      </c>
      <c r="AC802" t="s">
        <v>576</v>
      </c>
      <c r="AD802" t="s">
        <v>577</v>
      </c>
      <c r="AE802" t="s">
        <v>578</v>
      </c>
      <c r="AF802">
        <v>139965.69732116099</v>
      </c>
      <c r="AG802">
        <v>2013</v>
      </c>
      <c r="AH802">
        <v>0.63727701313146301</v>
      </c>
      <c r="AI802">
        <v>0.13</v>
      </c>
      <c r="AJ802">
        <v>2.8751530389379201</v>
      </c>
    </row>
    <row r="803" spans="1:36" x14ac:dyDescent="0.3">
      <c r="A803">
        <v>2012</v>
      </c>
      <c r="B803">
        <v>420</v>
      </c>
      <c r="C803" t="s">
        <v>213</v>
      </c>
      <c r="D803" t="s">
        <v>429</v>
      </c>
      <c r="E803" t="s">
        <v>632</v>
      </c>
      <c r="F803" t="s">
        <v>429</v>
      </c>
      <c r="G803">
        <v>25974.799999999999</v>
      </c>
      <c r="H803">
        <v>6.3</v>
      </c>
      <c r="I803">
        <v>992.7</v>
      </c>
      <c r="J803">
        <v>31</v>
      </c>
      <c r="K803">
        <v>26062.1</v>
      </c>
      <c r="L803">
        <v>11769.4</v>
      </c>
      <c r="M803">
        <v>0</v>
      </c>
      <c r="N803">
        <v>3.8</v>
      </c>
      <c r="O803">
        <v>3.8</v>
      </c>
      <c r="P803">
        <v>8.4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248330</v>
      </c>
      <c r="Y803" t="s">
        <v>347</v>
      </c>
      <c r="Z803" t="s">
        <v>651</v>
      </c>
      <c r="AB803" t="s">
        <v>634</v>
      </c>
      <c r="AC803" t="s">
        <v>640</v>
      </c>
      <c r="AD803" t="s">
        <v>214</v>
      </c>
      <c r="AE803" t="s">
        <v>637</v>
      </c>
      <c r="AF803">
        <v>11817.857142857099</v>
      </c>
      <c r="AG803">
        <v>2011</v>
      </c>
      <c r="AH803">
        <v>0.996650308302094</v>
      </c>
      <c r="AI803">
        <v>8.4000000000000005E-2</v>
      </c>
      <c r="AJ803">
        <v>2.20531520096706</v>
      </c>
    </row>
    <row r="804" spans="1:36" x14ac:dyDescent="0.3">
      <c r="A804">
        <v>2012</v>
      </c>
      <c r="B804">
        <v>373</v>
      </c>
      <c r="C804" t="s">
        <v>513</v>
      </c>
      <c r="D804" t="s">
        <v>429</v>
      </c>
      <c r="E804" t="s">
        <v>514</v>
      </c>
      <c r="F804" t="s">
        <v>429</v>
      </c>
      <c r="G804">
        <v>29251.599999999999</v>
      </c>
      <c r="H804">
        <v>10.4</v>
      </c>
      <c r="I804">
        <v>1476.2</v>
      </c>
      <c r="J804">
        <v>51.9</v>
      </c>
      <c r="K804">
        <v>27968.6</v>
      </c>
      <c r="L804">
        <v>10318.200000000001</v>
      </c>
      <c r="M804">
        <v>0</v>
      </c>
      <c r="N804">
        <v>5</v>
      </c>
      <c r="O804">
        <v>5.3</v>
      </c>
      <c r="P804">
        <v>14.3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62992</v>
      </c>
      <c r="Y804" t="s">
        <v>347</v>
      </c>
      <c r="Z804" t="s">
        <v>646</v>
      </c>
      <c r="AB804" t="s">
        <v>516</v>
      </c>
      <c r="AC804" t="s">
        <v>517</v>
      </c>
      <c r="AD804" t="s">
        <v>647</v>
      </c>
      <c r="AE804" t="s">
        <v>519</v>
      </c>
      <c r="AF804">
        <v>10323.0769230769</v>
      </c>
      <c r="AG804">
        <v>2011</v>
      </c>
      <c r="AH804">
        <v>1.04587287172043</v>
      </c>
      <c r="AI804">
        <v>0.14299999999999999</v>
      </c>
      <c r="AJ804">
        <v>2.7093278688524598</v>
      </c>
    </row>
    <row r="805" spans="1:36" x14ac:dyDescent="0.3">
      <c r="A805">
        <v>2012</v>
      </c>
      <c r="B805">
        <v>367</v>
      </c>
      <c r="C805" t="s">
        <v>460</v>
      </c>
      <c r="D805" t="s">
        <v>429</v>
      </c>
      <c r="E805" t="s">
        <v>461</v>
      </c>
      <c r="F805" t="s">
        <v>429</v>
      </c>
      <c r="G805">
        <v>29665.3</v>
      </c>
      <c r="H805">
        <v>4.5</v>
      </c>
      <c r="I805">
        <v>865.5</v>
      </c>
      <c r="J805">
        <v>-22.7</v>
      </c>
      <c r="K805">
        <v>22660</v>
      </c>
      <c r="L805">
        <v>8455.1</v>
      </c>
      <c r="M805">
        <v>0</v>
      </c>
      <c r="N805">
        <v>2.9</v>
      </c>
      <c r="O805">
        <v>3.8</v>
      </c>
      <c r="P805">
        <v>10.199999999999999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48849</v>
      </c>
      <c r="Y805" t="s">
        <v>347</v>
      </c>
      <c r="Z805" t="s">
        <v>643</v>
      </c>
      <c r="AB805" t="s">
        <v>463</v>
      </c>
      <c r="AC805" t="s">
        <v>464</v>
      </c>
      <c r="AD805" t="s">
        <v>465</v>
      </c>
      <c r="AE805" t="s">
        <v>466</v>
      </c>
      <c r="AF805">
        <v>8485.2941176470595</v>
      </c>
      <c r="AG805">
        <v>2011</v>
      </c>
      <c r="AH805">
        <v>1.30914827890556</v>
      </c>
      <c r="AI805">
        <v>0.10199999999999999</v>
      </c>
      <c r="AJ805">
        <v>2.6705025996533802</v>
      </c>
    </row>
    <row r="806" spans="1:36" x14ac:dyDescent="0.3">
      <c r="A806">
        <v>2012</v>
      </c>
      <c r="B806">
        <v>324</v>
      </c>
      <c r="C806" t="s">
        <v>641</v>
      </c>
      <c r="D806" t="s">
        <v>429</v>
      </c>
      <c r="E806" t="s">
        <v>527</v>
      </c>
      <c r="F806" t="s">
        <v>429</v>
      </c>
      <c r="G806">
        <v>32879.4</v>
      </c>
      <c r="H806">
        <v>21.6</v>
      </c>
      <c r="I806">
        <v>1168.9000000000001</v>
      </c>
      <c r="J806">
        <v>39.9</v>
      </c>
      <c r="K806">
        <v>29964.400000000001</v>
      </c>
      <c r="L806">
        <v>11097.6</v>
      </c>
      <c r="M806">
        <v>0</v>
      </c>
      <c r="N806">
        <v>3.6</v>
      </c>
      <c r="O806">
        <v>3.9</v>
      </c>
      <c r="P806">
        <v>10.5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99389</v>
      </c>
      <c r="Y806" t="s">
        <v>347</v>
      </c>
      <c r="Z806" t="s">
        <v>644</v>
      </c>
      <c r="AB806" t="s">
        <v>620</v>
      </c>
      <c r="AC806" t="s">
        <v>621</v>
      </c>
      <c r="AD806" t="s">
        <v>652</v>
      </c>
      <c r="AE806" t="s">
        <v>623</v>
      </c>
      <c r="AF806">
        <v>11132.380952381</v>
      </c>
      <c r="AG806">
        <v>2011</v>
      </c>
      <c r="AH806">
        <v>1.09728210810161</v>
      </c>
      <c r="AI806">
        <v>0.105</v>
      </c>
      <c r="AJ806">
        <v>2.6916434254427202</v>
      </c>
    </row>
    <row r="807" spans="1:36" x14ac:dyDescent="0.3">
      <c r="A807">
        <v>2012</v>
      </c>
      <c r="B807">
        <v>236</v>
      </c>
      <c r="C807" t="s">
        <v>526</v>
      </c>
      <c r="D807" t="s">
        <v>429</v>
      </c>
      <c r="E807" t="s">
        <v>527</v>
      </c>
      <c r="F807" t="s">
        <v>429</v>
      </c>
      <c r="G807">
        <v>41781</v>
      </c>
      <c r="H807">
        <v>10.9</v>
      </c>
      <c r="I807">
        <v>2377.6</v>
      </c>
      <c r="J807">
        <v>16.899999999999999</v>
      </c>
      <c r="K807">
        <v>46232.5</v>
      </c>
      <c r="L807">
        <v>29734.5</v>
      </c>
      <c r="M807">
        <v>0</v>
      </c>
      <c r="N807">
        <v>5.7</v>
      </c>
      <c r="O807">
        <v>5.0999999999999996</v>
      </c>
      <c r="P807">
        <v>8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154493</v>
      </c>
      <c r="Y807" t="s">
        <v>347</v>
      </c>
      <c r="Z807" t="s">
        <v>648</v>
      </c>
      <c r="AB807" t="s">
        <v>529</v>
      </c>
      <c r="AC807" t="s">
        <v>530</v>
      </c>
      <c r="AD807" t="s">
        <v>531</v>
      </c>
      <c r="AE807" t="s">
        <v>642</v>
      </c>
      <c r="AF807">
        <v>29720</v>
      </c>
      <c r="AG807">
        <v>2011</v>
      </c>
      <c r="AH807">
        <v>0.90371491915860103</v>
      </c>
      <c r="AI807">
        <v>0.08</v>
      </c>
      <c r="AJ807">
        <v>1.5556022880215301</v>
      </c>
    </row>
    <row r="808" spans="1:36" x14ac:dyDescent="0.3">
      <c r="A808">
        <v>2012</v>
      </c>
      <c r="B808">
        <v>44</v>
      </c>
      <c r="C808" t="s">
        <v>428</v>
      </c>
      <c r="D808" t="s">
        <v>429</v>
      </c>
      <c r="E808" t="s">
        <v>430</v>
      </c>
      <c r="F808" t="s">
        <v>429</v>
      </c>
      <c r="G808">
        <v>108164.1</v>
      </c>
      <c r="H808">
        <v>6.5</v>
      </c>
      <c r="I808">
        <v>6123.4</v>
      </c>
      <c r="J808">
        <v>40.299999999999997</v>
      </c>
      <c r="K808">
        <v>165344.29999999999</v>
      </c>
      <c r="L808">
        <v>50549.5</v>
      </c>
      <c r="M808">
        <v>0</v>
      </c>
      <c r="N808">
        <v>5.7</v>
      </c>
      <c r="O808">
        <v>3.7</v>
      </c>
      <c r="P808">
        <v>12.1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137250</v>
      </c>
      <c r="Y808" t="s">
        <v>347</v>
      </c>
      <c r="Z808" t="s">
        <v>649</v>
      </c>
      <c r="AB808" t="s">
        <v>432</v>
      </c>
      <c r="AC808" t="s">
        <v>433</v>
      </c>
      <c r="AD808" t="s">
        <v>562</v>
      </c>
      <c r="AE808" t="s">
        <v>435</v>
      </c>
      <c r="AF808">
        <v>50606.6115702479</v>
      </c>
      <c r="AG808">
        <v>2011</v>
      </c>
      <c r="AH808">
        <v>0.65417495492738498</v>
      </c>
      <c r="AI808">
        <v>0.121</v>
      </c>
      <c r="AJ808">
        <v>3.2672470032988201</v>
      </c>
    </row>
    <row r="809" spans="1:36" x14ac:dyDescent="0.3">
      <c r="A809">
        <v>2012</v>
      </c>
      <c r="B809">
        <v>5</v>
      </c>
      <c r="C809" t="s">
        <v>572</v>
      </c>
      <c r="D809" t="s">
        <v>429</v>
      </c>
      <c r="E809" t="s">
        <v>573</v>
      </c>
      <c r="F809" t="s">
        <v>429</v>
      </c>
      <c r="G809">
        <v>254694</v>
      </c>
      <c r="H809">
        <v>7.7</v>
      </c>
      <c r="I809">
        <v>16899.3</v>
      </c>
      <c r="J809">
        <v>-12.3</v>
      </c>
      <c r="K809">
        <v>437574.6</v>
      </c>
      <c r="L809">
        <v>157210.4</v>
      </c>
      <c r="M809">
        <v>0</v>
      </c>
      <c r="N809">
        <v>6.6</v>
      </c>
      <c r="O809">
        <v>3.9</v>
      </c>
      <c r="P809">
        <v>10.7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364445</v>
      </c>
      <c r="Y809" t="s">
        <v>347</v>
      </c>
      <c r="Z809" t="s">
        <v>650</v>
      </c>
      <c r="AB809" t="s">
        <v>575</v>
      </c>
      <c r="AC809" t="s">
        <v>576</v>
      </c>
      <c r="AD809" t="s">
        <v>577</v>
      </c>
      <c r="AE809" t="s">
        <v>578</v>
      </c>
      <c r="AF809">
        <v>157937.38317757001</v>
      </c>
      <c r="AG809">
        <v>2011</v>
      </c>
      <c r="AH809">
        <v>0.58205846500231095</v>
      </c>
      <c r="AI809">
        <v>0.107</v>
      </c>
      <c r="AJ809">
        <v>2.7705574905469499</v>
      </c>
    </row>
    <row r="810" spans="1:36" x14ac:dyDescent="0.3">
      <c r="A810">
        <v>2023</v>
      </c>
      <c r="B810">
        <v>394</v>
      </c>
      <c r="C810" t="s">
        <v>505</v>
      </c>
      <c r="D810" t="s">
        <v>506</v>
      </c>
      <c r="E810" t="s">
        <v>507</v>
      </c>
      <c r="F810" t="s">
        <v>506</v>
      </c>
      <c r="G810">
        <v>37840</v>
      </c>
      <c r="H810">
        <v>4.4000000000000004</v>
      </c>
      <c r="I810">
        <v>592</v>
      </c>
      <c r="J810">
        <v>-60.9</v>
      </c>
      <c r="K810">
        <v>27789</v>
      </c>
      <c r="L810">
        <v>10935</v>
      </c>
      <c r="M810">
        <v>0</v>
      </c>
      <c r="N810">
        <v>1.6</v>
      </c>
      <c r="O810">
        <v>2.1</v>
      </c>
      <c r="P810">
        <v>5.4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158000</v>
      </c>
      <c r="Y810" t="s">
        <v>347</v>
      </c>
      <c r="Z810" t="s">
        <v>653</v>
      </c>
      <c r="AB810" t="s">
        <v>654</v>
      </c>
      <c r="AC810" t="s">
        <v>510</v>
      </c>
      <c r="AD810" t="s">
        <v>655</v>
      </c>
      <c r="AE810" t="s">
        <v>512</v>
      </c>
      <c r="AF810">
        <v>10962.962962963</v>
      </c>
      <c r="AG810">
        <v>2022</v>
      </c>
      <c r="AH810">
        <v>1.36168987728957</v>
      </c>
      <c r="AI810">
        <v>5.3999999999999999E-2</v>
      </c>
      <c r="AJ810">
        <v>2.5348074324324301</v>
      </c>
    </row>
    <row r="811" spans="1:36" x14ac:dyDescent="0.3">
      <c r="A811">
        <v>2023</v>
      </c>
      <c r="B811">
        <v>307</v>
      </c>
      <c r="C811" t="s">
        <v>533</v>
      </c>
      <c r="D811" t="s">
        <v>534</v>
      </c>
      <c r="E811" t="s">
        <v>535</v>
      </c>
      <c r="F811" t="s">
        <v>534</v>
      </c>
      <c r="G811">
        <v>46828</v>
      </c>
      <c r="H811">
        <v>7.9</v>
      </c>
      <c r="I811">
        <v>3236.3</v>
      </c>
      <c r="J811">
        <v>-15.3</v>
      </c>
      <c r="K811">
        <v>60368.5</v>
      </c>
      <c r="L811">
        <v>15615.2</v>
      </c>
      <c r="M811">
        <v>0</v>
      </c>
      <c r="N811">
        <v>6.9</v>
      </c>
      <c r="O811">
        <v>5.4</v>
      </c>
      <c r="P811">
        <v>20.7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94921</v>
      </c>
      <c r="Y811" t="s">
        <v>347</v>
      </c>
      <c r="Z811" t="s">
        <v>656</v>
      </c>
      <c r="AB811" t="s">
        <v>657</v>
      </c>
      <c r="AC811" t="s">
        <v>538</v>
      </c>
      <c r="AD811" t="s">
        <v>658</v>
      </c>
      <c r="AE811" t="s">
        <v>540</v>
      </c>
      <c r="AF811">
        <v>15634.299516908201</v>
      </c>
      <c r="AG811">
        <v>2022</v>
      </c>
      <c r="AH811">
        <v>0.77570256010999095</v>
      </c>
      <c r="AI811">
        <v>0.20699999999999999</v>
      </c>
      <c r="AJ811">
        <v>3.8612858820257698</v>
      </c>
    </row>
    <row r="812" spans="1:36" x14ac:dyDescent="0.3">
      <c r="A812">
        <v>2023</v>
      </c>
      <c r="B812">
        <v>85</v>
      </c>
      <c r="C812" t="s">
        <v>546</v>
      </c>
      <c r="D812" t="s">
        <v>547</v>
      </c>
      <c r="E812" t="s">
        <v>548</v>
      </c>
      <c r="F812" t="s">
        <v>547</v>
      </c>
      <c r="G812">
        <v>110411.7</v>
      </c>
      <c r="H812">
        <v>7.4</v>
      </c>
      <c r="I812">
        <v>5704.9</v>
      </c>
      <c r="J812">
        <v>32.1</v>
      </c>
      <c r="K812">
        <v>203299.4</v>
      </c>
      <c r="L812">
        <v>65462.6</v>
      </c>
      <c r="M812">
        <v>0</v>
      </c>
      <c r="N812">
        <v>5.2</v>
      </c>
      <c r="O812">
        <v>2.8</v>
      </c>
      <c r="P812">
        <v>8.6999999999999993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72689</v>
      </c>
      <c r="Y812" t="s">
        <v>347</v>
      </c>
      <c r="Z812" t="s">
        <v>659</v>
      </c>
      <c r="AB812">
        <v>6797</v>
      </c>
      <c r="AC812" t="s">
        <v>551</v>
      </c>
      <c r="AD812" t="s">
        <v>660</v>
      </c>
      <c r="AE812" t="s">
        <v>553</v>
      </c>
      <c r="AF812">
        <v>65573.563218390802</v>
      </c>
      <c r="AG812">
        <v>2022</v>
      </c>
      <c r="AH812">
        <v>0.54309899586521204</v>
      </c>
      <c r="AI812">
        <v>8.6999999999999994E-2</v>
      </c>
      <c r="AJ812">
        <v>3.1003256498799301</v>
      </c>
    </row>
    <row r="813" spans="1:36" x14ac:dyDescent="0.3">
      <c r="A813">
        <v>2023</v>
      </c>
      <c r="B813">
        <v>31</v>
      </c>
      <c r="C813" t="s">
        <v>661</v>
      </c>
      <c r="D813" t="s">
        <v>662</v>
      </c>
      <c r="E813" t="s">
        <v>663</v>
      </c>
      <c r="F813" t="s">
        <v>662</v>
      </c>
      <c r="G813">
        <v>188887.5</v>
      </c>
      <c r="H813">
        <v>6.9</v>
      </c>
      <c r="I813">
        <v>17668.5</v>
      </c>
      <c r="J813">
        <v>5.2</v>
      </c>
      <c r="K813">
        <v>198628.5</v>
      </c>
      <c r="L813">
        <v>76822.899999999994</v>
      </c>
      <c r="M813">
        <v>0</v>
      </c>
      <c r="N813">
        <v>9.4</v>
      </c>
      <c r="O813">
        <v>8.9</v>
      </c>
      <c r="P813">
        <v>23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272367</v>
      </c>
      <c r="Y813" t="s">
        <v>347</v>
      </c>
      <c r="Z813" t="s">
        <v>664</v>
      </c>
      <c r="AB813">
        <v>2132</v>
      </c>
      <c r="AC813" t="s">
        <v>665</v>
      </c>
      <c r="AD813" t="s">
        <v>666</v>
      </c>
      <c r="AE813" t="s">
        <v>667</v>
      </c>
      <c r="AF813">
        <v>76819.565217391297</v>
      </c>
      <c r="AG813">
        <v>2022</v>
      </c>
      <c r="AH813">
        <v>0.95095869928031496</v>
      </c>
      <c r="AI813">
        <v>0.23</v>
      </c>
      <c r="AJ813">
        <v>2.58564988538925</v>
      </c>
    </row>
    <row r="814" spans="1:36" x14ac:dyDescent="0.3">
      <c r="A814">
        <v>2022</v>
      </c>
      <c r="B814">
        <v>392</v>
      </c>
      <c r="C814" t="s">
        <v>505</v>
      </c>
      <c r="D814" t="s">
        <v>506</v>
      </c>
      <c r="E814" t="s">
        <v>507</v>
      </c>
      <c r="F814" t="s">
        <v>506</v>
      </c>
      <c r="G814">
        <v>36242</v>
      </c>
      <c r="H814">
        <v>11</v>
      </c>
      <c r="I814">
        <v>1514</v>
      </c>
      <c r="J814">
        <v>100</v>
      </c>
      <c r="K814">
        <v>29086</v>
      </c>
      <c r="L814">
        <v>11836</v>
      </c>
      <c r="M814">
        <v>0</v>
      </c>
      <c r="N814">
        <v>4.2</v>
      </c>
      <c r="O814">
        <v>5.2</v>
      </c>
      <c r="P814">
        <v>12.8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158000</v>
      </c>
      <c r="Y814" t="s">
        <v>347</v>
      </c>
      <c r="Z814" t="s">
        <v>653</v>
      </c>
      <c r="AB814" t="s">
        <v>654</v>
      </c>
      <c r="AC814" t="s">
        <v>510</v>
      </c>
      <c r="AD814" t="s">
        <v>655</v>
      </c>
      <c r="AE814" t="s">
        <v>512</v>
      </c>
      <c r="AF814">
        <v>11828.125</v>
      </c>
      <c r="AG814">
        <v>2021</v>
      </c>
      <c r="AH814">
        <v>1.2460290173966899</v>
      </c>
      <c r="AI814">
        <v>0.128</v>
      </c>
      <c r="AJ814">
        <v>2.4590541611624799</v>
      </c>
    </row>
    <row r="815" spans="1:36" x14ac:dyDescent="0.3">
      <c r="A815">
        <v>2022</v>
      </c>
      <c r="B815">
        <v>323</v>
      </c>
      <c r="C815" t="s">
        <v>533</v>
      </c>
      <c r="D815" t="s">
        <v>534</v>
      </c>
      <c r="E815" t="s">
        <v>535</v>
      </c>
      <c r="F815" t="s">
        <v>534</v>
      </c>
      <c r="G815">
        <v>43388.4</v>
      </c>
      <c r="H815">
        <v>18</v>
      </c>
      <c r="I815">
        <v>3821.9</v>
      </c>
      <c r="J815">
        <v>82.2</v>
      </c>
      <c r="K815">
        <v>56991.8</v>
      </c>
      <c r="L815">
        <v>15582.7</v>
      </c>
      <c r="M815">
        <v>0</v>
      </c>
      <c r="N815">
        <v>8.8000000000000007</v>
      </c>
      <c r="O815">
        <v>6.7</v>
      </c>
      <c r="P815">
        <v>24.5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89195</v>
      </c>
      <c r="Y815" t="s">
        <v>347</v>
      </c>
      <c r="Z815" t="s">
        <v>656</v>
      </c>
      <c r="AB815" t="s">
        <v>657</v>
      </c>
      <c r="AC815" t="s">
        <v>538</v>
      </c>
      <c r="AD815" t="s">
        <v>658</v>
      </c>
      <c r="AE815" t="s">
        <v>540</v>
      </c>
      <c r="AF815">
        <v>15599.5918367347</v>
      </c>
      <c r="AG815">
        <v>2021</v>
      </c>
      <c r="AH815">
        <v>0.76130952172066901</v>
      </c>
      <c r="AI815">
        <v>0.245</v>
      </c>
      <c r="AJ815">
        <v>3.6534161019388298</v>
      </c>
    </row>
    <row r="816" spans="1:36" x14ac:dyDescent="0.3">
      <c r="A816">
        <v>2022</v>
      </c>
      <c r="B816">
        <v>92</v>
      </c>
      <c r="C816" t="s">
        <v>546</v>
      </c>
      <c r="D816" t="s">
        <v>547</v>
      </c>
      <c r="E816" t="s">
        <v>548</v>
      </c>
      <c r="F816" t="s">
        <v>547</v>
      </c>
      <c r="G816">
        <v>102775</v>
      </c>
      <c r="H816">
        <v>16.600000000000001</v>
      </c>
      <c r="I816">
        <v>4318.8999999999996</v>
      </c>
      <c r="J816">
        <v>257.7</v>
      </c>
      <c r="K816">
        <v>196855</v>
      </c>
      <c r="L816">
        <v>63097.3</v>
      </c>
      <c r="M816">
        <v>0</v>
      </c>
      <c r="N816">
        <v>4.2</v>
      </c>
      <c r="O816">
        <v>2.2000000000000002</v>
      </c>
      <c r="P816">
        <v>6.8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121403</v>
      </c>
      <c r="Y816" t="s">
        <v>347</v>
      </c>
      <c r="Z816" t="s">
        <v>659</v>
      </c>
      <c r="AB816">
        <v>6797</v>
      </c>
      <c r="AC816" t="s">
        <v>551</v>
      </c>
      <c r="AD816" t="s">
        <v>660</v>
      </c>
      <c r="AE816" t="s">
        <v>553</v>
      </c>
      <c r="AF816">
        <v>63513.2352941176</v>
      </c>
      <c r="AG816">
        <v>2021</v>
      </c>
      <c r="AH816">
        <v>0.52208478321607299</v>
      </c>
      <c r="AI816">
        <v>6.8000000000000005E-2</v>
      </c>
      <c r="AJ816">
        <v>3.0994327259255798</v>
      </c>
    </row>
    <row r="817" spans="1:36" x14ac:dyDescent="0.3">
      <c r="A817">
        <v>2022</v>
      </c>
      <c r="B817">
        <v>29</v>
      </c>
      <c r="C817" t="s">
        <v>661</v>
      </c>
      <c r="D817" t="s">
        <v>662</v>
      </c>
      <c r="E817" t="s">
        <v>663</v>
      </c>
      <c r="F817" t="s">
        <v>662</v>
      </c>
      <c r="G817">
        <v>176663</v>
      </c>
      <c r="H817">
        <v>225.3</v>
      </c>
      <c r="I817">
        <v>16789.099999999999</v>
      </c>
      <c r="J817">
        <v>578.1</v>
      </c>
      <c r="K817">
        <v>195297.9</v>
      </c>
      <c r="L817">
        <v>63566.3</v>
      </c>
      <c r="M817">
        <v>0</v>
      </c>
      <c r="N817">
        <v>9.5</v>
      </c>
      <c r="O817">
        <v>8.6</v>
      </c>
      <c r="P817">
        <v>26.4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281595</v>
      </c>
      <c r="Y817" t="s">
        <v>347</v>
      </c>
      <c r="Z817" t="s">
        <v>664</v>
      </c>
      <c r="AB817">
        <v>2132</v>
      </c>
      <c r="AC817" t="s">
        <v>665</v>
      </c>
      <c r="AD817" t="s">
        <v>666</v>
      </c>
      <c r="AE817" t="s">
        <v>667</v>
      </c>
      <c r="AF817">
        <v>63595.075757575803</v>
      </c>
      <c r="AG817">
        <v>2021</v>
      </c>
      <c r="AH817">
        <v>0.90458217932706897</v>
      </c>
      <c r="AI817">
        <v>0.26400000000000001</v>
      </c>
      <c r="AJ817">
        <v>3.0709594677499101</v>
      </c>
    </row>
    <row r="818" spans="1:36" x14ac:dyDescent="0.3">
      <c r="A818">
        <v>2021</v>
      </c>
      <c r="B818">
        <v>372</v>
      </c>
      <c r="C818" t="s">
        <v>505</v>
      </c>
      <c r="D818" t="s">
        <v>506</v>
      </c>
      <c r="E818" t="s">
        <v>507</v>
      </c>
      <c r="F818" t="s">
        <v>506</v>
      </c>
      <c r="G818">
        <v>32647</v>
      </c>
      <c r="H818">
        <v>-17.2</v>
      </c>
      <c r="I818">
        <v>757</v>
      </c>
      <c r="J818">
        <v>-57.1</v>
      </c>
      <c r="K818">
        <v>28605</v>
      </c>
      <c r="L818">
        <v>11370</v>
      </c>
      <c r="M818">
        <v>0</v>
      </c>
      <c r="N818">
        <v>2.2999999999999998</v>
      </c>
      <c r="O818">
        <v>2.6</v>
      </c>
      <c r="P818">
        <v>6.7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158000</v>
      </c>
      <c r="Y818" t="s">
        <v>347</v>
      </c>
      <c r="Z818" t="s">
        <v>653</v>
      </c>
      <c r="AB818" t="s">
        <v>654</v>
      </c>
      <c r="AC818" t="s">
        <v>510</v>
      </c>
      <c r="AD818" t="s">
        <v>655</v>
      </c>
      <c r="AE818" t="s">
        <v>512</v>
      </c>
      <c r="AF818">
        <v>11298.507462686601</v>
      </c>
      <c r="AG818">
        <v>2020</v>
      </c>
      <c r="AH818">
        <v>1.1413039678377901</v>
      </c>
      <c r="AI818">
        <v>6.7000000000000004E-2</v>
      </c>
      <c r="AJ818">
        <v>2.5317503302509898</v>
      </c>
    </row>
    <row r="819" spans="1:36" x14ac:dyDescent="0.3">
      <c r="A819">
        <v>2021</v>
      </c>
      <c r="B819">
        <v>327</v>
      </c>
      <c r="C819" t="s">
        <v>533</v>
      </c>
      <c r="D819" t="s">
        <v>534</v>
      </c>
      <c r="E819" t="s">
        <v>535</v>
      </c>
      <c r="F819" t="s">
        <v>534</v>
      </c>
      <c r="G819">
        <v>36754.300000000003</v>
      </c>
      <c r="H819">
        <v>-19.600000000000001</v>
      </c>
      <c r="I819">
        <v>2097.9</v>
      </c>
      <c r="J819">
        <v>-44.7</v>
      </c>
      <c r="K819">
        <v>62266.400000000001</v>
      </c>
      <c r="L819">
        <v>17710.7</v>
      </c>
      <c r="M819">
        <v>0</v>
      </c>
      <c r="N819">
        <v>5.7</v>
      </c>
      <c r="O819">
        <v>3.4</v>
      </c>
      <c r="P819">
        <v>11.8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91843</v>
      </c>
      <c r="Y819" t="s">
        <v>347</v>
      </c>
      <c r="Z819" t="s">
        <v>656</v>
      </c>
      <c r="AB819" t="s">
        <v>657</v>
      </c>
      <c r="AC819" t="s">
        <v>538</v>
      </c>
      <c r="AD819" t="s">
        <v>658</v>
      </c>
      <c r="AE819" t="s">
        <v>540</v>
      </c>
      <c r="AF819">
        <v>17778.813559321999</v>
      </c>
      <c r="AG819">
        <v>2020</v>
      </c>
      <c r="AH819">
        <v>0.590275011884419</v>
      </c>
      <c r="AI819">
        <v>0.11799999999999999</v>
      </c>
      <c r="AJ819">
        <v>3.5022809476142802</v>
      </c>
    </row>
    <row r="820" spans="1:36" x14ac:dyDescent="0.3">
      <c r="A820">
        <v>2021</v>
      </c>
      <c r="B820">
        <v>83</v>
      </c>
      <c r="C820" t="s">
        <v>546</v>
      </c>
      <c r="D820" t="s">
        <v>547</v>
      </c>
      <c r="E820" t="s">
        <v>548</v>
      </c>
      <c r="F820" t="s">
        <v>547</v>
      </c>
      <c r="G820">
        <v>88155.7</v>
      </c>
      <c r="H820">
        <v>-2.8</v>
      </c>
      <c r="I820">
        <v>1207.5</v>
      </c>
      <c r="J820">
        <v>-52.8</v>
      </c>
      <c r="K820">
        <v>192604.9</v>
      </c>
      <c r="L820">
        <v>63924.9</v>
      </c>
      <c r="M820">
        <v>0</v>
      </c>
      <c r="N820">
        <v>1.4</v>
      </c>
      <c r="O820">
        <v>0.6</v>
      </c>
      <c r="P820">
        <v>1.9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122814</v>
      </c>
      <c r="Y820" t="s">
        <v>347</v>
      </c>
      <c r="Z820" t="s">
        <v>659</v>
      </c>
      <c r="AB820">
        <v>6797</v>
      </c>
      <c r="AC820" t="s">
        <v>551</v>
      </c>
      <c r="AD820" t="s">
        <v>660</v>
      </c>
      <c r="AE820" t="s">
        <v>553</v>
      </c>
      <c r="AF820">
        <v>63552.631578947403</v>
      </c>
      <c r="AG820">
        <v>2020</v>
      </c>
      <c r="AH820">
        <v>0.45770227029530403</v>
      </c>
      <c r="AI820">
        <v>1.9E-2</v>
      </c>
      <c r="AJ820">
        <v>3.03063610766046</v>
      </c>
    </row>
    <row r="821" spans="1:36" x14ac:dyDescent="0.3">
      <c r="A821">
        <v>2020</v>
      </c>
      <c r="B821">
        <v>299</v>
      </c>
      <c r="C821" t="s">
        <v>505</v>
      </c>
      <c r="D821" t="s">
        <v>506</v>
      </c>
      <c r="E821" t="s">
        <v>507</v>
      </c>
      <c r="F821" t="s">
        <v>506</v>
      </c>
      <c r="G821">
        <v>40827</v>
      </c>
      <c r="H821">
        <v>4.8</v>
      </c>
      <c r="I821">
        <v>2296</v>
      </c>
      <c r="J821">
        <v>4.0999999999999996</v>
      </c>
      <c r="K821">
        <v>25945</v>
      </c>
      <c r="L821">
        <v>10701</v>
      </c>
      <c r="M821">
        <v>0</v>
      </c>
      <c r="N821">
        <v>5.6</v>
      </c>
      <c r="O821">
        <v>8.8000000000000007</v>
      </c>
      <c r="P821">
        <v>21.5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174000</v>
      </c>
      <c r="Y821" t="s">
        <v>347</v>
      </c>
      <c r="Z821" t="s">
        <v>653</v>
      </c>
      <c r="AB821" t="s">
        <v>654</v>
      </c>
      <c r="AC821" t="s">
        <v>510</v>
      </c>
      <c r="AD821" t="s">
        <v>655</v>
      </c>
      <c r="AE821" t="s">
        <v>512</v>
      </c>
      <c r="AF821">
        <v>10679.069767441901</v>
      </c>
      <c r="AG821">
        <v>2019</v>
      </c>
      <c r="AH821">
        <v>1.5735979957602599</v>
      </c>
      <c r="AI821">
        <v>0.215</v>
      </c>
      <c r="AJ821">
        <v>2.429518728223</v>
      </c>
    </row>
    <row r="822" spans="1:36" x14ac:dyDescent="0.3">
      <c r="A822">
        <v>2020</v>
      </c>
      <c r="B822">
        <v>265</v>
      </c>
      <c r="C822" t="s">
        <v>401</v>
      </c>
      <c r="D822" t="s">
        <v>402</v>
      </c>
      <c r="E822" t="s">
        <v>403</v>
      </c>
      <c r="F822" t="s">
        <v>402</v>
      </c>
      <c r="G822">
        <v>43599.199999999997</v>
      </c>
      <c r="H822">
        <v>-4.9000000000000004</v>
      </c>
      <c r="I822">
        <v>-4122</v>
      </c>
      <c r="J822">
        <v>-395.6</v>
      </c>
      <c r="K822">
        <v>44349</v>
      </c>
      <c r="L822">
        <v>8688</v>
      </c>
      <c r="M822">
        <v>0</v>
      </c>
      <c r="N822">
        <v>-9.5</v>
      </c>
      <c r="O822">
        <v>-9.3000000000000007</v>
      </c>
      <c r="P822">
        <v>-47.4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81090</v>
      </c>
      <c r="Y822" t="s">
        <v>347</v>
      </c>
      <c r="Z822" t="s">
        <v>404</v>
      </c>
      <c r="AB822">
        <v>400001</v>
      </c>
      <c r="AC822" t="s">
        <v>405</v>
      </c>
      <c r="AD822" t="s">
        <v>406</v>
      </c>
      <c r="AE822" t="s">
        <v>407</v>
      </c>
      <c r="AF822">
        <v>8696.2025316455693</v>
      </c>
      <c r="AG822">
        <v>2019</v>
      </c>
      <c r="AH822">
        <v>0.98309319263117501</v>
      </c>
      <c r="AI822">
        <v>-0.47399999999999998</v>
      </c>
      <c r="AJ822">
        <v>5.0998122270742403</v>
      </c>
    </row>
    <row r="823" spans="1:36" x14ac:dyDescent="0.3">
      <c r="A823">
        <v>2020</v>
      </c>
      <c r="B823">
        <v>253</v>
      </c>
      <c r="C823" t="s">
        <v>533</v>
      </c>
      <c r="D823" t="s">
        <v>534</v>
      </c>
      <c r="E823" t="s">
        <v>535</v>
      </c>
      <c r="F823" t="s">
        <v>534</v>
      </c>
      <c r="G823">
        <v>44957</v>
      </c>
      <c r="H823">
        <v>14.8</v>
      </c>
      <c r="I823">
        <v>2863.9</v>
      </c>
      <c r="J823">
        <v>16.600000000000001</v>
      </c>
      <c r="K823">
        <v>53558.6</v>
      </c>
      <c r="L823">
        <v>13921.5</v>
      </c>
      <c r="M823">
        <v>0</v>
      </c>
      <c r="N823">
        <v>6.4</v>
      </c>
      <c r="O823">
        <v>5.3</v>
      </c>
      <c r="P823">
        <v>20.6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98652</v>
      </c>
      <c r="Y823" t="s">
        <v>347</v>
      </c>
      <c r="Z823" t="s">
        <v>656</v>
      </c>
      <c r="AB823" t="s">
        <v>657</v>
      </c>
      <c r="AC823" t="s">
        <v>538</v>
      </c>
      <c r="AD823" t="s">
        <v>658</v>
      </c>
      <c r="AE823" t="s">
        <v>540</v>
      </c>
      <c r="AF823">
        <v>13902.427184466</v>
      </c>
      <c r="AG823">
        <v>2019</v>
      </c>
      <c r="AH823">
        <v>0.83939834125611901</v>
      </c>
      <c r="AI823">
        <v>0.20599999999999999</v>
      </c>
      <c r="AJ823">
        <v>3.8524639826809599</v>
      </c>
    </row>
    <row r="824" spans="1:36" x14ac:dyDescent="0.3">
      <c r="A824">
        <v>2020</v>
      </c>
      <c r="B824">
        <v>94</v>
      </c>
      <c r="C824" t="s">
        <v>546</v>
      </c>
      <c r="D824" t="s">
        <v>547</v>
      </c>
      <c r="E824" t="s">
        <v>548</v>
      </c>
      <c r="F824" t="s">
        <v>547</v>
      </c>
      <c r="G824">
        <v>87999.2</v>
      </c>
      <c r="H824">
        <v>3.2</v>
      </c>
      <c r="I824">
        <v>1370.8</v>
      </c>
      <c r="J824">
        <v>-61.6</v>
      </c>
      <c r="K824">
        <v>161921.4</v>
      </c>
      <c r="L824">
        <v>60925</v>
      </c>
      <c r="M824">
        <v>0</v>
      </c>
      <c r="N824">
        <v>1.6</v>
      </c>
      <c r="O824">
        <v>0.8</v>
      </c>
      <c r="P824">
        <v>2.2999999999999998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122217</v>
      </c>
      <c r="Y824" t="s">
        <v>347</v>
      </c>
      <c r="Z824" t="s">
        <v>659</v>
      </c>
      <c r="AB824">
        <v>6797</v>
      </c>
      <c r="AC824" t="s">
        <v>551</v>
      </c>
      <c r="AD824" t="s">
        <v>660</v>
      </c>
      <c r="AE824" t="s">
        <v>553</v>
      </c>
      <c r="AF824">
        <v>59600</v>
      </c>
      <c r="AG824">
        <v>2019</v>
      </c>
      <c r="AH824">
        <v>0.54346862119522199</v>
      </c>
      <c r="AI824">
        <v>2.3E-2</v>
      </c>
      <c r="AJ824">
        <v>2.7168020134228201</v>
      </c>
    </row>
    <row r="825" spans="1:36" x14ac:dyDescent="0.3">
      <c r="A825">
        <v>2019</v>
      </c>
      <c r="B825">
        <v>299</v>
      </c>
      <c r="C825" t="s">
        <v>505</v>
      </c>
      <c r="D825" t="s">
        <v>506</v>
      </c>
      <c r="E825" t="s">
        <v>507</v>
      </c>
      <c r="F825" t="s">
        <v>506</v>
      </c>
      <c r="G825">
        <v>40827</v>
      </c>
      <c r="H825">
        <v>4.8</v>
      </c>
      <c r="I825">
        <v>2296</v>
      </c>
      <c r="J825">
        <v>4.0999999999999996</v>
      </c>
      <c r="K825">
        <v>25945</v>
      </c>
      <c r="L825">
        <v>10701</v>
      </c>
      <c r="M825">
        <v>0</v>
      </c>
      <c r="N825">
        <v>5.6</v>
      </c>
      <c r="O825">
        <v>8.8000000000000007</v>
      </c>
      <c r="P825">
        <v>21.5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174000</v>
      </c>
      <c r="Y825" t="s">
        <v>347</v>
      </c>
      <c r="Z825" t="s">
        <v>653</v>
      </c>
      <c r="AB825" t="s">
        <v>654</v>
      </c>
      <c r="AC825" t="s">
        <v>510</v>
      </c>
      <c r="AD825" t="s">
        <v>655</v>
      </c>
      <c r="AE825" t="s">
        <v>512</v>
      </c>
      <c r="AF825">
        <v>10679.069767441901</v>
      </c>
      <c r="AG825">
        <v>2018</v>
      </c>
      <c r="AH825">
        <v>1.5735979957602599</v>
      </c>
      <c r="AI825">
        <v>0.215</v>
      </c>
      <c r="AJ825">
        <v>2.429518728223</v>
      </c>
    </row>
    <row r="826" spans="1:36" x14ac:dyDescent="0.3">
      <c r="A826">
        <v>2019</v>
      </c>
      <c r="B826">
        <v>265</v>
      </c>
      <c r="C826" t="s">
        <v>401</v>
      </c>
      <c r="D826" t="s">
        <v>402</v>
      </c>
      <c r="E826" t="s">
        <v>403</v>
      </c>
      <c r="F826" t="s">
        <v>402</v>
      </c>
      <c r="G826">
        <v>43599.199999999997</v>
      </c>
      <c r="H826">
        <v>-4.9000000000000004</v>
      </c>
      <c r="I826">
        <v>-4122</v>
      </c>
      <c r="J826">
        <v>-395.6</v>
      </c>
      <c r="K826">
        <v>44349</v>
      </c>
      <c r="L826">
        <v>8688</v>
      </c>
      <c r="M826">
        <v>0</v>
      </c>
      <c r="N826">
        <v>-9.5</v>
      </c>
      <c r="O826">
        <v>-9.3000000000000007</v>
      </c>
      <c r="P826">
        <v>-47.4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81090</v>
      </c>
      <c r="Y826" t="s">
        <v>347</v>
      </c>
      <c r="Z826" t="s">
        <v>404</v>
      </c>
      <c r="AB826">
        <v>400001</v>
      </c>
      <c r="AC826" t="s">
        <v>405</v>
      </c>
      <c r="AD826" t="s">
        <v>406</v>
      </c>
      <c r="AE826" t="s">
        <v>407</v>
      </c>
      <c r="AF826">
        <v>8696.2025316455693</v>
      </c>
      <c r="AG826">
        <v>2018</v>
      </c>
      <c r="AH826">
        <v>0.98309319263117501</v>
      </c>
      <c r="AI826">
        <v>-0.47399999999999998</v>
      </c>
      <c r="AJ826">
        <v>5.0998122270742403</v>
      </c>
    </row>
    <row r="827" spans="1:36" x14ac:dyDescent="0.3">
      <c r="A827">
        <v>2019</v>
      </c>
      <c r="B827">
        <v>253</v>
      </c>
      <c r="C827" t="s">
        <v>533</v>
      </c>
      <c r="D827" t="s">
        <v>534</v>
      </c>
      <c r="E827" t="s">
        <v>535</v>
      </c>
      <c r="F827" t="s">
        <v>534</v>
      </c>
      <c r="G827">
        <v>44957</v>
      </c>
      <c r="H827">
        <v>14.8</v>
      </c>
      <c r="I827">
        <v>2863.9</v>
      </c>
      <c r="J827">
        <v>16.600000000000001</v>
      </c>
      <c r="K827">
        <v>53558.6</v>
      </c>
      <c r="L827">
        <v>13921.5</v>
      </c>
      <c r="M827">
        <v>0</v>
      </c>
      <c r="N827">
        <v>6.4</v>
      </c>
      <c r="O827">
        <v>5.3</v>
      </c>
      <c r="P827">
        <v>20.6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98652</v>
      </c>
      <c r="Y827" t="s">
        <v>347</v>
      </c>
      <c r="Z827" t="s">
        <v>656</v>
      </c>
      <c r="AB827" t="s">
        <v>657</v>
      </c>
      <c r="AC827" t="s">
        <v>538</v>
      </c>
      <c r="AD827" t="s">
        <v>658</v>
      </c>
      <c r="AE827" t="s">
        <v>540</v>
      </c>
      <c r="AF827">
        <v>13902.427184466</v>
      </c>
      <c r="AG827">
        <v>2018</v>
      </c>
      <c r="AH827">
        <v>0.83939834125611901</v>
      </c>
      <c r="AI827">
        <v>0.20599999999999999</v>
      </c>
      <c r="AJ827">
        <v>3.8524639826809599</v>
      </c>
    </row>
    <row r="828" spans="1:36" x14ac:dyDescent="0.3">
      <c r="A828">
        <v>2019</v>
      </c>
      <c r="B828">
        <v>94</v>
      </c>
      <c r="C828" t="s">
        <v>546</v>
      </c>
      <c r="D828" t="s">
        <v>547</v>
      </c>
      <c r="E828" t="s">
        <v>548</v>
      </c>
      <c r="F828" t="s">
        <v>547</v>
      </c>
      <c r="G828">
        <v>87999.2</v>
      </c>
      <c r="H828">
        <v>3.2</v>
      </c>
      <c r="I828">
        <v>1370.8</v>
      </c>
      <c r="J828">
        <v>-61.6</v>
      </c>
      <c r="K828">
        <v>161921.4</v>
      </c>
      <c r="L828">
        <v>60925</v>
      </c>
      <c r="M828">
        <v>0</v>
      </c>
      <c r="N828">
        <v>1.6</v>
      </c>
      <c r="O828">
        <v>0.8</v>
      </c>
      <c r="P828">
        <v>2.2999999999999998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122217</v>
      </c>
      <c r="Y828" t="s">
        <v>347</v>
      </c>
      <c r="Z828" t="s">
        <v>659</v>
      </c>
      <c r="AB828">
        <v>6797</v>
      </c>
      <c r="AC828" t="s">
        <v>551</v>
      </c>
      <c r="AD828" t="s">
        <v>660</v>
      </c>
      <c r="AE828" t="s">
        <v>553</v>
      </c>
      <c r="AF828">
        <v>59600</v>
      </c>
      <c r="AG828">
        <v>2018</v>
      </c>
      <c r="AH828">
        <v>0.54346862119522199</v>
      </c>
      <c r="AI828">
        <v>2.3E-2</v>
      </c>
      <c r="AJ828">
        <v>2.7168020134228201</v>
      </c>
    </row>
    <row r="829" spans="1:36" x14ac:dyDescent="0.3">
      <c r="A829">
        <v>2018</v>
      </c>
      <c r="B829">
        <v>299</v>
      </c>
      <c r="C829" t="s">
        <v>505</v>
      </c>
      <c r="D829" t="s">
        <v>506</v>
      </c>
      <c r="E829" t="s">
        <v>507</v>
      </c>
      <c r="F829" t="s">
        <v>506</v>
      </c>
      <c r="G829">
        <v>40827</v>
      </c>
      <c r="H829">
        <v>4.8</v>
      </c>
      <c r="I829">
        <v>2296</v>
      </c>
      <c r="J829">
        <v>4.0999999999999996</v>
      </c>
      <c r="K829">
        <v>25945</v>
      </c>
      <c r="L829">
        <v>10701</v>
      </c>
      <c r="M829">
        <v>0</v>
      </c>
      <c r="N829">
        <v>5.6</v>
      </c>
      <c r="O829">
        <v>8.8000000000000007</v>
      </c>
      <c r="P829">
        <v>21.5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174000</v>
      </c>
      <c r="Y829" t="s">
        <v>347</v>
      </c>
      <c r="Z829" t="s">
        <v>653</v>
      </c>
      <c r="AB829" t="s">
        <v>654</v>
      </c>
      <c r="AC829" t="s">
        <v>510</v>
      </c>
      <c r="AD829" t="s">
        <v>655</v>
      </c>
      <c r="AE829" t="s">
        <v>512</v>
      </c>
      <c r="AF829">
        <v>10679.069767441901</v>
      </c>
      <c r="AG829">
        <v>2017</v>
      </c>
      <c r="AH829">
        <v>1.5735979957602599</v>
      </c>
      <c r="AI829">
        <v>0.215</v>
      </c>
      <c r="AJ829">
        <v>2.429518728223</v>
      </c>
    </row>
    <row r="830" spans="1:36" x14ac:dyDescent="0.3">
      <c r="A830">
        <v>2018</v>
      </c>
      <c r="B830">
        <v>265</v>
      </c>
      <c r="C830" t="s">
        <v>401</v>
      </c>
      <c r="D830" t="s">
        <v>402</v>
      </c>
      <c r="E830" t="s">
        <v>403</v>
      </c>
      <c r="F830" t="s">
        <v>402</v>
      </c>
      <c r="G830">
        <v>43599.199999999997</v>
      </c>
      <c r="H830">
        <v>-4.9000000000000004</v>
      </c>
      <c r="I830">
        <v>-4122</v>
      </c>
      <c r="J830">
        <v>-395.6</v>
      </c>
      <c r="K830">
        <v>44349</v>
      </c>
      <c r="L830">
        <v>8688</v>
      </c>
      <c r="M830">
        <v>0</v>
      </c>
      <c r="N830">
        <v>-9.5</v>
      </c>
      <c r="O830">
        <v>-9.3000000000000007</v>
      </c>
      <c r="P830">
        <v>-47.4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81090</v>
      </c>
      <c r="Y830" t="s">
        <v>347</v>
      </c>
      <c r="Z830" t="s">
        <v>404</v>
      </c>
      <c r="AB830">
        <v>400001</v>
      </c>
      <c r="AC830" t="s">
        <v>405</v>
      </c>
      <c r="AD830" t="s">
        <v>406</v>
      </c>
      <c r="AE830" t="s">
        <v>407</v>
      </c>
      <c r="AF830">
        <v>8696.2025316455693</v>
      </c>
      <c r="AG830">
        <v>2017</v>
      </c>
      <c r="AH830">
        <v>0.98309319263117501</v>
      </c>
      <c r="AI830">
        <v>-0.47399999999999998</v>
      </c>
      <c r="AJ830">
        <v>5.0998122270742403</v>
      </c>
    </row>
    <row r="831" spans="1:36" x14ac:dyDescent="0.3">
      <c r="A831">
        <v>2018</v>
      </c>
      <c r="B831">
        <v>253</v>
      </c>
      <c r="C831" t="s">
        <v>533</v>
      </c>
      <c r="D831" t="s">
        <v>534</v>
      </c>
      <c r="E831" t="s">
        <v>535</v>
      </c>
      <c r="F831" t="s">
        <v>534</v>
      </c>
      <c r="G831">
        <v>44957</v>
      </c>
      <c r="H831">
        <v>14.8</v>
      </c>
      <c r="I831">
        <v>2863.9</v>
      </c>
      <c r="J831">
        <v>16.600000000000001</v>
      </c>
      <c r="K831">
        <v>53558.6</v>
      </c>
      <c r="L831">
        <v>13921.5</v>
      </c>
      <c r="M831">
        <v>0</v>
      </c>
      <c r="N831">
        <v>6.4</v>
      </c>
      <c r="O831">
        <v>5.3</v>
      </c>
      <c r="P831">
        <v>20.6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98652</v>
      </c>
      <c r="Y831" t="s">
        <v>347</v>
      </c>
      <c r="Z831" t="s">
        <v>656</v>
      </c>
      <c r="AB831" t="s">
        <v>657</v>
      </c>
      <c r="AC831" t="s">
        <v>538</v>
      </c>
      <c r="AD831" t="s">
        <v>658</v>
      </c>
      <c r="AE831" t="s">
        <v>540</v>
      </c>
      <c r="AF831">
        <v>13902.427184466</v>
      </c>
      <c r="AG831">
        <v>2017</v>
      </c>
      <c r="AH831">
        <v>0.83939834125611901</v>
      </c>
      <c r="AI831">
        <v>0.20599999999999999</v>
      </c>
      <c r="AJ831">
        <v>3.8524639826809599</v>
      </c>
    </row>
    <row r="832" spans="1:36" x14ac:dyDescent="0.3">
      <c r="A832">
        <v>2018</v>
      </c>
      <c r="B832">
        <v>94</v>
      </c>
      <c r="C832" t="s">
        <v>546</v>
      </c>
      <c r="D832" t="s">
        <v>547</v>
      </c>
      <c r="E832" t="s">
        <v>548</v>
      </c>
      <c r="F832" t="s">
        <v>547</v>
      </c>
      <c r="G832">
        <v>87999.2</v>
      </c>
      <c r="H832">
        <v>3.2</v>
      </c>
      <c r="I832">
        <v>1370.8</v>
      </c>
      <c r="J832">
        <v>-61.6</v>
      </c>
      <c r="K832">
        <v>161921.4</v>
      </c>
      <c r="L832">
        <v>60925</v>
      </c>
      <c r="M832">
        <v>0</v>
      </c>
      <c r="N832">
        <v>1.6</v>
      </c>
      <c r="O832">
        <v>0.8</v>
      </c>
      <c r="P832">
        <v>2.2999999999999998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122217</v>
      </c>
      <c r="Y832" t="s">
        <v>347</v>
      </c>
      <c r="Z832" t="s">
        <v>659</v>
      </c>
      <c r="AB832">
        <v>6797</v>
      </c>
      <c r="AC832" t="s">
        <v>551</v>
      </c>
      <c r="AD832" t="s">
        <v>660</v>
      </c>
      <c r="AE832" t="s">
        <v>553</v>
      </c>
      <c r="AF832">
        <v>59600</v>
      </c>
      <c r="AG832">
        <v>2017</v>
      </c>
      <c r="AH832">
        <v>0.54346862119522199</v>
      </c>
      <c r="AI832">
        <v>2.3E-2</v>
      </c>
      <c r="AJ832">
        <v>2.7168020134228201</v>
      </c>
    </row>
    <row r="833" spans="1:36" x14ac:dyDescent="0.3">
      <c r="A833">
        <v>2017</v>
      </c>
      <c r="B833">
        <v>323</v>
      </c>
      <c r="C833" t="s">
        <v>668</v>
      </c>
      <c r="D833" t="s">
        <v>547</v>
      </c>
      <c r="E833" t="s">
        <v>548</v>
      </c>
      <c r="F833" t="s">
        <v>547</v>
      </c>
      <c r="G833">
        <v>32971.800000000003</v>
      </c>
      <c r="H833">
        <v>-0.7</v>
      </c>
      <c r="I833">
        <v>2617.8000000000002</v>
      </c>
      <c r="J833">
        <v>-3.1</v>
      </c>
      <c r="K833">
        <v>34540.9</v>
      </c>
      <c r="L833">
        <v>23596</v>
      </c>
      <c r="M833">
        <v>0</v>
      </c>
      <c r="N833">
        <v>7.9</v>
      </c>
      <c r="O833">
        <v>7.6</v>
      </c>
      <c r="P833">
        <v>11.1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29499</v>
      </c>
      <c r="Y833" t="s">
        <v>347</v>
      </c>
      <c r="Z833" t="s">
        <v>669</v>
      </c>
      <c r="AB833">
        <v>6141</v>
      </c>
      <c r="AC833" t="s">
        <v>670</v>
      </c>
      <c r="AD833" t="s">
        <v>278</v>
      </c>
      <c r="AE833" t="s">
        <v>671</v>
      </c>
      <c r="AF833">
        <v>23583.783783783801</v>
      </c>
      <c r="AG833">
        <v>2016</v>
      </c>
      <c r="AH833">
        <v>0.95457269497899599</v>
      </c>
      <c r="AI833">
        <v>0.111</v>
      </c>
      <c r="AJ833">
        <v>1.4646038276415301</v>
      </c>
    </row>
    <row r="834" spans="1:36" x14ac:dyDescent="0.3">
      <c r="A834">
        <v>2017</v>
      </c>
      <c r="B834">
        <v>301</v>
      </c>
      <c r="C834" t="s">
        <v>533</v>
      </c>
      <c r="D834" t="s">
        <v>534</v>
      </c>
      <c r="E834" t="s">
        <v>535</v>
      </c>
      <c r="F834" t="s">
        <v>534</v>
      </c>
      <c r="G834">
        <v>35268.6</v>
      </c>
      <c r="H834">
        <v>-4.8</v>
      </c>
      <c r="I834">
        <v>1535.8</v>
      </c>
      <c r="J834">
        <v>-14</v>
      </c>
      <c r="K834">
        <v>43924.3</v>
      </c>
      <c r="L834">
        <v>10577.2</v>
      </c>
      <c r="M834">
        <v>0</v>
      </c>
      <c r="N834">
        <v>4.4000000000000004</v>
      </c>
      <c r="O834">
        <v>3.5</v>
      </c>
      <c r="P834">
        <v>14.5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89477</v>
      </c>
      <c r="Y834" t="s">
        <v>347</v>
      </c>
      <c r="Z834" t="s">
        <v>656</v>
      </c>
      <c r="AB834" t="s">
        <v>657</v>
      </c>
      <c r="AC834" t="s">
        <v>538</v>
      </c>
      <c r="AD834" t="s">
        <v>658</v>
      </c>
      <c r="AE834" t="s">
        <v>540</v>
      </c>
      <c r="AF834">
        <v>10591.724137931</v>
      </c>
      <c r="AG834">
        <v>2016</v>
      </c>
      <c r="AH834">
        <v>0.80294051356538398</v>
      </c>
      <c r="AI834">
        <v>0.14499999999999999</v>
      </c>
      <c r="AJ834">
        <v>4.1470396536007303</v>
      </c>
    </row>
    <row r="835" spans="1:36" x14ac:dyDescent="0.3">
      <c r="A835">
        <v>2017</v>
      </c>
      <c r="B835">
        <v>290</v>
      </c>
      <c r="C835" t="s">
        <v>505</v>
      </c>
      <c r="D835" t="s">
        <v>506</v>
      </c>
      <c r="E835" t="s">
        <v>507</v>
      </c>
      <c r="F835" t="s">
        <v>506</v>
      </c>
      <c r="G835">
        <v>36445</v>
      </c>
      <c r="H835">
        <v>7.6</v>
      </c>
      <c r="I835">
        <v>2031</v>
      </c>
      <c r="J835">
        <v>0.9</v>
      </c>
      <c r="K835">
        <v>22566</v>
      </c>
      <c r="L835">
        <v>9768</v>
      </c>
      <c r="M835">
        <v>0</v>
      </c>
      <c r="N835">
        <v>5.6</v>
      </c>
      <c r="O835">
        <v>9</v>
      </c>
      <c r="P835">
        <v>20.8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155450</v>
      </c>
      <c r="Y835" t="s">
        <v>347</v>
      </c>
      <c r="Z835" t="s">
        <v>653</v>
      </c>
      <c r="AB835" t="s">
        <v>654</v>
      </c>
      <c r="AC835" t="s">
        <v>510</v>
      </c>
      <c r="AD835" t="s">
        <v>655</v>
      </c>
      <c r="AE835" t="s">
        <v>512</v>
      </c>
      <c r="AF835">
        <v>9764.4230769230799</v>
      </c>
      <c r="AG835">
        <v>2016</v>
      </c>
      <c r="AH835">
        <v>1.61504032615439</v>
      </c>
      <c r="AI835">
        <v>0.20799999999999999</v>
      </c>
      <c r="AJ835">
        <v>2.3110428360413602</v>
      </c>
    </row>
    <row r="836" spans="1:36" x14ac:dyDescent="0.3">
      <c r="A836">
        <v>2017</v>
      </c>
      <c r="B836">
        <v>247</v>
      </c>
      <c r="C836" t="s">
        <v>401</v>
      </c>
      <c r="D836" t="s">
        <v>402</v>
      </c>
      <c r="E836" t="s">
        <v>403</v>
      </c>
      <c r="F836" t="s">
        <v>402</v>
      </c>
      <c r="G836">
        <v>40329.199999999997</v>
      </c>
      <c r="H836">
        <v>-4.2</v>
      </c>
      <c r="I836">
        <v>1111.5999999999999</v>
      </c>
      <c r="J836">
        <v>-34</v>
      </c>
      <c r="K836">
        <v>42161.5</v>
      </c>
      <c r="L836">
        <v>8942.2000000000007</v>
      </c>
      <c r="M836">
        <v>0</v>
      </c>
      <c r="N836">
        <v>2.8</v>
      </c>
      <c r="O836">
        <v>2.6</v>
      </c>
      <c r="P836">
        <v>12.4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79558</v>
      </c>
      <c r="Y836" t="s">
        <v>347</v>
      </c>
      <c r="Z836" t="s">
        <v>404</v>
      </c>
      <c r="AB836">
        <v>400001</v>
      </c>
      <c r="AC836" t="s">
        <v>405</v>
      </c>
      <c r="AD836" t="s">
        <v>406</v>
      </c>
      <c r="AE836" t="s">
        <v>407</v>
      </c>
      <c r="AF836">
        <v>8964.5161290322594</v>
      </c>
      <c r="AG836">
        <v>2016</v>
      </c>
      <c r="AH836">
        <v>0.95654092003367996</v>
      </c>
      <c r="AI836">
        <v>0.124</v>
      </c>
      <c r="AJ836">
        <v>4.70315401223462</v>
      </c>
    </row>
    <row r="837" spans="1:36" x14ac:dyDescent="0.3">
      <c r="A837">
        <v>2017</v>
      </c>
      <c r="B837">
        <v>209</v>
      </c>
      <c r="C837" t="s">
        <v>672</v>
      </c>
      <c r="D837" t="s">
        <v>547</v>
      </c>
      <c r="E837" t="s">
        <v>548</v>
      </c>
      <c r="F837" t="s">
        <v>547</v>
      </c>
      <c r="G837">
        <v>45425</v>
      </c>
      <c r="H837">
        <v>3.7</v>
      </c>
      <c r="I837">
        <v>2373.8000000000002</v>
      </c>
      <c r="J837">
        <v>2</v>
      </c>
      <c r="K837">
        <v>42140.800000000003</v>
      </c>
      <c r="L837">
        <v>22010.1</v>
      </c>
      <c r="M837">
        <v>0</v>
      </c>
      <c r="N837">
        <v>5.2</v>
      </c>
      <c r="O837">
        <v>5.6</v>
      </c>
      <c r="P837">
        <v>10.8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51357</v>
      </c>
      <c r="Y837" t="s">
        <v>347</v>
      </c>
      <c r="Z837" t="s">
        <v>659</v>
      </c>
      <c r="AB837">
        <v>801</v>
      </c>
      <c r="AC837" t="s">
        <v>551</v>
      </c>
      <c r="AD837" t="s">
        <v>278</v>
      </c>
      <c r="AE837" t="s">
        <v>673</v>
      </c>
      <c r="AF837">
        <v>21979.629629629599</v>
      </c>
      <c r="AG837">
        <v>2016</v>
      </c>
      <c r="AH837">
        <v>1.0779339737261799</v>
      </c>
      <c r="AI837">
        <v>0.108</v>
      </c>
      <c r="AJ837">
        <v>1.91726615553122</v>
      </c>
    </row>
    <row r="838" spans="1:36" x14ac:dyDescent="0.3">
      <c r="A838">
        <v>2017</v>
      </c>
      <c r="B838">
        <v>78</v>
      </c>
      <c r="C838" t="s">
        <v>546</v>
      </c>
      <c r="D838" t="s">
        <v>547</v>
      </c>
      <c r="E838" t="s">
        <v>548</v>
      </c>
      <c r="F838" t="s">
        <v>547</v>
      </c>
      <c r="G838">
        <v>80701.399999999994</v>
      </c>
      <c r="H838">
        <v>-0.8</v>
      </c>
      <c r="I838">
        <v>4659</v>
      </c>
      <c r="J838">
        <v>-17.899999999999999</v>
      </c>
      <c r="K838">
        <v>148092</v>
      </c>
      <c r="L838">
        <v>55639</v>
      </c>
      <c r="M838">
        <v>0</v>
      </c>
      <c r="N838">
        <v>5.8</v>
      </c>
      <c r="O838">
        <v>3.1</v>
      </c>
      <c r="P838">
        <v>8.4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129315</v>
      </c>
      <c r="Y838" t="s">
        <v>347</v>
      </c>
      <c r="Z838" t="s">
        <v>659</v>
      </c>
      <c r="AB838">
        <v>6797</v>
      </c>
      <c r="AC838" t="s">
        <v>551</v>
      </c>
      <c r="AD838" t="s">
        <v>660</v>
      </c>
      <c r="AE838" t="s">
        <v>553</v>
      </c>
      <c r="AF838">
        <v>55464.285714285703</v>
      </c>
      <c r="AG838">
        <v>2016</v>
      </c>
      <c r="AH838">
        <v>0.54494098263241797</v>
      </c>
      <c r="AI838">
        <v>8.4000000000000005E-2</v>
      </c>
      <c r="AJ838">
        <v>2.67004249839021</v>
      </c>
    </row>
    <row r="839" spans="1:36" x14ac:dyDescent="0.3">
      <c r="A839">
        <v>2016</v>
      </c>
      <c r="B839">
        <v>306</v>
      </c>
      <c r="C839" t="s">
        <v>505</v>
      </c>
      <c r="D839" t="s">
        <v>506</v>
      </c>
      <c r="E839" t="s">
        <v>507</v>
      </c>
      <c r="F839" t="s">
        <v>506</v>
      </c>
      <c r="G839">
        <v>33871</v>
      </c>
      <c r="H839">
        <v>-7.6</v>
      </c>
      <c r="I839">
        <v>2013</v>
      </c>
      <c r="J839">
        <v>7</v>
      </c>
      <c r="K839">
        <v>19706</v>
      </c>
      <c r="L839">
        <v>8966</v>
      </c>
      <c r="M839">
        <v>0</v>
      </c>
      <c r="N839">
        <v>5.9</v>
      </c>
      <c r="O839">
        <v>10.199999999999999</v>
      </c>
      <c r="P839">
        <v>22.5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128975</v>
      </c>
      <c r="Y839" t="s">
        <v>347</v>
      </c>
      <c r="Z839" t="s">
        <v>653</v>
      </c>
      <c r="AB839" t="s">
        <v>654</v>
      </c>
      <c r="AC839" t="s">
        <v>510</v>
      </c>
      <c r="AD839" t="s">
        <v>655</v>
      </c>
      <c r="AE839" t="s">
        <v>512</v>
      </c>
      <c r="AF839">
        <v>8946.6666666666697</v>
      </c>
      <c r="AG839">
        <v>2015</v>
      </c>
      <c r="AH839">
        <v>1.7188166040799799</v>
      </c>
      <c r="AI839">
        <v>0.22500000000000001</v>
      </c>
      <c r="AJ839">
        <v>2.2026080476900201</v>
      </c>
    </row>
    <row r="840" spans="1:36" x14ac:dyDescent="0.3">
      <c r="A840">
        <v>2016</v>
      </c>
      <c r="B840">
        <v>272</v>
      </c>
      <c r="C840" t="s">
        <v>533</v>
      </c>
      <c r="D840" t="s">
        <v>534</v>
      </c>
      <c r="E840" t="s">
        <v>535</v>
      </c>
      <c r="F840" t="s">
        <v>534</v>
      </c>
      <c r="G840">
        <v>37061.4</v>
      </c>
      <c r="H840">
        <v>-10.1</v>
      </c>
      <c r="I840">
        <v>1785.7</v>
      </c>
      <c r="J840">
        <v>483.8</v>
      </c>
      <c r="K840">
        <v>44394.400000000001</v>
      </c>
      <c r="L840">
        <v>9943.9</v>
      </c>
      <c r="M840">
        <v>0</v>
      </c>
      <c r="N840">
        <v>4.8</v>
      </c>
      <c r="O840">
        <v>4</v>
      </c>
      <c r="P840">
        <v>18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93983</v>
      </c>
      <c r="Y840" t="s">
        <v>347</v>
      </c>
      <c r="Z840" t="s">
        <v>674</v>
      </c>
      <c r="AB840" t="s">
        <v>675</v>
      </c>
      <c r="AC840" t="s">
        <v>538</v>
      </c>
      <c r="AD840" t="s">
        <v>658</v>
      </c>
      <c r="AE840" t="s">
        <v>540</v>
      </c>
      <c r="AF840">
        <v>9920.5555555555602</v>
      </c>
      <c r="AG840">
        <v>2015</v>
      </c>
      <c r="AH840">
        <v>0.83482150901915597</v>
      </c>
      <c r="AI840">
        <v>0.18</v>
      </c>
      <c r="AJ840">
        <v>4.4749913199305604</v>
      </c>
    </row>
    <row r="841" spans="1:36" x14ac:dyDescent="0.3">
      <c r="A841">
        <v>2016</v>
      </c>
      <c r="B841">
        <v>226</v>
      </c>
      <c r="C841" t="s">
        <v>401</v>
      </c>
      <c r="D841" t="s">
        <v>402</v>
      </c>
      <c r="E841" t="s">
        <v>403</v>
      </c>
      <c r="F841" t="s">
        <v>402</v>
      </c>
      <c r="G841">
        <v>42091.9</v>
      </c>
      <c r="H841">
        <v>-2.1</v>
      </c>
      <c r="I841">
        <v>1683.9</v>
      </c>
      <c r="J841">
        <v>-26.4</v>
      </c>
      <c r="K841">
        <v>40668.6</v>
      </c>
      <c r="L841">
        <v>12199.6</v>
      </c>
      <c r="M841">
        <v>0</v>
      </c>
      <c r="N841">
        <v>4</v>
      </c>
      <c r="O841">
        <v>4.0999999999999996</v>
      </c>
      <c r="P841">
        <v>13.8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76500</v>
      </c>
      <c r="Y841" t="s">
        <v>347</v>
      </c>
      <c r="Z841" t="s">
        <v>404</v>
      </c>
      <c r="AB841">
        <v>400001</v>
      </c>
      <c r="AC841" t="s">
        <v>405</v>
      </c>
      <c r="AD841" t="s">
        <v>406</v>
      </c>
      <c r="AE841" t="s">
        <v>407</v>
      </c>
      <c r="AF841">
        <v>12202.1739130435</v>
      </c>
      <c r="AG841">
        <v>2015</v>
      </c>
      <c r="AH841">
        <v>1.03499751651151</v>
      </c>
      <c r="AI841">
        <v>0.13800000000000001</v>
      </c>
      <c r="AJ841">
        <v>3.3328979155531799</v>
      </c>
    </row>
    <row r="842" spans="1:36" x14ac:dyDescent="0.3">
      <c r="A842">
        <v>2016</v>
      </c>
      <c r="B842">
        <v>84</v>
      </c>
      <c r="C842" t="s">
        <v>546</v>
      </c>
      <c r="D842" t="s">
        <v>547</v>
      </c>
      <c r="E842" t="s">
        <v>548</v>
      </c>
      <c r="F842" t="s">
        <v>547</v>
      </c>
      <c r="G842">
        <v>81320.2</v>
      </c>
      <c r="H842">
        <v>-4.0999999999999996</v>
      </c>
      <c r="I842">
        <v>5674.9</v>
      </c>
      <c r="J842">
        <v>-18.7</v>
      </c>
      <c r="K842">
        <v>141062.79999999999</v>
      </c>
      <c r="L842">
        <v>52907.9</v>
      </c>
      <c r="M842">
        <v>0</v>
      </c>
      <c r="N842">
        <v>7</v>
      </c>
      <c r="O842">
        <v>4</v>
      </c>
      <c r="P842">
        <v>10.7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129315</v>
      </c>
      <c r="Y842" t="s">
        <v>347</v>
      </c>
      <c r="Z842" t="s">
        <v>659</v>
      </c>
      <c r="AB842">
        <v>6797</v>
      </c>
      <c r="AC842" t="s">
        <v>551</v>
      </c>
      <c r="AD842" t="s">
        <v>660</v>
      </c>
      <c r="AE842" t="s">
        <v>553</v>
      </c>
      <c r="AF842">
        <v>53036.448598130803</v>
      </c>
      <c r="AG842">
        <v>2015</v>
      </c>
      <c r="AH842">
        <v>0.57648224762304501</v>
      </c>
      <c r="AI842">
        <v>0.107</v>
      </c>
      <c r="AJ842">
        <v>2.6597331406720799</v>
      </c>
    </row>
    <row r="843" spans="1:36" x14ac:dyDescent="0.3">
      <c r="A843">
        <v>2014</v>
      </c>
      <c r="B843">
        <v>337</v>
      </c>
      <c r="C843" t="s">
        <v>505</v>
      </c>
      <c r="D843" t="s">
        <v>506</v>
      </c>
      <c r="E843" t="s">
        <v>507</v>
      </c>
      <c r="F843" t="s">
        <v>506</v>
      </c>
      <c r="G843">
        <v>34835</v>
      </c>
      <c r="H843">
        <v>13</v>
      </c>
      <c r="I843">
        <v>1561</v>
      </c>
      <c r="J843">
        <v>8.9</v>
      </c>
      <c r="K843">
        <v>17990</v>
      </c>
      <c r="L843">
        <v>9623.0018999999993</v>
      </c>
      <c r="M843">
        <v>0</v>
      </c>
      <c r="N843">
        <v>4.5019</v>
      </c>
      <c r="O843">
        <v>8.7019000000000002</v>
      </c>
      <c r="P843">
        <v>16.201899999999998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125150</v>
      </c>
      <c r="Y843" t="s">
        <v>347</v>
      </c>
      <c r="Z843" t="s">
        <v>676</v>
      </c>
      <c r="AB843" t="s">
        <v>509</v>
      </c>
      <c r="AC843" t="s">
        <v>510</v>
      </c>
      <c r="AD843" t="s">
        <v>511</v>
      </c>
      <c r="AE843" t="s">
        <v>512</v>
      </c>
      <c r="AF843">
        <v>9634.6724766848292</v>
      </c>
      <c r="AG843">
        <v>2013</v>
      </c>
      <c r="AH843">
        <v>1.93635352973874</v>
      </c>
      <c r="AI843">
        <v>0.16200000000000001</v>
      </c>
      <c r="AJ843">
        <v>1.8672144843049301</v>
      </c>
    </row>
    <row r="844" spans="1:36" x14ac:dyDescent="0.3">
      <c r="A844">
        <v>2014</v>
      </c>
      <c r="B844">
        <v>287</v>
      </c>
      <c r="C844" t="s">
        <v>401</v>
      </c>
      <c r="D844" t="s">
        <v>402</v>
      </c>
      <c r="E844" t="s">
        <v>403</v>
      </c>
      <c r="F844" t="s">
        <v>402</v>
      </c>
      <c r="G844">
        <v>38502.300000000003</v>
      </c>
      <c r="H844">
        <v>10.9</v>
      </c>
      <c r="I844">
        <v>2313.6</v>
      </c>
      <c r="J844">
        <v>27.2</v>
      </c>
      <c r="K844">
        <v>36841.4</v>
      </c>
      <c r="L844">
        <v>10986.1019</v>
      </c>
      <c r="M844">
        <v>0</v>
      </c>
      <c r="N844">
        <v>6.0019</v>
      </c>
      <c r="O844">
        <v>6.3018999999999998</v>
      </c>
      <c r="P844">
        <v>21.101900000000001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60000</v>
      </c>
      <c r="Y844" t="s">
        <v>347</v>
      </c>
      <c r="Z844" t="s">
        <v>677</v>
      </c>
      <c r="AB844">
        <v>400001</v>
      </c>
      <c r="AC844" t="s">
        <v>405</v>
      </c>
      <c r="AD844" t="s">
        <v>521</v>
      </c>
      <c r="AE844" t="s">
        <v>407</v>
      </c>
      <c r="AF844">
        <v>10963.9416355873</v>
      </c>
      <c r="AG844">
        <v>2013</v>
      </c>
      <c r="AH844">
        <v>1.0450824344351699</v>
      </c>
      <c r="AI844">
        <v>0.21099999999999999</v>
      </c>
      <c r="AJ844">
        <v>3.36023313736169</v>
      </c>
    </row>
    <row r="845" spans="1:36" x14ac:dyDescent="0.3">
      <c r="A845">
        <v>2014</v>
      </c>
      <c r="B845">
        <v>258</v>
      </c>
      <c r="C845" t="s">
        <v>533</v>
      </c>
      <c r="D845" t="s">
        <v>534</v>
      </c>
      <c r="E845" t="s">
        <v>535</v>
      </c>
      <c r="F845" t="s">
        <v>534</v>
      </c>
      <c r="G845">
        <v>41863.1</v>
      </c>
      <c r="H845">
        <v>-6.7</v>
      </c>
      <c r="I845">
        <v>550.20000000000005</v>
      </c>
      <c r="J845">
        <v>-66.3</v>
      </c>
      <c r="K845">
        <v>53710.9</v>
      </c>
      <c r="L845">
        <v>11842.8019</v>
      </c>
      <c r="M845">
        <v>0</v>
      </c>
      <c r="N845">
        <v>1.3019000000000001</v>
      </c>
      <c r="O845">
        <v>1.0019</v>
      </c>
      <c r="P845">
        <v>4.6018999999999997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102930</v>
      </c>
      <c r="Y845" t="s">
        <v>347</v>
      </c>
      <c r="Z845" t="s">
        <v>674</v>
      </c>
      <c r="AB845">
        <v>40508</v>
      </c>
      <c r="AC845" t="s">
        <v>538</v>
      </c>
      <c r="AD845" t="s">
        <v>539</v>
      </c>
      <c r="AE845" t="s">
        <v>540</v>
      </c>
      <c r="AF845">
        <v>11955.9312457898</v>
      </c>
      <c r="AG845">
        <v>2013</v>
      </c>
      <c r="AH845">
        <v>0.77941535144635399</v>
      </c>
      <c r="AI845">
        <v>4.5999999999999999E-2</v>
      </c>
      <c r="AJ845">
        <v>4.4924062288258799</v>
      </c>
    </row>
    <row r="846" spans="1:36" x14ac:dyDescent="0.3">
      <c r="A846">
        <v>2014</v>
      </c>
      <c r="B846">
        <v>100</v>
      </c>
      <c r="C846" t="s">
        <v>546</v>
      </c>
      <c r="D846" t="s">
        <v>547</v>
      </c>
      <c r="E846" t="s">
        <v>548</v>
      </c>
      <c r="F846" t="s">
        <v>547</v>
      </c>
      <c r="G846">
        <v>79766.100000000006</v>
      </c>
      <c r="H846">
        <v>6.4</v>
      </c>
      <c r="I846">
        <v>7804</v>
      </c>
      <c r="J846">
        <v>2.7</v>
      </c>
      <c r="K846">
        <v>126441.9</v>
      </c>
      <c r="L846">
        <v>49214.401899999997</v>
      </c>
      <c r="M846">
        <v>0</v>
      </c>
      <c r="N846">
        <v>9.8018999999999998</v>
      </c>
      <c r="O846">
        <v>6.2019000000000002</v>
      </c>
      <c r="P846">
        <v>15.901899999999999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104731</v>
      </c>
      <c r="Y846" t="s">
        <v>347</v>
      </c>
      <c r="Z846" t="s">
        <v>678</v>
      </c>
      <c r="AB846" t="s">
        <v>550</v>
      </c>
      <c r="AC846" t="s">
        <v>551</v>
      </c>
      <c r="AD846" t="s">
        <v>552</v>
      </c>
      <c r="AE846" t="s">
        <v>553</v>
      </c>
      <c r="AF846">
        <v>49075.896590973403</v>
      </c>
      <c r="AG846">
        <v>2013</v>
      </c>
      <c r="AH846">
        <v>0.63085179833583604</v>
      </c>
      <c r="AI846">
        <v>0.159</v>
      </c>
      <c r="AJ846">
        <v>2.5764562398897999</v>
      </c>
    </row>
    <row r="847" spans="1:36" x14ac:dyDescent="0.3">
      <c r="A847">
        <v>2014</v>
      </c>
      <c r="B847">
        <v>24</v>
      </c>
      <c r="C847" t="s">
        <v>679</v>
      </c>
      <c r="D847" t="s">
        <v>680</v>
      </c>
      <c r="E847" t="s">
        <v>681</v>
      </c>
      <c r="F847" t="s">
        <v>680</v>
      </c>
      <c r="G847">
        <v>150996.9</v>
      </c>
      <c r="H847">
        <v>6.2</v>
      </c>
      <c r="I847">
        <v>2768</v>
      </c>
      <c r="J847">
        <v>441.2</v>
      </c>
      <c r="K847">
        <v>182806.5</v>
      </c>
      <c r="L847">
        <v>9571.6018999999997</v>
      </c>
      <c r="M847">
        <v>0</v>
      </c>
      <c r="N847">
        <v>1.8019000000000001</v>
      </c>
      <c r="O847">
        <v>1.5019</v>
      </c>
      <c r="P847">
        <v>28.901900000000001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305963</v>
      </c>
      <c r="Y847" t="s">
        <v>347</v>
      </c>
      <c r="Z847" t="s">
        <v>682</v>
      </c>
      <c r="AB847">
        <v>10126</v>
      </c>
      <c r="AC847" t="s">
        <v>683</v>
      </c>
      <c r="AD847" t="s">
        <v>684</v>
      </c>
      <c r="AE847" t="s">
        <v>685</v>
      </c>
      <c r="AF847">
        <v>9577.2250267283507</v>
      </c>
      <c r="AG847">
        <v>2013</v>
      </c>
      <c r="AH847">
        <v>0.82599305823370595</v>
      </c>
      <c r="AI847">
        <v>0.28899999999999998</v>
      </c>
      <c r="AJ847">
        <v>19.0876271038656</v>
      </c>
    </row>
    <row r="848" spans="1:36" x14ac:dyDescent="0.3">
      <c r="A848">
        <v>2012</v>
      </c>
      <c r="B848">
        <v>323</v>
      </c>
      <c r="C848" t="s">
        <v>668</v>
      </c>
      <c r="D848" t="s">
        <v>547</v>
      </c>
      <c r="E848" t="s">
        <v>548</v>
      </c>
      <c r="F848" t="s">
        <v>547</v>
      </c>
      <c r="G848">
        <v>32971.800000000003</v>
      </c>
      <c r="H848">
        <v>-0.7</v>
      </c>
      <c r="I848">
        <v>2617.8000000000002</v>
      </c>
      <c r="J848">
        <v>-3.1</v>
      </c>
      <c r="K848">
        <v>34540.9</v>
      </c>
      <c r="L848">
        <v>23596</v>
      </c>
      <c r="M848">
        <v>0</v>
      </c>
      <c r="N848">
        <v>7.9</v>
      </c>
      <c r="O848">
        <v>7.6</v>
      </c>
      <c r="P848">
        <v>11.1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29499</v>
      </c>
      <c r="Y848" t="s">
        <v>347</v>
      </c>
      <c r="Z848" t="s">
        <v>686</v>
      </c>
      <c r="AB848">
        <v>6141</v>
      </c>
      <c r="AC848" t="s">
        <v>670</v>
      </c>
      <c r="AD848" t="s">
        <v>282</v>
      </c>
      <c r="AE848" t="s">
        <v>671</v>
      </c>
      <c r="AF848">
        <v>23583.783783783801</v>
      </c>
      <c r="AG848">
        <v>2011</v>
      </c>
      <c r="AH848">
        <v>0.95457269497899599</v>
      </c>
      <c r="AI848">
        <v>0.111</v>
      </c>
      <c r="AJ848">
        <v>1.4646038276415301</v>
      </c>
    </row>
    <row r="849" spans="1:36" x14ac:dyDescent="0.3">
      <c r="A849">
        <v>2012</v>
      </c>
      <c r="B849">
        <v>301</v>
      </c>
      <c r="C849" t="s">
        <v>533</v>
      </c>
      <c r="D849" t="s">
        <v>534</v>
      </c>
      <c r="E849" t="s">
        <v>535</v>
      </c>
      <c r="F849" t="s">
        <v>534</v>
      </c>
      <c r="G849">
        <v>35268.6</v>
      </c>
      <c r="H849">
        <v>-4.8</v>
      </c>
      <c r="I849">
        <v>1535.8</v>
      </c>
      <c r="J849">
        <v>-14</v>
      </c>
      <c r="K849">
        <v>43924.3</v>
      </c>
      <c r="L849">
        <v>10577.2</v>
      </c>
      <c r="M849">
        <v>0</v>
      </c>
      <c r="N849">
        <v>4.4000000000000004</v>
      </c>
      <c r="O849">
        <v>3.5</v>
      </c>
      <c r="P849">
        <v>14.5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89477</v>
      </c>
      <c r="Y849" t="s">
        <v>347</v>
      </c>
      <c r="Z849" t="s">
        <v>687</v>
      </c>
      <c r="AB849">
        <v>417015</v>
      </c>
      <c r="AC849" t="s">
        <v>538</v>
      </c>
      <c r="AD849" t="s">
        <v>688</v>
      </c>
      <c r="AE849" t="s">
        <v>540</v>
      </c>
      <c r="AF849">
        <v>10591.724137931</v>
      </c>
      <c r="AG849">
        <v>2011</v>
      </c>
      <c r="AH849">
        <v>0.80294051356538398</v>
      </c>
      <c r="AI849">
        <v>0.14499999999999999</v>
      </c>
      <c r="AJ849">
        <v>4.1470396536007303</v>
      </c>
    </row>
    <row r="850" spans="1:36" x14ac:dyDescent="0.3">
      <c r="A850">
        <v>2012</v>
      </c>
      <c r="B850">
        <v>290</v>
      </c>
      <c r="C850" t="s">
        <v>505</v>
      </c>
      <c r="D850" t="s">
        <v>506</v>
      </c>
      <c r="E850" t="s">
        <v>507</v>
      </c>
      <c r="F850" t="s">
        <v>506</v>
      </c>
      <c r="G850">
        <v>36445</v>
      </c>
      <c r="H850">
        <v>7.6</v>
      </c>
      <c r="I850">
        <v>2031</v>
      </c>
      <c r="J850">
        <v>0.9</v>
      </c>
      <c r="K850">
        <v>22566</v>
      </c>
      <c r="L850">
        <v>9768</v>
      </c>
      <c r="M850">
        <v>0</v>
      </c>
      <c r="N850">
        <v>5.6</v>
      </c>
      <c r="O850">
        <v>9</v>
      </c>
      <c r="P850">
        <v>20.8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155450</v>
      </c>
      <c r="Y850" t="s">
        <v>347</v>
      </c>
      <c r="Z850" t="s">
        <v>676</v>
      </c>
      <c r="AB850" t="s">
        <v>509</v>
      </c>
      <c r="AC850" t="s">
        <v>510</v>
      </c>
      <c r="AD850" t="s">
        <v>511</v>
      </c>
      <c r="AE850" t="s">
        <v>512</v>
      </c>
      <c r="AF850">
        <v>9764.4230769230799</v>
      </c>
      <c r="AG850">
        <v>2011</v>
      </c>
      <c r="AH850">
        <v>1.61504032615439</v>
      </c>
      <c r="AI850">
        <v>0.20799999999999999</v>
      </c>
      <c r="AJ850">
        <v>2.3110428360413602</v>
      </c>
    </row>
    <row r="851" spans="1:36" x14ac:dyDescent="0.3">
      <c r="A851">
        <v>2012</v>
      </c>
      <c r="B851">
        <v>247</v>
      </c>
      <c r="C851" t="s">
        <v>401</v>
      </c>
      <c r="D851" t="s">
        <v>402</v>
      </c>
      <c r="E851" t="s">
        <v>403</v>
      </c>
      <c r="F851" t="s">
        <v>402</v>
      </c>
      <c r="G851">
        <v>40329.199999999997</v>
      </c>
      <c r="H851">
        <v>-4.2</v>
      </c>
      <c r="I851">
        <v>1111.5999999999999</v>
      </c>
      <c r="J851">
        <v>-34</v>
      </c>
      <c r="K851">
        <v>42161.5</v>
      </c>
      <c r="L851">
        <v>8942.2000000000007</v>
      </c>
      <c r="M851">
        <v>0</v>
      </c>
      <c r="N851">
        <v>2.8</v>
      </c>
      <c r="O851">
        <v>2.6</v>
      </c>
      <c r="P851">
        <v>12.4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79558</v>
      </c>
      <c r="Y851" t="s">
        <v>347</v>
      </c>
      <c r="Z851" t="s">
        <v>677</v>
      </c>
      <c r="AB851">
        <v>400001</v>
      </c>
      <c r="AC851" t="s">
        <v>405</v>
      </c>
      <c r="AD851" t="s">
        <v>521</v>
      </c>
      <c r="AE851" t="s">
        <v>407</v>
      </c>
      <c r="AF851">
        <v>8964.5161290322594</v>
      </c>
      <c r="AG851">
        <v>2011</v>
      </c>
      <c r="AH851">
        <v>0.95654092003367996</v>
      </c>
      <c r="AI851">
        <v>0.124</v>
      </c>
      <c r="AJ851">
        <v>4.70315401223462</v>
      </c>
    </row>
    <row r="852" spans="1:36" x14ac:dyDescent="0.3">
      <c r="A852">
        <v>2012</v>
      </c>
      <c r="B852">
        <v>209</v>
      </c>
      <c r="C852" t="s">
        <v>672</v>
      </c>
      <c r="D852" t="s">
        <v>547</v>
      </c>
      <c r="E852" t="s">
        <v>548</v>
      </c>
      <c r="F852" t="s">
        <v>547</v>
      </c>
      <c r="G852">
        <v>45425</v>
      </c>
      <c r="H852">
        <v>3.7</v>
      </c>
      <c r="I852">
        <v>2373.8000000000002</v>
      </c>
      <c r="J852">
        <v>2</v>
      </c>
      <c r="K852">
        <v>42140.800000000003</v>
      </c>
      <c r="L852">
        <v>22010.1</v>
      </c>
      <c r="M852">
        <v>0</v>
      </c>
      <c r="N852">
        <v>5.2</v>
      </c>
      <c r="O852">
        <v>5.6</v>
      </c>
      <c r="P852">
        <v>10.8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51357</v>
      </c>
      <c r="Y852" t="s">
        <v>347</v>
      </c>
      <c r="Z852" t="s">
        <v>678</v>
      </c>
      <c r="AB852">
        <v>801</v>
      </c>
      <c r="AC852" t="s">
        <v>551</v>
      </c>
      <c r="AD852" t="s">
        <v>282</v>
      </c>
      <c r="AE852" t="s">
        <v>673</v>
      </c>
      <c r="AF852">
        <v>21979.629629629599</v>
      </c>
      <c r="AG852">
        <v>2011</v>
      </c>
      <c r="AH852">
        <v>1.0779339737261799</v>
      </c>
      <c r="AI852">
        <v>0.108</v>
      </c>
      <c r="AJ852">
        <v>1.91726615553122</v>
      </c>
    </row>
    <row r="853" spans="1:36" x14ac:dyDescent="0.3">
      <c r="A853">
        <v>2012</v>
      </c>
      <c r="B853">
        <v>78</v>
      </c>
      <c r="C853" t="s">
        <v>546</v>
      </c>
      <c r="D853" t="s">
        <v>547</v>
      </c>
      <c r="E853" t="s">
        <v>548</v>
      </c>
      <c r="F853" t="s">
        <v>547</v>
      </c>
      <c r="G853">
        <v>80701.399999999994</v>
      </c>
      <c r="H853">
        <v>-0.8</v>
      </c>
      <c r="I853">
        <v>4659</v>
      </c>
      <c r="J853">
        <v>-17.899999999999999</v>
      </c>
      <c r="K853">
        <v>148092</v>
      </c>
      <c r="L853">
        <v>55639</v>
      </c>
      <c r="M853">
        <v>0</v>
      </c>
      <c r="N853">
        <v>5.8</v>
      </c>
      <c r="O853">
        <v>3.1</v>
      </c>
      <c r="P853">
        <v>8.4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129315</v>
      </c>
      <c r="Y853" t="s">
        <v>347</v>
      </c>
      <c r="Z853" t="s">
        <v>678</v>
      </c>
      <c r="AB853">
        <v>6797</v>
      </c>
      <c r="AC853" t="s">
        <v>551</v>
      </c>
      <c r="AD853" t="s">
        <v>552</v>
      </c>
      <c r="AE853" t="s">
        <v>553</v>
      </c>
      <c r="AF853">
        <v>55464.285714285703</v>
      </c>
      <c r="AG853">
        <v>2011</v>
      </c>
      <c r="AH853">
        <v>0.54494098263241797</v>
      </c>
      <c r="AI853">
        <v>8.4000000000000005E-2</v>
      </c>
      <c r="AJ853">
        <v>2.67004249839021</v>
      </c>
    </row>
    <row r="854" spans="1:36" x14ac:dyDescent="0.3">
      <c r="A854">
        <v>2023</v>
      </c>
      <c r="B854">
        <v>337</v>
      </c>
      <c r="C854" t="s">
        <v>401</v>
      </c>
      <c r="D854" t="s">
        <v>402</v>
      </c>
      <c r="E854" t="s">
        <v>403</v>
      </c>
      <c r="F854" t="s">
        <v>402</v>
      </c>
      <c r="G854">
        <v>43661.3</v>
      </c>
      <c r="H854">
        <v>15.5</v>
      </c>
      <c r="I854">
        <v>300.7</v>
      </c>
      <c r="J854">
        <v>0</v>
      </c>
      <c r="K854">
        <v>40935.599999999999</v>
      </c>
      <c r="L854">
        <v>5520.3</v>
      </c>
      <c r="M854">
        <v>0</v>
      </c>
      <c r="N854">
        <v>0.7</v>
      </c>
      <c r="O854">
        <v>0.7</v>
      </c>
      <c r="P854">
        <v>5.4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81811</v>
      </c>
      <c r="Y854" t="s">
        <v>347</v>
      </c>
      <c r="Z854" t="s">
        <v>404</v>
      </c>
      <c r="AB854">
        <v>400001</v>
      </c>
      <c r="AC854" t="s">
        <v>405</v>
      </c>
      <c r="AE854" t="s">
        <v>407</v>
      </c>
      <c r="AF854">
        <v>5568.5185185185201</v>
      </c>
      <c r="AG854">
        <v>2022</v>
      </c>
      <c r="AH854">
        <v>1.0665850750935599</v>
      </c>
      <c r="AI854">
        <v>5.3999999999999999E-2</v>
      </c>
      <c r="AJ854">
        <v>7.3512550714998302</v>
      </c>
    </row>
    <row r="855" spans="1:36" x14ac:dyDescent="0.3">
      <c r="A855">
        <v>2022</v>
      </c>
      <c r="B855">
        <v>310</v>
      </c>
      <c r="C855" t="s">
        <v>689</v>
      </c>
      <c r="D855" t="s">
        <v>395</v>
      </c>
      <c r="E855" t="s">
        <v>690</v>
      </c>
      <c r="F855" t="s">
        <v>395</v>
      </c>
      <c r="G855">
        <v>45298.7</v>
      </c>
      <c r="H855">
        <v>21.9</v>
      </c>
      <c r="I855">
        <v>780.3</v>
      </c>
      <c r="J855">
        <v>0</v>
      </c>
      <c r="K855">
        <v>43614.2</v>
      </c>
      <c r="L855">
        <v>7534.9</v>
      </c>
      <c r="M855">
        <v>0</v>
      </c>
      <c r="N855">
        <v>1.7</v>
      </c>
      <c r="O855">
        <v>1.8</v>
      </c>
      <c r="P855">
        <v>10.4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157549</v>
      </c>
      <c r="Y855" t="s">
        <v>347</v>
      </c>
      <c r="Z855" t="s">
        <v>691</v>
      </c>
      <c r="AB855">
        <v>88046</v>
      </c>
      <c r="AC855" t="s">
        <v>692</v>
      </c>
      <c r="AE855" t="s">
        <v>693</v>
      </c>
      <c r="AF855">
        <v>7502.8846153846098</v>
      </c>
      <c r="AG855">
        <v>2021</v>
      </c>
      <c r="AH855">
        <v>1.0386227421344401</v>
      </c>
      <c r="AI855">
        <v>0.104</v>
      </c>
      <c r="AJ855">
        <v>5.8129909009355396</v>
      </c>
    </row>
    <row r="856" spans="1:36" x14ac:dyDescent="0.3">
      <c r="A856">
        <v>2015</v>
      </c>
      <c r="B856">
        <v>128</v>
      </c>
      <c r="C856" t="s">
        <v>452</v>
      </c>
      <c r="D856" t="s">
        <v>409</v>
      </c>
      <c r="E856" t="s">
        <v>694</v>
      </c>
      <c r="F856" t="s">
        <v>409</v>
      </c>
      <c r="G856">
        <v>71111.3</v>
      </c>
      <c r="H856">
        <v>-1</v>
      </c>
      <c r="I856">
        <v>-936.5</v>
      </c>
      <c r="J856">
        <v>0</v>
      </c>
      <c r="K856">
        <v>74061.7</v>
      </c>
      <c r="L856">
        <v>11217.2</v>
      </c>
      <c r="M856">
        <v>0</v>
      </c>
      <c r="N856">
        <v>-1.31694962685255</v>
      </c>
      <c r="O856">
        <v>-1.26448623242513</v>
      </c>
      <c r="P856">
        <v>-8.3487857932460905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189786</v>
      </c>
      <c r="Y856" t="s">
        <v>347</v>
      </c>
      <c r="Z856" t="s">
        <v>458</v>
      </c>
      <c r="AB856">
        <v>75116</v>
      </c>
      <c r="AC856" t="s">
        <v>455</v>
      </c>
      <c r="AE856" t="s">
        <v>457</v>
      </c>
      <c r="AF856">
        <v>11217.2</v>
      </c>
      <c r="AG856">
        <v>2014</v>
      </c>
      <c r="AH856">
        <v>0.96016294521999901</v>
      </c>
      <c r="AI856">
        <v>-8.3500000000000005E-2</v>
      </c>
      <c r="AJ856">
        <v>6.6025122133865803</v>
      </c>
    </row>
    <row r="857" spans="1:36" x14ac:dyDescent="0.3">
      <c r="A857">
        <v>2013</v>
      </c>
      <c r="B857">
        <v>426</v>
      </c>
      <c r="C857" t="s">
        <v>668</v>
      </c>
      <c r="D857" t="s">
        <v>547</v>
      </c>
      <c r="E857" t="s">
        <v>548</v>
      </c>
      <c r="F857" t="s">
        <v>547</v>
      </c>
      <c r="G857">
        <v>27336.799999999999</v>
      </c>
      <c r="H857">
        <v>15.2</v>
      </c>
      <c r="I857">
        <v>3159.5</v>
      </c>
      <c r="J857">
        <v>0</v>
      </c>
      <c r="K857">
        <v>28069.5</v>
      </c>
      <c r="L857">
        <v>15791.9</v>
      </c>
      <c r="M857">
        <v>0</v>
      </c>
      <c r="N857">
        <v>11.6</v>
      </c>
      <c r="O857">
        <v>11.2561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19172</v>
      </c>
      <c r="Y857" t="s">
        <v>347</v>
      </c>
      <c r="Z857" t="s">
        <v>695</v>
      </c>
      <c r="AB857" t="s">
        <v>696</v>
      </c>
      <c r="AC857" t="s">
        <v>670</v>
      </c>
      <c r="AE857" t="s">
        <v>671</v>
      </c>
      <c r="AF857" t="s">
        <v>329</v>
      </c>
      <c r="AG857">
        <v>2012</v>
      </c>
      <c r="AH857">
        <v>0.97389693439498404</v>
      </c>
      <c r="AI857">
        <v>0</v>
      </c>
      <c r="AJ857">
        <v>0</v>
      </c>
    </row>
    <row r="858" spans="1:36" x14ac:dyDescent="0.3">
      <c r="A858">
        <v>2015</v>
      </c>
      <c r="B858">
        <v>488</v>
      </c>
      <c r="C858" t="s">
        <v>689</v>
      </c>
      <c r="D858" t="s">
        <v>395</v>
      </c>
      <c r="E858" t="s">
        <v>697</v>
      </c>
      <c r="F858" t="s">
        <v>395</v>
      </c>
      <c r="G858">
        <v>24428</v>
      </c>
      <c r="H858">
        <v>9.3000000000000007</v>
      </c>
      <c r="I858">
        <v>859.6</v>
      </c>
      <c r="J858">
        <v>48.2</v>
      </c>
      <c r="K858">
        <v>16198.4</v>
      </c>
      <c r="L858">
        <v>5275.3</v>
      </c>
      <c r="M858">
        <v>0</v>
      </c>
      <c r="N858">
        <v>3.5189127231046302</v>
      </c>
      <c r="O858">
        <v>5.3066969577242196</v>
      </c>
      <c r="P858">
        <v>16.294807878224901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71402</v>
      </c>
      <c r="Y858" t="s">
        <v>347</v>
      </c>
      <c r="Z858" t="s">
        <v>698</v>
      </c>
      <c r="AB858">
        <v>88046</v>
      </c>
      <c r="AC858" t="s">
        <v>692</v>
      </c>
      <c r="AE858" t="s">
        <v>693</v>
      </c>
      <c r="AF858">
        <v>5275.3</v>
      </c>
      <c r="AG858">
        <v>2014</v>
      </c>
      <c r="AH858">
        <v>1.5080501777953399</v>
      </c>
      <c r="AI858">
        <v>0.16289999999999999</v>
      </c>
      <c r="AJ858">
        <v>3.0706120978901699</v>
      </c>
    </row>
    <row r="859" spans="1:36" x14ac:dyDescent="0.3">
      <c r="A859">
        <v>2015</v>
      </c>
      <c r="B859">
        <v>458</v>
      </c>
      <c r="C859" t="s">
        <v>499</v>
      </c>
      <c r="D859" t="s">
        <v>409</v>
      </c>
      <c r="E859" t="s">
        <v>699</v>
      </c>
      <c r="F859" t="s">
        <v>409</v>
      </c>
      <c r="G859">
        <v>25937.599999999999</v>
      </c>
      <c r="H859">
        <v>-3.5</v>
      </c>
      <c r="I859">
        <v>1367.7</v>
      </c>
      <c r="J859">
        <v>-8.6</v>
      </c>
      <c r="K859">
        <v>27130.1</v>
      </c>
      <c r="L859">
        <v>11507.6</v>
      </c>
      <c r="M859">
        <v>0</v>
      </c>
      <c r="N859">
        <v>5.2730399111714297</v>
      </c>
      <c r="O859">
        <v>5.0412641309836701</v>
      </c>
      <c r="P859">
        <v>11.8851889186277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106696</v>
      </c>
      <c r="Y859" t="s">
        <v>347</v>
      </c>
      <c r="Z859" t="s">
        <v>588</v>
      </c>
      <c r="AB859">
        <v>63000</v>
      </c>
      <c r="AC859" t="s">
        <v>502</v>
      </c>
      <c r="AE859" t="s">
        <v>504</v>
      </c>
      <c r="AF859">
        <v>11507.6</v>
      </c>
      <c r="AG859">
        <v>2014</v>
      </c>
      <c r="AH859">
        <v>0.95604513068510599</v>
      </c>
      <c r="AI859">
        <v>0.11890000000000001</v>
      </c>
      <c r="AJ859">
        <v>2.3575810768535601</v>
      </c>
    </row>
    <row r="860" spans="1:36" x14ac:dyDescent="0.3">
      <c r="A860">
        <v>2015</v>
      </c>
      <c r="B860">
        <v>452</v>
      </c>
      <c r="C860" t="s">
        <v>483</v>
      </c>
      <c r="D860" t="s">
        <v>429</v>
      </c>
      <c r="E860" t="s">
        <v>700</v>
      </c>
      <c r="F860" t="s">
        <v>429</v>
      </c>
      <c r="G860">
        <v>26175.1</v>
      </c>
      <c r="H860">
        <v>8.9</v>
      </c>
      <c r="I860">
        <v>2381.8000000000002</v>
      </c>
      <c r="J860">
        <v>15.5</v>
      </c>
      <c r="K860">
        <v>18344.7</v>
      </c>
      <c r="L860">
        <v>8422.1</v>
      </c>
      <c r="M860">
        <v>0</v>
      </c>
      <c r="N860">
        <v>9.0994876810403795</v>
      </c>
      <c r="O860">
        <v>12.9835865399816</v>
      </c>
      <c r="P860">
        <v>28.280357630519699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29774</v>
      </c>
      <c r="Y860" t="s">
        <v>347</v>
      </c>
      <c r="Z860" t="s">
        <v>498</v>
      </c>
      <c r="AB860" t="s">
        <v>477</v>
      </c>
      <c r="AC860" t="s">
        <v>478</v>
      </c>
      <c r="AE860" t="s">
        <v>484</v>
      </c>
      <c r="AF860">
        <v>8422.1</v>
      </c>
      <c r="AG860">
        <v>2014</v>
      </c>
      <c r="AH860">
        <v>1.42684808146222</v>
      </c>
      <c r="AI860">
        <v>0.2828</v>
      </c>
      <c r="AJ860">
        <v>2.1781622160743801</v>
      </c>
    </row>
    <row r="861" spans="1:36" x14ac:dyDescent="0.3">
      <c r="A861">
        <v>2015</v>
      </c>
      <c r="B861">
        <v>442</v>
      </c>
      <c r="C861" t="s">
        <v>641</v>
      </c>
      <c r="D861" t="s">
        <v>429</v>
      </c>
      <c r="E861" t="s">
        <v>701</v>
      </c>
      <c r="F861" t="s">
        <v>429</v>
      </c>
      <c r="G861">
        <v>26957.8</v>
      </c>
      <c r="H861">
        <v>-4.3</v>
      </c>
      <c r="I861">
        <v>703.2</v>
      </c>
      <c r="J861">
        <v>-21.8</v>
      </c>
      <c r="K861">
        <v>24436.7</v>
      </c>
      <c r="L861">
        <v>7592.4</v>
      </c>
      <c r="M861">
        <v>0</v>
      </c>
      <c r="N861">
        <v>2.6085214668852799</v>
      </c>
      <c r="O861">
        <v>2.8776389610708502</v>
      </c>
      <c r="P861">
        <v>9.2618934724197892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94748</v>
      </c>
      <c r="Y861" t="s">
        <v>347</v>
      </c>
      <c r="Z861" t="s">
        <v>644</v>
      </c>
      <c r="AB861" t="s">
        <v>620</v>
      </c>
      <c r="AC861" t="s">
        <v>621</v>
      </c>
      <c r="AE861" t="s">
        <v>623</v>
      </c>
      <c r="AF861">
        <v>7592.4</v>
      </c>
      <c r="AG861">
        <v>2014</v>
      </c>
      <c r="AH861">
        <v>1.10316859477753</v>
      </c>
      <c r="AI861">
        <v>9.2600000000000002E-2</v>
      </c>
      <c r="AJ861">
        <v>3.21857383699489</v>
      </c>
    </row>
    <row r="862" spans="1:36" x14ac:dyDescent="0.3">
      <c r="A862">
        <v>2015</v>
      </c>
      <c r="B862">
        <v>436</v>
      </c>
      <c r="C862" t="s">
        <v>513</v>
      </c>
      <c r="D862" t="s">
        <v>429</v>
      </c>
      <c r="E862" t="s">
        <v>702</v>
      </c>
      <c r="F862" t="s">
        <v>429</v>
      </c>
      <c r="G862">
        <v>27426.2</v>
      </c>
      <c r="H862">
        <v>-6.5</v>
      </c>
      <c r="I862">
        <v>881</v>
      </c>
      <c r="J862">
        <v>-17.899999999999999</v>
      </c>
      <c r="K862">
        <v>27127</v>
      </c>
      <c r="L862">
        <v>11381.5</v>
      </c>
      <c r="M862">
        <v>0</v>
      </c>
      <c r="N862">
        <v>3.2122568930438802</v>
      </c>
      <c r="O862">
        <v>3.2476868065027502</v>
      </c>
      <c r="P862">
        <v>7.7406317269252698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57409</v>
      </c>
      <c r="Y862" t="s">
        <v>347</v>
      </c>
      <c r="Z862" t="s">
        <v>646</v>
      </c>
      <c r="AB862" t="s">
        <v>516</v>
      </c>
      <c r="AC862" t="s">
        <v>517</v>
      </c>
      <c r="AE862" t="s">
        <v>519</v>
      </c>
      <c r="AF862">
        <v>11381.5</v>
      </c>
      <c r="AG862">
        <v>2014</v>
      </c>
      <c r="AH862">
        <v>1.0110296015040401</v>
      </c>
      <c r="AI862">
        <v>7.7399999999999997E-2</v>
      </c>
      <c r="AJ862">
        <v>2.3834292492202298</v>
      </c>
    </row>
    <row r="863" spans="1:36" x14ac:dyDescent="0.3">
      <c r="A863">
        <v>2015</v>
      </c>
      <c r="B863">
        <v>429</v>
      </c>
      <c r="C863" t="s">
        <v>460</v>
      </c>
      <c r="D863" t="s">
        <v>429</v>
      </c>
      <c r="E863" t="s">
        <v>703</v>
      </c>
      <c r="F863" t="s">
        <v>429</v>
      </c>
      <c r="G863">
        <v>27593.9</v>
      </c>
      <c r="H863">
        <v>2.7</v>
      </c>
      <c r="I863">
        <v>1444.4</v>
      </c>
      <c r="J863">
        <v>6.6</v>
      </c>
      <c r="K863">
        <v>20626.2</v>
      </c>
      <c r="L863">
        <v>6233.7</v>
      </c>
      <c r="M863">
        <v>0</v>
      </c>
      <c r="N863">
        <v>5.2344902315366797</v>
      </c>
      <c r="O863">
        <v>7.0027440827685199</v>
      </c>
      <c r="P863">
        <v>23.170829523397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44035</v>
      </c>
      <c r="Y863" t="s">
        <v>347</v>
      </c>
      <c r="Z863" t="s">
        <v>704</v>
      </c>
      <c r="AB863" t="s">
        <v>463</v>
      </c>
      <c r="AC863" t="s">
        <v>464</v>
      </c>
      <c r="AE863" t="s">
        <v>466</v>
      </c>
      <c r="AF863">
        <v>6233.7</v>
      </c>
      <c r="AG863">
        <v>2014</v>
      </c>
      <c r="AH863">
        <v>1.33780822449118</v>
      </c>
      <c r="AI863">
        <v>0.23169999999999999</v>
      </c>
      <c r="AJ863">
        <v>3.3088214062274401</v>
      </c>
    </row>
    <row r="864" spans="1:36" x14ac:dyDescent="0.3">
      <c r="A864">
        <v>2015</v>
      </c>
      <c r="B864">
        <v>347</v>
      </c>
      <c r="C864" t="s">
        <v>668</v>
      </c>
      <c r="D864" t="s">
        <v>547</v>
      </c>
      <c r="E864" t="s">
        <v>705</v>
      </c>
      <c r="F864" t="s">
        <v>547</v>
      </c>
      <c r="G864">
        <v>34366.9</v>
      </c>
      <c r="H864">
        <v>10</v>
      </c>
      <c r="I864">
        <v>3250.5</v>
      </c>
      <c r="J864">
        <v>4</v>
      </c>
      <c r="K864">
        <v>35588.6</v>
      </c>
      <c r="L864">
        <v>21076.1</v>
      </c>
      <c r="M864">
        <v>0</v>
      </c>
      <c r="N864">
        <v>9.4582287026179195</v>
      </c>
      <c r="O864">
        <v>9.1335427636939901</v>
      </c>
      <c r="P864">
        <v>15.422682564611099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22842</v>
      </c>
      <c r="Y864" t="s">
        <v>347</v>
      </c>
      <c r="Z864" t="s">
        <v>686</v>
      </c>
      <c r="AB864" t="s">
        <v>696</v>
      </c>
      <c r="AC864" t="s">
        <v>670</v>
      </c>
      <c r="AE864" t="s">
        <v>671</v>
      </c>
      <c r="AF864">
        <v>21076.1</v>
      </c>
      <c r="AG864">
        <v>2014</v>
      </c>
      <c r="AH864">
        <v>0.96567159146468295</v>
      </c>
      <c r="AI864">
        <v>0.1542</v>
      </c>
      <c r="AJ864">
        <v>1.6885761597259501</v>
      </c>
    </row>
    <row r="865" spans="1:36" x14ac:dyDescent="0.3">
      <c r="A865">
        <v>2015</v>
      </c>
      <c r="B865">
        <v>340</v>
      </c>
      <c r="C865" t="s">
        <v>436</v>
      </c>
      <c r="D865" t="s">
        <v>429</v>
      </c>
      <c r="E865" t="s">
        <v>700</v>
      </c>
      <c r="F865" t="s">
        <v>429</v>
      </c>
      <c r="G865">
        <v>34711.5</v>
      </c>
      <c r="H865">
        <v>-5.0999999999999996</v>
      </c>
      <c r="I865">
        <v>2840</v>
      </c>
      <c r="J865">
        <v>37.1</v>
      </c>
      <c r="K865">
        <v>33040.6</v>
      </c>
      <c r="L865">
        <v>16982.900000000001</v>
      </c>
      <c r="M865">
        <v>0</v>
      </c>
      <c r="N865">
        <v>8.1817265171484994</v>
      </c>
      <c r="O865">
        <v>8.5954855541364292</v>
      </c>
      <c r="P865">
        <v>16.722703425210099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144632</v>
      </c>
      <c r="Y865" t="s">
        <v>347</v>
      </c>
      <c r="Z865" t="s">
        <v>497</v>
      </c>
      <c r="AB865" t="s">
        <v>439</v>
      </c>
      <c r="AC865" t="s">
        <v>485</v>
      </c>
      <c r="AE865" t="s">
        <v>442</v>
      </c>
      <c r="AF865">
        <v>16982.900000000001</v>
      </c>
      <c r="AG865">
        <v>2014</v>
      </c>
      <c r="AH865">
        <v>1.05057111553664</v>
      </c>
      <c r="AI865">
        <v>0.16719999999999999</v>
      </c>
      <c r="AJ865">
        <v>1.94552167179928</v>
      </c>
    </row>
    <row r="866" spans="1:36" x14ac:dyDescent="0.3">
      <c r="A866">
        <v>2015</v>
      </c>
      <c r="B866">
        <v>318</v>
      </c>
      <c r="C866" t="s">
        <v>505</v>
      </c>
      <c r="D866" t="s">
        <v>506</v>
      </c>
      <c r="E866" t="s">
        <v>706</v>
      </c>
      <c r="F866" t="s">
        <v>506</v>
      </c>
      <c r="G866">
        <v>36641</v>
      </c>
      <c r="H866">
        <v>5.2</v>
      </c>
      <c r="I866">
        <v>1882</v>
      </c>
      <c r="J866">
        <v>20.6</v>
      </c>
      <c r="K866">
        <v>18139</v>
      </c>
      <c r="L866">
        <v>8659</v>
      </c>
      <c r="M866">
        <v>0</v>
      </c>
      <c r="N866">
        <v>5.1363226986162998</v>
      </c>
      <c r="O866">
        <v>10.3754341474172</v>
      </c>
      <c r="P866">
        <v>21.7346113869962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131225</v>
      </c>
      <c r="Y866" t="s">
        <v>347</v>
      </c>
      <c r="Z866" t="s">
        <v>676</v>
      </c>
      <c r="AB866" t="s">
        <v>707</v>
      </c>
      <c r="AC866" t="s">
        <v>510</v>
      </c>
      <c r="AE866" t="s">
        <v>512</v>
      </c>
      <c r="AF866">
        <v>8659</v>
      </c>
      <c r="AG866">
        <v>2014</v>
      </c>
      <c r="AH866">
        <v>2.0200121285627701</v>
      </c>
      <c r="AI866">
        <v>0.21729999999999999</v>
      </c>
      <c r="AJ866">
        <v>2.0948146437232902</v>
      </c>
    </row>
    <row r="867" spans="1:36" x14ac:dyDescent="0.3">
      <c r="A867">
        <v>2015</v>
      </c>
      <c r="B867">
        <v>293</v>
      </c>
      <c r="C867" t="s">
        <v>526</v>
      </c>
      <c r="D867" t="s">
        <v>429</v>
      </c>
      <c r="E867" t="s">
        <v>701</v>
      </c>
      <c r="F867" t="s">
        <v>429</v>
      </c>
      <c r="G867">
        <v>39198.300000000003</v>
      </c>
      <c r="H867">
        <v>-4.0999999999999996</v>
      </c>
      <c r="I867">
        <v>2350</v>
      </c>
      <c r="J867">
        <v>-15.1</v>
      </c>
      <c r="K867">
        <v>44060.2</v>
      </c>
      <c r="L867">
        <v>27753.599999999999</v>
      </c>
      <c r="M867">
        <v>0</v>
      </c>
      <c r="N867">
        <v>5.9951579532785901</v>
      </c>
      <c r="O867">
        <v>5.3336117403007703</v>
      </c>
      <c r="P867">
        <v>8.4673699988469995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146714</v>
      </c>
      <c r="Y867" t="s">
        <v>347</v>
      </c>
      <c r="Z867" t="s">
        <v>648</v>
      </c>
      <c r="AB867" t="s">
        <v>529</v>
      </c>
      <c r="AC867" t="s">
        <v>530</v>
      </c>
      <c r="AE867" t="s">
        <v>532</v>
      </c>
      <c r="AF867">
        <v>27753.599999999999</v>
      </c>
      <c r="AG867">
        <v>2014</v>
      </c>
      <c r="AH867">
        <v>0.88965324714822003</v>
      </c>
      <c r="AI867">
        <v>8.4699999999999998E-2</v>
      </c>
      <c r="AJ867">
        <v>1.5875490026519099</v>
      </c>
    </row>
    <row r="868" spans="1:36" x14ac:dyDescent="0.3">
      <c r="A868">
        <v>2015</v>
      </c>
      <c r="B868">
        <v>268</v>
      </c>
      <c r="C868" t="s">
        <v>533</v>
      </c>
      <c r="D868" t="s">
        <v>534</v>
      </c>
      <c r="E868" t="s">
        <v>708</v>
      </c>
      <c r="F868" t="s">
        <v>534</v>
      </c>
      <c r="G868">
        <v>41230.1</v>
      </c>
      <c r="H868">
        <v>-1.5</v>
      </c>
      <c r="I868">
        <v>305.89999999999998</v>
      </c>
      <c r="J868">
        <v>-44.4</v>
      </c>
      <c r="K868">
        <v>48938</v>
      </c>
      <c r="L868">
        <v>10010.700000000001</v>
      </c>
      <c r="M868">
        <v>0</v>
      </c>
      <c r="N868">
        <v>0.74193368437136997</v>
      </c>
      <c r="O868">
        <v>0.62507662756957805</v>
      </c>
      <c r="P868">
        <v>3.0557303685056998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98697</v>
      </c>
      <c r="Y868" t="s">
        <v>347</v>
      </c>
      <c r="Z868" t="s">
        <v>674</v>
      </c>
      <c r="AB868">
        <v>40508</v>
      </c>
      <c r="AC868" t="s">
        <v>538</v>
      </c>
      <c r="AE868" t="s">
        <v>540</v>
      </c>
      <c r="AF868">
        <v>10010.700000000001</v>
      </c>
      <c r="AG868">
        <v>2014</v>
      </c>
      <c r="AH868">
        <v>0.84249662838693895</v>
      </c>
      <c r="AI868">
        <v>3.0599999999999999E-2</v>
      </c>
      <c r="AJ868">
        <v>4.8885692309229096</v>
      </c>
    </row>
    <row r="869" spans="1:36" x14ac:dyDescent="0.3">
      <c r="A869">
        <v>2015</v>
      </c>
      <c r="B869">
        <v>254</v>
      </c>
      <c r="C869" t="s">
        <v>401</v>
      </c>
      <c r="D869" t="s">
        <v>402</v>
      </c>
      <c r="E869" t="s">
        <v>709</v>
      </c>
      <c r="F869" t="s">
        <v>402</v>
      </c>
      <c r="G869">
        <v>42975.4</v>
      </c>
      <c r="H869">
        <v>11.6</v>
      </c>
      <c r="I869">
        <v>2287.1999999999998</v>
      </c>
      <c r="J869">
        <v>-1.1000000000000001</v>
      </c>
      <c r="K869">
        <v>38138</v>
      </c>
      <c r="L869">
        <v>8990.7999999999993</v>
      </c>
      <c r="M869">
        <v>0</v>
      </c>
      <c r="N869">
        <v>5.3221145120231599</v>
      </c>
      <c r="O869">
        <v>5.9971681787193898</v>
      </c>
      <c r="P869">
        <v>25.439337989945301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75502</v>
      </c>
      <c r="Y869" t="s">
        <v>347</v>
      </c>
      <c r="Z869" t="s">
        <v>677</v>
      </c>
      <c r="AB869">
        <v>400001</v>
      </c>
      <c r="AC869" t="s">
        <v>405</v>
      </c>
      <c r="AE869" t="s">
        <v>407</v>
      </c>
      <c r="AF869">
        <v>8990.7999999999993</v>
      </c>
      <c r="AG869">
        <v>2014</v>
      </c>
      <c r="AH869">
        <v>1.12683937280403</v>
      </c>
      <c r="AI869">
        <v>0.25440000000000002</v>
      </c>
      <c r="AJ869">
        <v>4.24189171152734</v>
      </c>
    </row>
    <row r="870" spans="1:36" x14ac:dyDescent="0.3">
      <c r="A870">
        <v>2015</v>
      </c>
      <c r="B870">
        <v>242</v>
      </c>
      <c r="C870" t="s">
        <v>672</v>
      </c>
      <c r="D870" t="s">
        <v>547</v>
      </c>
      <c r="E870" t="s">
        <v>705</v>
      </c>
      <c r="F870" t="s">
        <v>547</v>
      </c>
      <c r="G870">
        <v>44730.7</v>
      </c>
      <c r="H870">
        <v>2.9</v>
      </c>
      <c r="I870">
        <v>2843.2</v>
      </c>
      <c r="J870">
        <v>-18.5</v>
      </c>
      <c r="K870">
        <v>37346.9</v>
      </c>
      <c r="L870">
        <v>20458.5</v>
      </c>
      <c r="M870">
        <v>0</v>
      </c>
      <c r="N870">
        <v>6.3562609125276399</v>
      </c>
      <c r="O870">
        <v>7.61294779486383</v>
      </c>
      <c r="P870">
        <v>13.897402057824401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48936</v>
      </c>
      <c r="Y870" t="s">
        <v>347</v>
      </c>
      <c r="Z870" t="s">
        <v>678</v>
      </c>
      <c r="AB870" t="s">
        <v>550</v>
      </c>
      <c r="AC870" t="s">
        <v>551</v>
      </c>
      <c r="AE870" t="s">
        <v>673</v>
      </c>
      <c r="AF870">
        <v>20458.5</v>
      </c>
      <c r="AG870">
        <v>2014</v>
      </c>
      <c r="AH870">
        <v>1.19770851128206</v>
      </c>
      <c r="AI870">
        <v>0.13900000000000001</v>
      </c>
      <c r="AJ870">
        <v>1.82549551531148</v>
      </c>
    </row>
    <row r="871" spans="1:36" x14ac:dyDescent="0.3">
      <c r="A871">
        <v>2015</v>
      </c>
      <c r="B871">
        <v>233</v>
      </c>
      <c r="C871" t="s">
        <v>415</v>
      </c>
      <c r="D871" t="s">
        <v>395</v>
      </c>
      <c r="E871" t="s">
        <v>710</v>
      </c>
      <c r="F871" t="s">
        <v>395</v>
      </c>
      <c r="G871">
        <v>45772.800000000003</v>
      </c>
      <c r="H871">
        <v>3.4</v>
      </c>
      <c r="I871">
        <v>3150.9</v>
      </c>
      <c r="J871">
        <v>23.4</v>
      </c>
      <c r="K871">
        <v>36589.4</v>
      </c>
      <c r="L871">
        <v>12912.4</v>
      </c>
      <c r="M871">
        <v>0</v>
      </c>
      <c r="N871">
        <v>6.8837825083892596</v>
      </c>
      <c r="O871">
        <v>8.6115104374491001</v>
      </c>
      <c r="P871">
        <v>24.402125089061698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189168</v>
      </c>
      <c r="Y871" t="s">
        <v>347</v>
      </c>
      <c r="Z871" t="s">
        <v>605</v>
      </c>
      <c r="AB871">
        <v>30165</v>
      </c>
      <c r="AC871" t="s">
        <v>418</v>
      </c>
      <c r="AE871" t="s">
        <v>525</v>
      </c>
      <c r="AF871">
        <v>12912.4</v>
      </c>
      <c r="AG871">
        <v>2014</v>
      </c>
      <c r="AH871">
        <v>1.2509852580255501</v>
      </c>
      <c r="AI871">
        <v>0.24399999999999999</v>
      </c>
      <c r="AJ871">
        <v>2.8336637650630401</v>
      </c>
    </row>
    <row r="872" spans="1:36" x14ac:dyDescent="0.3">
      <c r="A872">
        <v>2015</v>
      </c>
      <c r="B872">
        <v>191</v>
      </c>
      <c r="C872" t="s">
        <v>408</v>
      </c>
      <c r="D872" t="s">
        <v>409</v>
      </c>
      <c r="E872" t="s">
        <v>711</v>
      </c>
      <c r="F872" t="s">
        <v>409</v>
      </c>
      <c r="G872">
        <v>54460.7</v>
      </c>
      <c r="H872">
        <v>0.2</v>
      </c>
      <c r="I872">
        <v>2507.1</v>
      </c>
      <c r="J872">
        <v>222.3</v>
      </c>
      <c r="K872">
        <v>98670.3</v>
      </c>
      <c r="L872">
        <v>29614</v>
      </c>
      <c r="M872">
        <v>0</v>
      </c>
      <c r="N872">
        <v>4.6035030765304201</v>
      </c>
      <c r="O872">
        <v>2.54088616331358</v>
      </c>
      <c r="P872">
        <v>8.4659282771661992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117395</v>
      </c>
      <c r="Y872" t="s">
        <v>347</v>
      </c>
      <c r="Z872" t="s">
        <v>541</v>
      </c>
      <c r="AB872">
        <v>92100</v>
      </c>
      <c r="AC872" t="s">
        <v>412</v>
      </c>
      <c r="AE872" t="s">
        <v>543</v>
      </c>
      <c r="AF872">
        <v>29614</v>
      </c>
      <c r="AG872">
        <v>2014</v>
      </c>
      <c r="AH872">
        <v>0.55194622900710699</v>
      </c>
      <c r="AI872">
        <v>8.4699999999999998E-2</v>
      </c>
      <c r="AJ872">
        <v>3.3318801918011798</v>
      </c>
    </row>
    <row r="873" spans="1:36" x14ac:dyDescent="0.3">
      <c r="A873">
        <v>2015</v>
      </c>
      <c r="B873">
        <v>150</v>
      </c>
      <c r="C873" t="s">
        <v>712</v>
      </c>
      <c r="D873" t="s">
        <v>395</v>
      </c>
      <c r="E873" t="s">
        <v>713</v>
      </c>
      <c r="F873" t="s">
        <v>395</v>
      </c>
      <c r="G873">
        <v>64961.5</v>
      </c>
      <c r="H873">
        <v>5.4</v>
      </c>
      <c r="I873">
        <v>3196.9</v>
      </c>
      <c r="J873">
        <v>119.7</v>
      </c>
      <c r="K873">
        <v>74923.199999999997</v>
      </c>
      <c r="L873">
        <v>34263.800000000003</v>
      </c>
      <c r="M873">
        <v>0</v>
      </c>
      <c r="N873">
        <v>4.9212225702916301</v>
      </c>
      <c r="O873">
        <v>4.26690264163837</v>
      </c>
      <c r="P873">
        <v>9.3302552548170397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290183</v>
      </c>
      <c r="Y873" t="s">
        <v>347</v>
      </c>
      <c r="Z873" t="s">
        <v>714</v>
      </c>
      <c r="AB873">
        <v>70049</v>
      </c>
      <c r="AC873" t="s">
        <v>715</v>
      </c>
      <c r="AE873" t="s">
        <v>716</v>
      </c>
      <c r="AF873">
        <v>34263.800000000003</v>
      </c>
      <c r="AG873">
        <v>2014</v>
      </c>
      <c r="AH873">
        <v>0.86704118350524295</v>
      </c>
      <c r="AI873">
        <v>9.3299999999999994E-2</v>
      </c>
      <c r="AJ873">
        <v>2.1866576386740499</v>
      </c>
    </row>
    <row r="874" spans="1:36" x14ac:dyDescent="0.3">
      <c r="A874">
        <v>2015</v>
      </c>
      <c r="B874">
        <v>99</v>
      </c>
      <c r="C874" t="s">
        <v>546</v>
      </c>
      <c r="D874" t="s">
        <v>547</v>
      </c>
      <c r="E874" t="s">
        <v>705</v>
      </c>
      <c r="F874" t="s">
        <v>547</v>
      </c>
      <c r="G874">
        <v>84771.7</v>
      </c>
      <c r="H874">
        <v>6.3</v>
      </c>
      <c r="I874">
        <v>6977.7</v>
      </c>
      <c r="J874">
        <v>-10.6</v>
      </c>
      <c r="K874">
        <v>133962.79999999999</v>
      </c>
      <c r="L874">
        <v>52461.2</v>
      </c>
      <c r="M874">
        <v>0</v>
      </c>
      <c r="N874">
        <v>8.2311667690986496</v>
      </c>
      <c r="O874">
        <v>5.2086847990636196</v>
      </c>
      <c r="P874">
        <v>13.300686983904299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109748</v>
      </c>
      <c r="Y874" t="s">
        <v>347</v>
      </c>
      <c r="Z874" t="s">
        <v>678</v>
      </c>
      <c r="AB874" t="s">
        <v>550</v>
      </c>
      <c r="AC874" t="s">
        <v>551</v>
      </c>
      <c r="AE874" t="s">
        <v>553</v>
      </c>
      <c r="AF874">
        <v>52461.2</v>
      </c>
      <c r="AG874">
        <v>2014</v>
      </c>
      <c r="AH874">
        <v>0.63280029978471597</v>
      </c>
      <c r="AI874">
        <v>0.13300000000000001</v>
      </c>
      <c r="AJ874">
        <v>2.5535595830823499</v>
      </c>
    </row>
    <row r="875" spans="1:36" x14ac:dyDescent="0.3">
      <c r="A875">
        <v>2015</v>
      </c>
      <c r="B875">
        <v>59</v>
      </c>
      <c r="C875" t="s">
        <v>428</v>
      </c>
      <c r="D875" t="s">
        <v>429</v>
      </c>
      <c r="E875" t="s">
        <v>717</v>
      </c>
      <c r="F875" t="s">
        <v>429</v>
      </c>
      <c r="G875">
        <v>103459.6</v>
      </c>
      <c r="H875">
        <v>-1.1000000000000001</v>
      </c>
      <c r="I875">
        <v>4161.7</v>
      </c>
      <c r="J875">
        <v>7.2</v>
      </c>
      <c r="K875">
        <v>142153.79999999999</v>
      </c>
      <c r="L875">
        <v>42315</v>
      </c>
      <c r="M875">
        <v>0</v>
      </c>
      <c r="N875">
        <v>4.0225363330227504</v>
      </c>
      <c r="O875">
        <v>2.92760376437352</v>
      </c>
      <c r="P875">
        <v>9.8350466737563504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149388</v>
      </c>
      <c r="Y875" t="s">
        <v>347</v>
      </c>
      <c r="Z875" t="s">
        <v>649</v>
      </c>
      <c r="AB875" t="s">
        <v>432</v>
      </c>
      <c r="AC875" t="s">
        <v>433</v>
      </c>
      <c r="AE875" t="s">
        <v>435</v>
      </c>
      <c r="AF875">
        <v>42315</v>
      </c>
      <c r="AG875">
        <v>2014</v>
      </c>
      <c r="AH875">
        <v>0.72780045274906502</v>
      </c>
      <c r="AI875">
        <v>9.8400000000000001E-2</v>
      </c>
      <c r="AJ875">
        <v>3.3594186458702602</v>
      </c>
    </row>
    <row r="876" spans="1:36" x14ac:dyDescent="0.3">
      <c r="A876">
        <v>2015</v>
      </c>
      <c r="B876">
        <v>56</v>
      </c>
      <c r="C876" t="s">
        <v>591</v>
      </c>
      <c r="D876" t="s">
        <v>395</v>
      </c>
      <c r="E876" t="s">
        <v>718</v>
      </c>
      <c r="F876" t="s">
        <v>395</v>
      </c>
      <c r="G876">
        <v>106654.3</v>
      </c>
      <c r="H876">
        <v>5.6</v>
      </c>
      <c r="I876">
        <v>7691.2</v>
      </c>
      <c r="J876">
        <v>9</v>
      </c>
      <c r="K876">
        <v>187299.5</v>
      </c>
      <c r="L876">
        <v>45033.3</v>
      </c>
      <c r="M876">
        <v>0</v>
      </c>
      <c r="N876">
        <v>7.21133606427495</v>
      </c>
      <c r="O876">
        <v>4.1063644056711297</v>
      </c>
      <c r="P876">
        <v>17.0789171568595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116324</v>
      </c>
      <c r="Y876" t="s">
        <v>347</v>
      </c>
      <c r="Z876" t="s">
        <v>556</v>
      </c>
      <c r="AB876">
        <v>80788</v>
      </c>
      <c r="AC876" t="s">
        <v>608</v>
      </c>
      <c r="AE876" t="s">
        <v>560</v>
      </c>
      <c r="AF876">
        <v>45033.3</v>
      </c>
      <c r="AG876">
        <v>2014</v>
      </c>
      <c r="AH876">
        <v>0.56943184578709505</v>
      </c>
      <c r="AI876">
        <v>0.17080000000000001</v>
      </c>
      <c r="AJ876">
        <v>4.1591333524303096</v>
      </c>
    </row>
    <row r="877" spans="1:36" x14ac:dyDescent="0.3">
      <c r="A877">
        <v>2015</v>
      </c>
      <c r="B877">
        <v>44</v>
      </c>
      <c r="C877" t="s">
        <v>469</v>
      </c>
      <c r="D877" t="s">
        <v>429</v>
      </c>
      <c r="E877" t="s">
        <v>700</v>
      </c>
      <c r="F877" t="s">
        <v>429</v>
      </c>
      <c r="G877">
        <v>121221.5</v>
      </c>
      <c r="H877">
        <v>-2.9</v>
      </c>
      <c r="I877">
        <v>4633.3999999999996</v>
      </c>
      <c r="J877">
        <v>-25.7</v>
      </c>
      <c r="K877">
        <v>153663.9</v>
      </c>
      <c r="L877">
        <v>59283</v>
      </c>
      <c r="M877">
        <v>0</v>
      </c>
      <c r="N877">
        <v>3.8222592526903201</v>
      </c>
      <c r="O877">
        <v>3.0152820538851399</v>
      </c>
      <c r="P877">
        <v>7.8157313226388698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204730</v>
      </c>
      <c r="Y877" t="s">
        <v>347</v>
      </c>
      <c r="Z877" t="s">
        <v>492</v>
      </c>
      <c r="AB877" t="s">
        <v>471</v>
      </c>
      <c r="AC877" t="s">
        <v>472</v>
      </c>
      <c r="AE877" t="s">
        <v>482</v>
      </c>
      <c r="AF877">
        <v>59283</v>
      </c>
      <c r="AG877">
        <v>2014</v>
      </c>
      <c r="AH877">
        <v>0.78887428992756303</v>
      </c>
      <c r="AI877">
        <v>7.8200000000000006E-2</v>
      </c>
      <c r="AJ877">
        <v>2.5920398765244701</v>
      </c>
    </row>
    <row r="878" spans="1:36" x14ac:dyDescent="0.3">
      <c r="A878">
        <v>2015</v>
      </c>
      <c r="B878">
        <v>19</v>
      </c>
      <c r="C878" t="s">
        <v>679</v>
      </c>
      <c r="D878" t="s">
        <v>680</v>
      </c>
      <c r="E878" t="s">
        <v>719</v>
      </c>
      <c r="F878" t="s">
        <v>680</v>
      </c>
      <c r="G878">
        <v>162163</v>
      </c>
      <c r="H878">
        <v>7.4</v>
      </c>
      <c r="I878">
        <v>428.5</v>
      </c>
      <c r="J878">
        <v>-84.5</v>
      </c>
      <c r="K878">
        <v>182104.1</v>
      </c>
      <c r="L878">
        <v>9673.2999999999993</v>
      </c>
      <c r="M878">
        <v>0</v>
      </c>
      <c r="N878">
        <v>0.26424030142510901</v>
      </c>
      <c r="O878">
        <v>0.23530497116759</v>
      </c>
      <c r="P878">
        <v>4.4297189170190103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318562</v>
      </c>
      <c r="Y878" t="s">
        <v>347</v>
      </c>
      <c r="Z878" t="s">
        <v>682</v>
      </c>
      <c r="AB878">
        <v>10126</v>
      </c>
      <c r="AC878" t="s">
        <v>683</v>
      </c>
      <c r="AE878" t="s">
        <v>685</v>
      </c>
      <c r="AF878">
        <v>9673.2999999999993</v>
      </c>
      <c r="AG878">
        <v>2014</v>
      </c>
      <c r="AH878">
        <v>0.89049615027887896</v>
      </c>
      <c r="AI878">
        <v>4.4299999999999999E-2</v>
      </c>
      <c r="AJ878">
        <v>18.8254370276948</v>
      </c>
    </row>
    <row r="879" spans="1:36" x14ac:dyDescent="0.3">
      <c r="A879">
        <v>2015</v>
      </c>
      <c r="B879">
        <v>17</v>
      </c>
      <c r="C879" t="s">
        <v>563</v>
      </c>
      <c r="D879" t="s">
        <v>395</v>
      </c>
      <c r="E879" t="s">
        <v>713</v>
      </c>
      <c r="F879" t="s">
        <v>395</v>
      </c>
      <c r="G879">
        <v>172279.1</v>
      </c>
      <c r="H879">
        <v>10</v>
      </c>
      <c r="I879">
        <v>9235.2999999999993</v>
      </c>
      <c r="J879">
        <v>1.7</v>
      </c>
      <c r="K879">
        <v>229443.4</v>
      </c>
      <c r="L879">
        <v>52831.199999999997</v>
      </c>
      <c r="M879">
        <v>0</v>
      </c>
      <c r="N879">
        <v>5.3606618562553399</v>
      </c>
      <c r="O879">
        <v>4.0250885403546102</v>
      </c>
      <c r="P879">
        <v>17.480768939566001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279972</v>
      </c>
      <c r="Y879" t="s">
        <v>347</v>
      </c>
      <c r="Z879" t="s">
        <v>606</v>
      </c>
      <c r="AB879">
        <v>70327</v>
      </c>
      <c r="AC879" t="s">
        <v>566</v>
      </c>
      <c r="AE879" t="s">
        <v>568</v>
      </c>
      <c r="AF879">
        <v>52831.199999999997</v>
      </c>
      <c r="AG879">
        <v>2014</v>
      </c>
      <c r="AH879">
        <v>0.75085663828203397</v>
      </c>
      <c r="AI879">
        <v>0.17480000000000001</v>
      </c>
      <c r="AJ879">
        <v>4.3429526491921404</v>
      </c>
    </row>
    <row r="880" spans="1:36" x14ac:dyDescent="0.3">
      <c r="A880">
        <v>2015</v>
      </c>
      <c r="B880">
        <v>9</v>
      </c>
      <c r="C880" t="s">
        <v>572</v>
      </c>
      <c r="D880" t="s">
        <v>429</v>
      </c>
      <c r="E880" t="s">
        <v>720</v>
      </c>
      <c r="F880" t="s">
        <v>429</v>
      </c>
      <c r="G880">
        <v>247702.9</v>
      </c>
      <c r="H880">
        <v>-3.4</v>
      </c>
      <c r="I880">
        <v>19766.900000000001</v>
      </c>
      <c r="J880">
        <v>8.6</v>
      </c>
      <c r="K880">
        <v>398047.1</v>
      </c>
      <c r="L880">
        <v>140006.1</v>
      </c>
      <c r="M880">
        <v>0</v>
      </c>
      <c r="N880">
        <v>7.9800842057157997</v>
      </c>
      <c r="O880">
        <v>4.9659701075576201</v>
      </c>
      <c r="P880">
        <v>14.118599118181301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344109</v>
      </c>
      <c r="Y880" t="s">
        <v>347</v>
      </c>
      <c r="Z880" t="s">
        <v>650</v>
      </c>
      <c r="AB880" t="s">
        <v>575</v>
      </c>
      <c r="AC880" t="s">
        <v>576</v>
      </c>
      <c r="AE880" t="s">
        <v>578</v>
      </c>
      <c r="AF880">
        <v>140006.1</v>
      </c>
      <c r="AG880">
        <v>2014</v>
      </c>
      <c r="AH880">
        <v>0.62229545197038205</v>
      </c>
      <c r="AI880">
        <v>0.14119999999999999</v>
      </c>
      <c r="AJ880">
        <v>2.8430696948204401</v>
      </c>
    </row>
    <row r="881" spans="1:36" x14ac:dyDescent="0.3">
      <c r="A881">
        <v>2015</v>
      </c>
      <c r="B881">
        <v>8</v>
      </c>
      <c r="C881" t="s">
        <v>446</v>
      </c>
      <c r="D881" t="s">
        <v>395</v>
      </c>
      <c r="E881" t="s">
        <v>721</v>
      </c>
      <c r="F881" t="s">
        <v>395</v>
      </c>
      <c r="G881">
        <v>268566.59999999998</v>
      </c>
      <c r="H881">
        <v>2.7</v>
      </c>
      <c r="I881">
        <v>14571.9</v>
      </c>
      <c r="J881">
        <v>20.7</v>
      </c>
      <c r="K881">
        <v>424935.3</v>
      </c>
      <c r="L881">
        <v>108882</v>
      </c>
      <c r="M881">
        <v>0</v>
      </c>
      <c r="N881">
        <v>5.4258049958557804</v>
      </c>
      <c r="O881">
        <v>3.42920439888143</v>
      </c>
      <c r="P881">
        <v>13.3832038353447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592586</v>
      </c>
      <c r="Y881" t="s">
        <v>347</v>
      </c>
      <c r="Z881" t="s">
        <v>467</v>
      </c>
      <c r="AB881">
        <v>38440</v>
      </c>
      <c r="AC881" t="s">
        <v>449</v>
      </c>
      <c r="AE881" t="s">
        <v>571</v>
      </c>
      <c r="AF881">
        <v>108882</v>
      </c>
      <c r="AG881">
        <v>2014</v>
      </c>
      <c r="AH881">
        <v>0.63201762715406296</v>
      </c>
      <c r="AI881">
        <v>0.1338</v>
      </c>
      <c r="AJ881">
        <v>3.9027139472089001</v>
      </c>
    </row>
    <row r="882" spans="1:36" x14ac:dyDescent="0.3">
      <c r="A882">
        <v>2023</v>
      </c>
      <c r="B882">
        <v>372</v>
      </c>
      <c r="C882" t="s">
        <v>668</v>
      </c>
      <c r="D882" t="s">
        <v>547</v>
      </c>
      <c r="E882" t="s">
        <v>548</v>
      </c>
      <c r="F882" t="s">
        <v>547</v>
      </c>
      <c r="G882">
        <v>40210.199999999997</v>
      </c>
      <c r="H882">
        <v>10.3</v>
      </c>
      <c r="I882">
        <v>1925.2</v>
      </c>
      <c r="J882">
        <v>-6.3</v>
      </c>
      <c r="K882">
        <v>44044.9</v>
      </c>
      <c r="L882">
        <v>30048</v>
      </c>
      <c r="M882">
        <v>0</v>
      </c>
      <c r="N882">
        <v>4.8</v>
      </c>
      <c r="O882">
        <v>4.4000000000000004</v>
      </c>
      <c r="P882">
        <v>6.4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33125</v>
      </c>
      <c r="Y882" t="s">
        <v>347</v>
      </c>
      <c r="Z882" t="s">
        <v>669</v>
      </c>
      <c r="AB882">
        <v>6141</v>
      </c>
      <c r="AC882" t="s">
        <v>670</v>
      </c>
      <c r="AE882" t="s">
        <v>671</v>
      </c>
      <c r="AF882">
        <v>30081.25</v>
      </c>
      <c r="AG882">
        <v>2022</v>
      </c>
      <c r="AH882">
        <v>0.91293657154403796</v>
      </c>
      <c r="AI882">
        <v>6.4000000000000001E-2</v>
      </c>
      <c r="AJ882">
        <v>1.46419779763141</v>
      </c>
    </row>
    <row r="883" spans="1:36" x14ac:dyDescent="0.3">
      <c r="A883">
        <v>2023</v>
      </c>
      <c r="B883">
        <v>315</v>
      </c>
      <c r="C883" t="s">
        <v>689</v>
      </c>
      <c r="D883" t="s">
        <v>395</v>
      </c>
      <c r="E883" t="s">
        <v>690</v>
      </c>
      <c r="F883" t="s">
        <v>395</v>
      </c>
      <c r="G883">
        <v>46068.1</v>
      </c>
      <c r="H883">
        <v>1.7</v>
      </c>
      <c r="I883">
        <v>238.7</v>
      </c>
      <c r="J883">
        <v>-69.400000000000006</v>
      </c>
      <c r="K883">
        <v>41553.199999999997</v>
      </c>
      <c r="L883">
        <v>8592.6</v>
      </c>
      <c r="M883">
        <v>0</v>
      </c>
      <c r="N883">
        <v>0.5</v>
      </c>
      <c r="O883">
        <v>0.6</v>
      </c>
      <c r="P883">
        <v>2.8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161901</v>
      </c>
      <c r="Y883" t="s">
        <v>347</v>
      </c>
      <c r="Z883" t="s">
        <v>691</v>
      </c>
      <c r="AB883">
        <v>88046</v>
      </c>
      <c r="AC883" t="s">
        <v>692</v>
      </c>
      <c r="AE883" t="s">
        <v>693</v>
      </c>
      <c r="AF883">
        <v>8525</v>
      </c>
      <c r="AG883">
        <v>2022</v>
      </c>
      <c r="AH883">
        <v>1.1086534851708201</v>
      </c>
      <c r="AI883">
        <v>2.8000000000000001E-2</v>
      </c>
      <c r="AJ883">
        <v>4.8742756598240504</v>
      </c>
    </row>
    <row r="884" spans="1:36" x14ac:dyDescent="0.3">
      <c r="A884">
        <v>2023</v>
      </c>
      <c r="B884">
        <v>196</v>
      </c>
      <c r="C884" t="s">
        <v>722</v>
      </c>
      <c r="D884" t="s">
        <v>547</v>
      </c>
      <c r="E884" t="s">
        <v>548</v>
      </c>
      <c r="F884" t="s">
        <v>547</v>
      </c>
      <c r="G884">
        <v>67054.600000000006</v>
      </c>
      <c r="H884">
        <v>9.8000000000000007</v>
      </c>
      <c r="I884">
        <v>4190.5</v>
      </c>
      <c r="J884">
        <v>0.7</v>
      </c>
      <c r="K884">
        <v>58595.6</v>
      </c>
      <c r="L884">
        <v>31271.200000000001</v>
      </c>
      <c r="M884">
        <v>0</v>
      </c>
      <c r="N884">
        <v>6.2</v>
      </c>
      <c r="O884">
        <v>7.2</v>
      </c>
      <c r="P884">
        <v>13.4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35847</v>
      </c>
      <c r="Y884" t="s">
        <v>347</v>
      </c>
      <c r="Z884" t="s">
        <v>659</v>
      </c>
      <c r="AB884">
        <v>6797</v>
      </c>
      <c r="AC884" t="s">
        <v>551</v>
      </c>
      <c r="AE884" t="s">
        <v>673</v>
      </c>
      <c r="AF884">
        <v>31272.388059701501</v>
      </c>
      <c r="AG884">
        <v>2022</v>
      </c>
      <c r="AH884">
        <v>1.1443623753319401</v>
      </c>
      <c r="AI884">
        <v>0.13400000000000001</v>
      </c>
      <c r="AJ884">
        <v>1.8737168356998</v>
      </c>
    </row>
    <row r="885" spans="1:36" x14ac:dyDescent="0.3">
      <c r="A885">
        <v>2023</v>
      </c>
      <c r="B885">
        <v>118</v>
      </c>
      <c r="C885" t="s">
        <v>723</v>
      </c>
      <c r="D885" t="s">
        <v>395</v>
      </c>
      <c r="E885" t="s">
        <v>724</v>
      </c>
      <c r="F885" t="s">
        <v>395</v>
      </c>
      <c r="G885">
        <v>92766.2</v>
      </c>
      <c r="H885">
        <v>-0.4</v>
      </c>
      <c r="I885">
        <v>1367.3</v>
      </c>
      <c r="J885">
        <v>-42.6</v>
      </c>
      <c r="K885">
        <v>106963.5</v>
      </c>
      <c r="L885">
        <v>47204.1</v>
      </c>
      <c r="M885">
        <v>0</v>
      </c>
      <c r="N885">
        <v>1.5</v>
      </c>
      <c r="O885">
        <v>1.3</v>
      </c>
      <c r="P885">
        <v>2.9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421338</v>
      </c>
      <c r="Y885" t="s">
        <v>347</v>
      </c>
      <c r="Z885" t="s">
        <v>725</v>
      </c>
      <c r="AB885">
        <v>70839</v>
      </c>
      <c r="AC885" t="s">
        <v>726</v>
      </c>
      <c r="AE885" t="s">
        <v>716</v>
      </c>
      <c r="AF885">
        <v>47148.275862069</v>
      </c>
      <c r="AG885">
        <v>2022</v>
      </c>
      <c r="AH885">
        <v>0.86726967610446504</v>
      </c>
      <c r="AI885">
        <v>2.9000000000000001E-2</v>
      </c>
      <c r="AJ885">
        <v>2.2686619615300199</v>
      </c>
    </row>
    <row r="886" spans="1:36" x14ac:dyDescent="0.3">
      <c r="A886">
        <v>2022</v>
      </c>
      <c r="B886">
        <v>390</v>
      </c>
      <c r="C886" t="s">
        <v>668</v>
      </c>
      <c r="D886" t="s">
        <v>547</v>
      </c>
      <c r="E886" t="s">
        <v>548</v>
      </c>
      <c r="F886" t="s">
        <v>547</v>
      </c>
      <c r="G886">
        <v>36441.800000000003</v>
      </c>
      <c r="H886">
        <v>17.399999999999999</v>
      </c>
      <c r="I886">
        <v>2055.6</v>
      </c>
      <c r="J886">
        <v>58.6</v>
      </c>
      <c r="K886">
        <v>43320.2</v>
      </c>
      <c r="L886">
        <v>29680.6</v>
      </c>
      <c r="M886">
        <v>0</v>
      </c>
      <c r="N886">
        <v>5.6</v>
      </c>
      <c r="O886">
        <v>4.7</v>
      </c>
      <c r="P886">
        <v>6.9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33702</v>
      </c>
      <c r="Y886" t="s">
        <v>347</v>
      </c>
      <c r="Z886" t="s">
        <v>669</v>
      </c>
      <c r="AB886">
        <v>6141</v>
      </c>
      <c r="AC886" t="s">
        <v>670</v>
      </c>
      <c r="AE886" t="s">
        <v>671</v>
      </c>
      <c r="AF886">
        <v>29791.304347826099</v>
      </c>
      <c r="AG886">
        <v>2021</v>
      </c>
      <c r="AH886">
        <v>0.84121956962340905</v>
      </c>
      <c r="AI886">
        <v>6.9000000000000006E-2</v>
      </c>
      <c r="AJ886">
        <v>1.4541223000583801</v>
      </c>
    </row>
    <row r="887" spans="1:36" x14ac:dyDescent="0.3">
      <c r="A887">
        <v>2022</v>
      </c>
      <c r="B887">
        <v>108</v>
      </c>
      <c r="C887" t="s">
        <v>723</v>
      </c>
      <c r="D887" t="s">
        <v>395</v>
      </c>
      <c r="E887" t="s">
        <v>724</v>
      </c>
      <c r="F887" t="s">
        <v>395</v>
      </c>
      <c r="G887">
        <v>93106.4</v>
      </c>
      <c r="H887">
        <v>14.3</v>
      </c>
      <c r="I887">
        <v>2382.4</v>
      </c>
      <c r="J887">
        <v>561.70000000000005</v>
      </c>
      <c r="K887">
        <v>111111.1</v>
      </c>
      <c r="L887">
        <v>47682.400000000001</v>
      </c>
      <c r="M887">
        <v>0</v>
      </c>
      <c r="N887">
        <v>2.6</v>
      </c>
      <c r="O887">
        <v>2.1</v>
      </c>
      <c r="P887">
        <v>5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402614</v>
      </c>
      <c r="Y887" t="s">
        <v>347</v>
      </c>
      <c r="Z887" t="s">
        <v>725</v>
      </c>
      <c r="AB887">
        <v>70839</v>
      </c>
      <c r="AC887" t="s">
        <v>726</v>
      </c>
      <c r="AE887" t="s">
        <v>716</v>
      </c>
      <c r="AF887">
        <v>47648</v>
      </c>
      <c r="AG887">
        <v>2021</v>
      </c>
      <c r="AH887">
        <v>0.83795768379576796</v>
      </c>
      <c r="AI887">
        <v>0.05</v>
      </c>
      <c r="AJ887">
        <v>2.3319152955003402</v>
      </c>
    </row>
    <row r="888" spans="1:36" x14ac:dyDescent="0.3">
      <c r="A888">
        <v>2022</v>
      </c>
      <c r="B888">
        <v>212</v>
      </c>
      <c r="C888" t="s">
        <v>722</v>
      </c>
      <c r="D888" t="s">
        <v>547</v>
      </c>
      <c r="E888" t="s">
        <v>548</v>
      </c>
      <c r="F888" t="s">
        <v>547</v>
      </c>
      <c r="G888">
        <v>61049.8</v>
      </c>
      <c r="H888">
        <v>21.7</v>
      </c>
      <c r="I888">
        <v>4160</v>
      </c>
      <c r="J888">
        <v>229.9</v>
      </c>
      <c r="K888">
        <v>56251.199999999997</v>
      </c>
      <c r="L888">
        <v>29375.5</v>
      </c>
      <c r="M888">
        <v>0</v>
      </c>
      <c r="N888">
        <v>6.8</v>
      </c>
      <c r="O888">
        <v>7.4</v>
      </c>
      <c r="P888">
        <v>14.2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51975</v>
      </c>
      <c r="Y888" t="s">
        <v>347</v>
      </c>
      <c r="Z888" t="s">
        <v>659</v>
      </c>
      <c r="AB888">
        <v>6797</v>
      </c>
      <c r="AC888" t="s">
        <v>551</v>
      </c>
      <c r="AE888" t="s">
        <v>673</v>
      </c>
      <c r="AF888">
        <v>29295.774647887301</v>
      </c>
      <c r="AG888">
        <v>2021</v>
      </c>
      <c r="AH888">
        <v>1.08530662456979</v>
      </c>
      <c r="AI888">
        <v>0.14199999999999999</v>
      </c>
      <c r="AJ888">
        <v>1.9201130769230801</v>
      </c>
    </row>
    <row r="889" spans="1:36" x14ac:dyDescent="0.3">
      <c r="A889">
        <v>2021</v>
      </c>
      <c r="B889">
        <v>398</v>
      </c>
      <c r="C889" t="s">
        <v>668</v>
      </c>
      <c r="D889" t="s">
        <v>547</v>
      </c>
      <c r="E889" t="s">
        <v>548</v>
      </c>
      <c r="F889" t="s">
        <v>547</v>
      </c>
      <c r="G889">
        <v>31047.200000000001</v>
      </c>
      <c r="H889">
        <v>-4.9000000000000004</v>
      </c>
      <c r="I889">
        <v>1296.2</v>
      </c>
      <c r="J889">
        <v>-34.1</v>
      </c>
      <c r="K889">
        <v>44619.8</v>
      </c>
      <c r="L889">
        <v>30593.8</v>
      </c>
      <c r="M889">
        <v>0</v>
      </c>
      <c r="N889">
        <v>4.2</v>
      </c>
      <c r="O889">
        <v>2.9</v>
      </c>
      <c r="P889">
        <v>4.2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35087</v>
      </c>
      <c r="Y889" t="s">
        <v>347</v>
      </c>
      <c r="Z889" t="s">
        <v>669</v>
      </c>
      <c r="AB889">
        <v>6141</v>
      </c>
      <c r="AC889" t="s">
        <v>670</v>
      </c>
      <c r="AE889" t="s">
        <v>671</v>
      </c>
      <c r="AF889">
        <v>30861.9047619048</v>
      </c>
      <c r="AG889">
        <v>2020</v>
      </c>
      <c r="AH889">
        <v>0.69581665538617399</v>
      </c>
      <c r="AI889">
        <v>4.2000000000000003E-2</v>
      </c>
      <c r="AJ889">
        <v>1.44578892146274</v>
      </c>
    </row>
    <row r="890" spans="1:36" x14ac:dyDescent="0.3">
      <c r="A890">
        <v>2021</v>
      </c>
      <c r="B890">
        <v>323</v>
      </c>
      <c r="C890" t="s">
        <v>689</v>
      </c>
      <c r="D890" t="s">
        <v>395</v>
      </c>
      <c r="E890" t="s">
        <v>690</v>
      </c>
      <c r="F890" t="s">
        <v>395</v>
      </c>
      <c r="G890">
        <v>37158.6</v>
      </c>
      <c r="H890">
        <v>-9.1</v>
      </c>
      <c r="I890">
        <v>-940</v>
      </c>
      <c r="J890">
        <v>-340</v>
      </c>
      <c r="K890">
        <v>44950.2</v>
      </c>
      <c r="L890">
        <v>5022.5</v>
      </c>
      <c r="M890">
        <v>0</v>
      </c>
      <c r="N890">
        <v>-2.5</v>
      </c>
      <c r="O890">
        <v>-2.1</v>
      </c>
      <c r="P890">
        <v>-18.7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153522</v>
      </c>
      <c r="Y890" t="s">
        <v>347</v>
      </c>
      <c r="Z890" t="s">
        <v>691</v>
      </c>
      <c r="AB890">
        <v>88046</v>
      </c>
      <c r="AC890" t="s">
        <v>692</v>
      </c>
      <c r="AE890" t="s">
        <v>693</v>
      </c>
      <c r="AF890">
        <v>5026.7379679144397</v>
      </c>
      <c r="AG890">
        <v>2020</v>
      </c>
      <c r="AH890">
        <v>0.82666150539930905</v>
      </c>
      <c r="AI890">
        <v>-0.187</v>
      </c>
      <c r="AJ890">
        <v>8.9422206382978704</v>
      </c>
    </row>
    <row r="891" spans="1:36" x14ac:dyDescent="0.3">
      <c r="A891">
        <v>2021</v>
      </c>
      <c r="B891">
        <v>215</v>
      </c>
      <c r="C891" t="s">
        <v>722</v>
      </c>
      <c r="D891" t="s">
        <v>547</v>
      </c>
      <c r="E891" t="s">
        <v>548</v>
      </c>
      <c r="F891" t="s">
        <v>547</v>
      </c>
      <c r="G891">
        <v>50155.1</v>
      </c>
      <c r="H891">
        <v>0.5</v>
      </c>
      <c r="I891">
        <v>1261</v>
      </c>
      <c r="J891">
        <v>-19.600000000000001</v>
      </c>
      <c r="K891">
        <v>55653.599999999999</v>
      </c>
      <c r="L891">
        <v>27501.5</v>
      </c>
      <c r="M891">
        <v>0</v>
      </c>
      <c r="N891">
        <v>2.5</v>
      </c>
      <c r="O891">
        <v>2.2999999999999998</v>
      </c>
      <c r="P891">
        <v>4.5999999999999996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51899</v>
      </c>
      <c r="Y891" t="s">
        <v>347</v>
      </c>
      <c r="Z891" t="s">
        <v>659</v>
      </c>
      <c r="AB891">
        <v>6797</v>
      </c>
      <c r="AC891" t="s">
        <v>551</v>
      </c>
      <c r="AE891" t="s">
        <v>673</v>
      </c>
      <c r="AF891">
        <v>27413.043478260901</v>
      </c>
      <c r="AG891">
        <v>2020</v>
      </c>
      <c r="AH891">
        <v>0.90120135984015404</v>
      </c>
      <c r="AI891">
        <v>4.5999999999999999E-2</v>
      </c>
      <c r="AJ891">
        <v>2.03018683584457</v>
      </c>
    </row>
    <row r="892" spans="1:36" x14ac:dyDescent="0.3">
      <c r="A892">
        <v>2021</v>
      </c>
      <c r="B892">
        <v>98</v>
      </c>
      <c r="C892" t="s">
        <v>723</v>
      </c>
      <c r="D892" t="s">
        <v>395</v>
      </c>
      <c r="E892" t="s">
        <v>724</v>
      </c>
      <c r="F892" t="s">
        <v>395</v>
      </c>
      <c r="G892">
        <v>81463.8</v>
      </c>
      <c r="H892">
        <v>-6.4</v>
      </c>
      <c r="I892">
        <v>360.1</v>
      </c>
      <c r="J892">
        <v>-79.8</v>
      </c>
      <c r="K892">
        <v>111817.4</v>
      </c>
      <c r="L892">
        <v>46784.7</v>
      </c>
      <c r="M892">
        <v>0</v>
      </c>
      <c r="N892">
        <v>0.4</v>
      </c>
      <c r="O892">
        <v>0.3</v>
      </c>
      <c r="P892">
        <v>0.8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395034</v>
      </c>
      <c r="Y892" t="s">
        <v>347</v>
      </c>
      <c r="Z892" t="s">
        <v>725</v>
      </c>
      <c r="AB892">
        <v>70839</v>
      </c>
      <c r="AC892" t="s">
        <v>726</v>
      </c>
      <c r="AE892" t="s">
        <v>716</v>
      </c>
      <c r="AF892">
        <v>45012.5</v>
      </c>
      <c r="AG892">
        <v>2020</v>
      </c>
      <c r="AH892">
        <v>0.72854314265937103</v>
      </c>
      <c r="AI892">
        <v>8.0000000000000002E-3</v>
      </c>
      <c r="AJ892">
        <v>2.4841410719244701</v>
      </c>
    </row>
    <row r="893" spans="1:36" x14ac:dyDescent="0.3">
      <c r="A893">
        <v>2020</v>
      </c>
      <c r="B893">
        <v>393</v>
      </c>
      <c r="C893" t="s">
        <v>668</v>
      </c>
      <c r="D893" t="s">
        <v>547</v>
      </c>
      <c r="E893" t="s">
        <v>548</v>
      </c>
      <c r="F893" t="s">
        <v>547</v>
      </c>
      <c r="G893">
        <v>31949.4</v>
      </c>
      <c r="H893">
        <v>2.8</v>
      </c>
      <c r="I893">
        <v>1716.9</v>
      </c>
      <c r="J893">
        <v>23.8</v>
      </c>
      <c r="K893">
        <v>38604.6</v>
      </c>
      <c r="L893">
        <v>27454.1</v>
      </c>
      <c r="M893">
        <v>0</v>
      </c>
      <c r="N893">
        <v>5.4</v>
      </c>
      <c r="O893">
        <v>4.4000000000000004</v>
      </c>
      <c r="P893">
        <v>6.3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34782</v>
      </c>
      <c r="Y893" t="s">
        <v>347</v>
      </c>
      <c r="Z893" t="s">
        <v>669</v>
      </c>
      <c r="AB893">
        <v>6141</v>
      </c>
      <c r="AC893" t="s">
        <v>670</v>
      </c>
      <c r="AE893" t="s">
        <v>671</v>
      </c>
      <c r="AF893">
        <v>27252.380952381001</v>
      </c>
      <c r="AG893">
        <v>2019</v>
      </c>
      <c r="AH893">
        <v>0.82760603658631404</v>
      </c>
      <c r="AI893">
        <v>6.3E-2</v>
      </c>
      <c r="AJ893">
        <v>1.4165587978333001</v>
      </c>
    </row>
    <row r="894" spans="1:36" x14ac:dyDescent="0.3">
      <c r="A894">
        <v>2020</v>
      </c>
      <c r="B894">
        <v>266</v>
      </c>
      <c r="C894" t="s">
        <v>689</v>
      </c>
      <c r="D894" t="s">
        <v>395</v>
      </c>
      <c r="E894" t="s">
        <v>690</v>
      </c>
      <c r="F894" t="s">
        <v>395</v>
      </c>
      <c r="G894">
        <v>43582.400000000001</v>
      </c>
      <c r="H894">
        <v>6.1</v>
      </c>
      <c r="I894">
        <v>1064.5</v>
      </c>
      <c r="J894">
        <v>-12.9</v>
      </c>
      <c r="K894">
        <v>30897.599999999999</v>
      </c>
      <c r="L894">
        <v>8170.2</v>
      </c>
      <c r="M894">
        <v>0</v>
      </c>
      <c r="N894">
        <v>2.4</v>
      </c>
      <c r="O894">
        <v>3.4</v>
      </c>
      <c r="P894">
        <v>13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148969</v>
      </c>
      <c r="Y894" t="s">
        <v>347</v>
      </c>
      <c r="Z894" t="s">
        <v>691</v>
      </c>
      <c r="AB894">
        <v>88046</v>
      </c>
      <c r="AC894" t="s">
        <v>692</v>
      </c>
      <c r="AE894" t="s">
        <v>693</v>
      </c>
      <c r="AF894">
        <v>8188.4615384615399</v>
      </c>
      <c r="AG894">
        <v>2019</v>
      </c>
      <c r="AH894">
        <v>1.4105432137123901</v>
      </c>
      <c r="AI894">
        <v>0.13</v>
      </c>
      <c r="AJ894">
        <v>3.7733095349929502</v>
      </c>
    </row>
    <row r="895" spans="1:36" x14ac:dyDescent="0.3">
      <c r="A895">
        <v>2020</v>
      </c>
      <c r="B895">
        <v>227</v>
      </c>
      <c r="C895" t="s">
        <v>672</v>
      </c>
      <c r="D895" t="s">
        <v>547</v>
      </c>
      <c r="E895" t="s">
        <v>548</v>
      </c>
      <c r="F895" t="s">
        <v>547</v>
      </c>
      <c r="G895">
        <v>49238.400000000001</v>
      </c>
      <c r="H895">
        <v>4</v>
      </c>
      <c r="I895">
        <v>1050.7</v>
      </c>
      <c r="J895">
        <v>22.7</v>
      </c>
      <c r="K895">
        <v>46416.2</v>
      </c>
      <c r="L895">
        <v>24418.3</v>
      </c>
      <c r="M895">
        <v>0</v>
      </c>
      <c r="N895">
        <v>2.1</v>
      </c>
      <c r="O895">
        <v>2.2999999999999998</v>
      </c>
      <c r="P895">
        <v>4.3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52578</v>
      </c>
      <c r="Y895" t="s">
        <v>347</v>
      </c>
      <c r="Z895" t="s">
        <v>659</v>
      </c>
      <c r="AB895">
        <v>801</v>
      </c>
      <c r="AC895" t="s">
        <v>551</v>
      </c>
      <c r="AE895" t="s">
        <v>673</v>
      </c>
      <c r="AF895">
        <v>24434.8837209302</v>
      </c>
      <c r="AG895">
        <v>2019</v>
      </c>
      <c r="AH895">
        <v>1.0608020475609801</v>
      </c>
      <c r="AI895">
        <v>4.2999999999999997E-2</v>
      </c>
      <c r="AJ895">
        <v>1.8995875130865101</v>
      </c>
    </row>
    <row r="896" spans="1:36" x14ac:dyDescent="0.3">
      <c r="A896">
        <v>2020</v>
      </c>
      <c r="B896">
        <v>77</v>
      </c>
      <c r="C896" t="s">
        <v>723</v>
      </c>
      <c r="D896" t="s">
        <v>395</v>
      </c>
      <c r="E896" t="s">
        <v>564</v>
      </c>
      <c r="F896" t="s">
        <v>395</v>
      </c>
      <c r="G896">
        <v>92601.9</v>
      </c>
      <c r="H896">
        <v>5.2</v>
      </c>
      <c r="I896">
        <v>3596</v>
      </c>
      <c r="J896">
        <v>15.9</v>
      </c>
      <c r="K896">
        <v>95616.5</v>
      </c>
      <c r="L896">
        <v>42517.3</v>
      </c>
      <c r="M896">
        <v>0</v>
      </c>
      <c r="N896">
        <v>3.9</v>
      </c>
      <c r="O896">
        <v>3.8</v>
      </c>
      <c r="P896">
        <v>8.5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409881</v>
      </c>
      <c r="Y896" t="s">
        <v>347</v>
      </c>
      <c r="Z896" t="s">
        <v>727</v>
      </c>
      <c r="AB896">
        <v>70049</v>
      </c>
      <c r="AC896" t="s">
        <v>715</v>
      </c>
      <c r="AE896" t="s">
        <v>716</v>
      </c>
      <c r="AF896">
        <v>42305.882352941197</v>
      </c>
      <c r="AG896">
        <v>2019</v>
      </c>
      <c r="AH896">
        <v>0.96847196875016295</v>
      </c>
      <c r="AI896">
        <v>8.5000000000000006E-2</v>
      </c>
      <c r="AJ896">
        <v>2.2601230533926602</v>
      </c>
    </row>
    <row r="897" spans="1:36" x14ac:dyDescent="0.3">
      <c r="A897">
        <v>2019</v>
      </c>
      <c r="B897">
        <v>393</v>
      </c>
      <c r="C897" t="s">
        <v>668</v>
      </c>
      <c r="D897" t="s">
        <v>547</v>
      </c>
      <c r="E897" t="s">
        <v>548</v>
      </c>
      <c r="F897" t="s">
        <v>547</v>
      </c>
      <c r="G897">
        <v>31949.4</v>
      </c>
      <c r="H897">
        <v>2.8</v>
      </c>
      <c r="I897">
        <v>1716.9</v>
      </c>
      <c r="J897">
        <v>23.8</v>
      </c>
      <c r="K897">
        <v>38604.6</v>
      </c>
      <c r="L897">
        <v>27454.1</v>
      </c>
      <c r="M897">
        <v>0</v>
      </c>
      <c r="N897">
        <v>5.4</v>
      </c>
      <c r="O897">
        <v>4.4000000000000004</v>
      </c>
      <c r="P897">
        <v>6.3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34782</v>
      </c>
      <c r="Y897" t="s">
        <v>347</v>
      </c>
      <c r="Z897" t="s">
        <v>669</v>
      </c>
      <c r="AB897">
        <v>6141</v>
      </c>
      <c r="AC897" t="s">
        <v>670</v>
      </c>
      <c r="AE897" t="s">
        <v>671</v>
      </c>
      <c r="AF897">
        <v>27252.380952381001</v>
      </c>
      <c r="AG897">
        <v>2018</v>
      </c>
      <c r="AH897">
        <v>0.82760603658631404</v>
      </c>
      <c r="AI897">
        <v>6.3E-2</v>
      </c>
      <c r="AJ897">
        <v>1.4165587978333001</v>
      </c>
    </row>
    <row r="898" spans="1:36" x14ac:dyDescent="0.3">
      <c r="A898">
        <v>2019</v>
      </c>
      <c r="B898">
        <v>266</v>
      </c>
      <c r="C898" t="s">
        <v>689</v>
      </c>
      <c r="D898" t="s">
        <v>395</v>
      </c>
      <c r="E898" t="s">
        <v>690</v>
      </c>
      <c r="F898" t="s">
        <v>395</v>
      </c>
      <c r="G898">
        <v>43582.400000000001</v>
      </c>
      <c r="H898">
        <v>6.1</v>
      </c>
      <c r="I898">
        <v>1064.5</v>
      </c>
      <c r="J898">
        <v>-12.9</v>
      </c>
      <c r="K898">
        <v>30897.599999999999</v>
      </c>
      <c r="L898">
        <v>8170.2</v>
      </c>
      <c r="M898">
        <v>0</v>
      </c>
      <c r="N898">
        <v>2.4</v>
      </c>
      <c r="O898">
        <v>3.4</v>
      </c>
      <c r="P898">
        <v>13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148969</v>
      </c>
      <c r="Y898" t="s">
        <v>347</v>
      </c>
      <c r="Z898" t="s">
        <v>691</v>
      </c>
      <c r="AB898">
        <v>88046</v>
      </c>
      <c r="AC898" t="s">
        <v>692</v>
      </c>
      <c r="AE898" t="s">
        <v>693</v>
      </c>
      <c r="AF898">
        <v>8188.4615384615399</v>
      </c>
      <c r="AG898">
        <v>2018</v>
      </c>
      <c r="AH898">
        <v>1.4105432137123901</v>
      </c>
      <c r="AI898">
        <v>0.13</v>
      </c>
      <c r="AJ898">
        <v>3.7733095349929502</v>
      </c>
    </row>
    <row r="899" spans="1:36" x14ac:dyDescent="0.3">
      <c r="A899">
        <v>2019</v>
      </c>
      <c r="B899">
        <v>227</v>
      </c>
      <c r="C899" t="s">
        <v>672</v>
      </c>
      <c r="D899" t="s">
        <v>547</v>
      </c>
      <c r="E899" t="s">
        <v>548</v>
      </c>
      <c r="F899" t="s">
        <v>547</v>
      </c>
      <c r="G899">
        <v>49238.400000000001</v>
      </c>
      <c r="H899">
        <v>4</v>
      </c>
      <c r="I899">
        <v>1050.7</v>
      </c>
      <c r="J899">
        <v>22.7</v>
      </c>
      <c r="K899">
        <v>46416.2</v>
      </c>
      <c r="L899">
        <v>24418.3</v>
      </c>
      <c r="M899">
        <v>0</v>
      </c>
      <c r="N899">
        <v>2.1</v>
      </c>
      <c r="O899">
        <v>2.2999999999999998</v>
      </c>
      <c r="P899">
        <v>4.3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52578</v>
      </c>
      <c r="Y899" t="s">
        <v>347</v>
      </c>
      <c r="Z899" t="s">
        <v>659</v>
      </c>
      <c r="AB899">
        <v>801</v>
      </c>
      <c r="AC899" t="s">
        <v>551</v>
      </c>
      <c r="AE899" t="s">
        <v>673</v>
      </c>
      <c r="AF899">
        <v>24434.8837209302</v>
      </c>
      <c r="AG899">
        <v>2018</v>
      </c>
      <c r="AH899">
        <v>1.0608020475609801</v>
      </c>
      <c r="AI899">
        <v>4.2999999999999997E-2</v>
      </c>
      <c r="AJ899">
        <v>1.8995875130865101</v>
      </c>
    </row>
    <row r="900" spans="1:36" x14ac:dyDescent="0.3">
      <c r="A900">
        <v>2019</v>
      </c>
      <c r="B900">
        <v>77</v>
      </c>
      <c r="C900" t="s">
        <v>723</v>
      </c>
      <c r="D900" t="s">
        <v>395</v>
      </c>
      <c r="E900" t="s">
        <v>564</v>
      </c>
      <c r="F900" t="s">
        <v>395</v>
      </c>
      <c r="G900">
        <v>92601.9</v>
      </c>
      <c r="H900">
        <v>5.2</v>
      </c>
      <c r="I900">
        <v>3596</v>
      </c>
      <c r="J900">
        <v>15.9</v>
      </c>
      <c r="K900">
        <v>95616.5</v>
      </c>
      <c r="L900">
        <v>42517.3</v>
      </c>
      <c r="M900">
        <v>0</v>
      </c>
      <c r="N900">
        <v>3.9</v>
      </c>
      <c r="O900">
        <v>3.8</v>
      </c>
      <c r="P900">
        <v>8.5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409881</v>
      </c>
      <c r="Y900" t="s">
        <v>347</v>
      </c>
      <c r="Z900" t="s">
        <v>727</v>
      </c>
      <c r="AB900">
        <v>70049</v>
      </c>
      <c r="AC900" t="s">
        <v>715</v>
      </c>
      <c r="AE900" t="s">
        <v>716</v>
      </c>
      <c r="AF900">
        <v>42305.882352941197</v>
      </c>
      <c r="AG900">
        <v>2018</v>
      </c>
      <c r="AH900">
        <v>0.96847196875016295</v>
      </c>
      <c r="AI900">
        <v>8.5000000000000006E-2</v>
      </c>
      <c r="AJ900">
        <v>2.2601230533926602</v>
      </c>
    </row>
    <row r="901" spans="1:36" x14ac:dyDescent="0.3">
      <c r="A901">
        <v>2018</v>
      </c>
      <c r="B901">
        <v>393</v>
      </c>
      <c r="C901" t="s">
        <v>668</v>
      </c>
      <c r="D901" t="s">
        <v>547</v>
      </c>
      <c r="E901" t="s">
        <v>548</v>
      </c>
      <c r="F901" t="s">
        <v>547</v>
      </c>
      <c r="G901">
        <v>31949.4</v>
      </c>
      <c r="H901">
        <v>2.8</v>
      </c>
      <c r="I901">
        <v>1716.9</v>
      </c>
      <c r="J901">
        <v>23.8</v>
      </c>
      <c r="K901">
        <v>38604.6</v>
      </c>
      <c r="L901">
        <v>27454.1</v>
      </c>
      <c r="M901">
        <v>0</v>
      </c>
      <c r="N901">
        <v>5.4</v>
      </c>
      <c r="O901">
        <v>4.4000000000000004</v>
      </c>
      <c r="P901">
        <v>6.3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34782</v>
      </c>
      <c r="Y901" t="s">
        <v>347</v>
      </c>
      <c r="Z901" t="s">
        <v>669</v>
      </c>
      <c r="AB901">
        <v>6141</v>
      </c>
      <c r="AC901" t="s">
        <v>670</v>
      </c>
      <c r="AE901" t="s">
        <v>671</v>
      </c>
      <c r="AF901">
        <v>27252.380952381001</v>
      </c>
      <c r="AG901">
        <v>2017</v>
      </c>
      <c r="AH901">
        <v>0.82760603658631404</v>
      </c>
      <c r="AI901">
        <v>6.3E-2</v>
      </c>
      <c r="AJ901">
        <v>1.4165587978333001</v>
      </c>
    </row>
    <row r="902" spans="1:36" x14ac:dyDescent="0.3">
      <c r="A902">
        <v>2018</v>
      </c>
      <c r="B902">
        <v>266</v>
      </c>
      <c r="C902" t="s">
        <v>689</v>
      </c>
      <c r="D902" t="s">
        <v>395</v>
      </c>
      <c r="E902" t="s">
        <v>690</v>
      </c>
      <c r="F902" t="s">
        <v>395</v>
      </c>
      <c r="G902">
        <v>43582.400000000001</v>
      </c>
      <c r="H902">
        <v>6.1</v>
      </c>
      <c r="I902">
        <v>1064.5</v>
      </c>
      <c r="J902">
        <v>-12.9</v>
      </c>
      <c r="K902">
        <v>30897.599999999999</v>
      </c>
      <c r="L902">
        <v>8170.2</v>
      </c>
      <c r="M902">
        <v>0</v>
      </c>
      <c r="N902">
        <v>2.4</v>
      </c>
      <c r="O902">
        <v>3.4</v>
      </c>
      <c r="P902">
        <v>13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148969</v>
      </c>
      <c r="Y902" t="s">
        <v>347</v>
      </c>
      <c r="Z902" t="s">
        <v>691</v>
      </c>
      <c r="AB902">
        <v>88046</v>
      </c>
      <c r="AC902" t="s">
        <v>692</v>
      </c>
      <c r="AE902" t="s">
        <v>693</v>
      </c>
      <c r="AF902">
        <v>8188.4615384615399</v>
      </c>
      <c r="AG902">
        <v>2017</v>
      </c>
      <c r="AH902">
        <v>1.4105432137123901</v>
      </c>
      <c r="AI902">
        <v>0.13</v>
      </c>
      <c r="AJ902">
        <v>3.7733095349929502</v>
      </c>
    </row>
    <row r="903" spans="1:36" x14ac:dyDescent="0.3">
      <c r="A903">
        <v>2018</v>
      </c>
      <c r="B903">
        <v>227</v>
      </c>
      <c r="C903" t="s">
        <v>672</v>
      </c>
      <c r="D903" t="s">
        <v>547</v>
      </c>
      <c r="E903" t="s">
        <v>548</v>
      </c>
      <c r="F903" t="s">
        <v>547</v>
      </c>
      <c r="G903">
        <v>49238.400000000001</v>
      </c>
      <c r="H903">
        <v>4</v>
      </c>
      <c r="I903">
        <v>1050.7</v>
      </c>
      <c r="J903">
        <v>22.7</v>
      </c>
      <c r="K903">
        <v>46416.2</v>
      </c>
      <c r="L903">
        <v>24418.3</v>
      </c>
      <c r="M903">
        <v>0</v>
      </c>
      <c r="N903">
        <v>2.1</v>
      </c>
      <c r="O903">
        <v>2.2999999999999998</v>
      </c>
      <c r="P903">
        <v>4.3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52578</v>
      </c>
      <c r="Y903" t="s">
        <v>347</v>
      </c>
      <c r="Z903" t="s">
        <v>659</v>
      </c>
      <c r="AB903">
        <v>801</v>
      </c>
      <c r="AC903" t="s">
        <v>551</v>
      </c>
      <c r="AE903" t="s">
        <v>673</v>
      </c>
      <c r="AF903">
        <v>24434.8837209302</v>
      </c>
      <c r="AG903">
        <v>2017</v>
      </c>
      <c r="AH903">
        <v>1.0608020475609801</v>
      </c>
      <c r="AI903">
        <v>4.2999999999999997E-2</v>
      </c>
      <c r="AJ903">
        <v>1.8995875130865101</v>
      </c>
    </row>
    <row r="904" spans="1:36" x14ac:dyDescent="0.3">
      <c r="A904">
        <v>2018</v>
      </c>
      <c r="B904">
        <v>77</v>
      </c>
      <c r="C904" t="s">
        <v>723</v>
      </c>
      <c r="D904" t="s">
        <v>395</v>
      </c>
      <c r="E904" t="s">
        <v>564</v>
      </c>
      <c r="F904" t="s">
        <v>395</v>
      </c>
      <c r="G904">
        <v>92601.9</v>
      </c>
      <c r="H904">
        <v>5.2</v>
      </c>
      <c r="I904">
        <v>3596</v>
      </c>
      <c r="J904">
        <v>15.9</v>
      </c>
      <c r="K904">
        <v>95616.5</v>
      </c>
      <c r="L904">
        <v>42517.3</v>
      </c>
      <c r="M904">
        <v>0</v>
      </c>
      <c r="N904">
        <v>3.9</v>
      </c>
      <c r="O904">
        <v>3.8</v>
      </c>
      <c r="P904">
        <v>8.5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409881</v>
      </c>
      <c r="Y904" t="s">
        <v>347</v>
      </c>
      <c r="Z904" t="s">
        <v>727</v>
      </c>
      <c r="AB904">
        <v>70049</v>
      </c>
      <c r="AC904" t="s">
        <v>715</v>
      </c>
      <c r="AE904" t="s">
        <v>716</v>
      </c>
      <c r="AF904">
        <v>42305.882352941197</v>
      </c>
      <c r="AG904">
        <v>2017</v>
      </c>
      <c r="AH904">
        <v>0.96847196875016295</v>
      </c>
      <c r="AI904">
        <v>8.5000000000000006E-2</v>
      </c>
      <c r="AJ904">
        <v>2.2601230533926602</v>
      </c>
    </row>
    <row r="905" spans="1:36" x14ac:dyDescent="0.3">
      <c r="A905">
        <v>2017</v>
      </c>
      <c r="B905">
        <v>263</v>
      </c>
      <c r="C905" t="s">
        <v>689</v>
      </c>
      <c r="D905" t="s">
        <v>395</v>
      </c>
      <c r="E905" t="s">
        <v>690</v>
      </c>
      <c r="F905" t="s">
        <v>395</v>
      </c>
      <c r="G905">
        <v>38888.199999999997</v>
      </c>
      <c r="H905">
        <v>20.2</v>
      </c>
      <c r="I905">
        <v>949.9</v>
      </c>
      <c r="J905">
        <v>-12.1</v>
      </c>
      <c r="K905">
        <v>30719.3</v>
      </c>
      <c r="L905">
        <v>6133.7</v>
      </c>
      <c r="M905">
        <v>0</v>
      </c>
      <c r="N905">
        <v>2.4</v>
      </c>
      <c r="O905">
        <v>3.1</v>
      </c>
      <c r="P905">
        <v>15.5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136820</v>
      </c>
      <c r="Y905" t="s">
        <v>347</v>
      </c>
      <c r="Z905" t="s">
        <v>728</v>
      </c>
      <c r="AB905">
        <v>88046</v>
      </c>
      <c r="AC905" t="s">
        <v>692</v>
      </c>
      <c r="AE905" t="s">
        <v>693</v>
      </c>
      <c r="AF905">
        <v>6128.3870967741896</v>
      </c>
      <c r="AG905">
        <v>2016</v>
      </c>
      <c r="AH905">
        <v>1.2659207729342801</v>
      </c>
      <c r="AI905">
        <v>0.155</v>
      </c>
      <c r="AJ905">
        <v>5.0126239604168896</v>
      </c>
    </row>
    <row r="906" spans="1:36" x14ac:dyDescent="0.3">
      <c r="A906">
        <v>2017</v>
      </c>
      <c r="B906">
        <v>76</v>
      </c>
      <c r="C906" t="s">
        <v>712</v>
      </c>
      <c r="D906" t="s">
        <v>395</v>
      </c>
      <c r="E906" t="s">
        <v>564</v>
      </c>
      <c r="F906" t="s">
        <v>395</v>
      </c>
      <c r="G906">
        <v>80869.399999999994</v>
      </c>
      <c r="H906">
        <v>3.3</v>
      </c>
      <c r="I906">
        <v>2155.3000000000002</v>
      </c>
      <c r="J906">
        <v>-39.1</v>
      </c>
      <c r="K906">
        <v>86347.8</v>
      </c>
      <c r="L906">
        <v>36316.199999999997</v>
      </c>
      <c r="M906">
        <v>0</v>
      </c>
      <c r="N906">
        <v>2.7</v>
      </c>
      <c r="O906">
        <v>2.5</v>
      </c>
      <c r="P906">
        <v>5.9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389281</v>
      </c>
      <c r="Y906" t="s">
        <v>347</v>
      </c>
      <c r="Z906" t="s">
        <v>727</v>
      </c>
      <c r="AB906">
        <v>70049</v>
      </c>
      <c r="AC906" t="s">
        <v>715</v>
      </c>
      <c r="AE906" t="s">
        <v>716</v>
      </c>
      <c r="AF906">
        <v>36530.508474576302</v>
      </c>
      <c r="AG906">
        <v>2016</v>
      </c>
      <c r="AH906">
        <v>0.93655426079182102</v>
      </c>
      <c r="AI906">
        <v>5.8999999999999997E-2</v>
      </c>
      <c r="AJ906">
        <v>2.3637174407275099</v>
      </c>
    </row>
    <row r="907" spans="1:36" x14ac:dyDescent="0.3">
      <c r="A907">
        <v>2016</v>
      </c>
      <c r="B907">
        <v>320</v>
      </c>
      <c r="C907" t="s">
        <v>689</v>
      </c>
      <c r="D907" t="s">
        <v>395</v>
      </c>
      <c r="E907" t="s">
        <v>690</v>
      </c>
      <c r="F907" t="s">
        <v>395</v>
      </c>
      <c r="G907">
        <v>32339.8</v>
      </c>
      <c r="H907">
        <v>32.4</v>
      </c>
      <c r="I907">
        <v>1080.4000000000001</v>
      </c>
      <c r="J907">
        <v>25.7</v>
      </c>
      <c r="K907">
        <v>32946.6</v>
      </c>
      <c r="L907">
        <v>6031.7</v>
      </c>
      <c r="M907">
        <v>0</v>
      </c>
      <c r="N907">
        <v>3.3</v>
      </c>
      <c r="O907">
        <v>3.3</v>
      </c>
      <c r="P907">
        <v>17.899999999999999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138269</v>
      </c>
      <c r="Y907" t="s">
        <v>347</v>
      </c>
      <c r="Z907" t="s">
        <v>728</v>
      </c>
      <c r="AB907">
        <v>88046</v>
      </c>
      <c r="AC907" t="s">
        <v>692</v>
      </c>
      <c r="AE907" t="s">
        <v>693</v>
      </c>
      <c r="AF907">
        <v>6035.7541899441303</v>
      </c>
      <c r="AG907">
        <v>2015</v>
      </c>
      <c r="AH907">
        <v>0.98158231805406304</v>
      </c>
      <c r="AI907">
        <v>0.17899999999999999</v>
      </c>
      <c r="AJ907">
        <v>5.4585721954831499</v>
      </c>
    </row>
    <row r="908" spans="1:36" x14ac:dyDescent="0.3">
      <c r="A908">
        <v>2016</v>
      </c>
      <c r="B908">
        <v>310</v>
      </c>
      <c r="C908" t="s">
        <v>668</v>
      </c>
      <c r="D908" t="s">
        <v>547</v>
      </c>
      <c r="E908" t="s">
        <v>548</v>
      </c>
      <c r="F908" t="s">
        <v>547</v>
      </c>
      <c r="G908">
        <v>33195.599999999999</v>
      </c>
      <c r="H908">
        <v>-3.4</v>
      </c>
      <c r="I908">
        <v>2701.9</v>
      </c>
      <c r="J908">
        <v>-16.899999999999999</v>
      </c>
      <c r="K908">
        <v>32222.799999999999</v>
      </c>
      <c r="L908">
        <v>21856</v>
      </c>
      <c r="M908">
        <v>0</v>
      </c>
      <c r="N908">
        <v>8.1</v>
      </c>
      <c r="O908">
        <v>8.4</v>
      </c>
      <c r="P908">
        <v>12.4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25216</v>
      </c>
      <c r="Y908" t="s">
        <v>347</v>
      </c>
      <c r="Z908" t="s">
        <v>669</v>
      </c>
      <c r="AB908">
        <v>6141</v>
      </c>
      <c r="AC908" t="s">
        <v>670</v>
      </c>
      <c r="AE908" t="s">
        <v>671</v>
      </c>
      <c r="AF908">
        <v>21789.516129032301</v>
      </c>
      <c r="AG908">
        <v>2015</v>
      </c>
      <c r="AH908">
        <v>1.03018980349318</v>
      </c>
      <c r="AI908">
        <v>0.124</v>
      </c>
      <c r="AJ908">
        <v>1.4788212739183499</v>
      </c>
    </row>
    <row r="909" spans="1:36" x14ac:dyDescent="0.3">
      <c r="A909">
        <v>2016</v>
      </c>
      <c r="B909">
        <v>208</v>
      </c>
      <c r="C909" t="s">
        <v>672</v>
      </c>
      <c r="D909" t="s">
        <v>547</v>
      </c>
      <c r="E909" t="s">
        <v>548</v>
      </c>
      <c r="F909" t="s">
        <v>547</v>
      </c>
      <c r="G909">
        <v>43792.4</v>
      </c>
      <c r="H909">
        <v>-2.1</v>
      </c>
      <c r="I909">
        <v>2326.3000000000002</v>
      </c>
      <c r="J909">
        <v>-18.2</v>
      </c>
      <c r="K909">
        <v>39222.1</v>
      </c>
      <c r="L909">
        <v>20646.599999999999</v>
      </c>
      <c r="M909">
        <v>0</v>
      </c>
      <c r="N909">
        <v>5.3</v>
      </c>
      <c r="O909">
        <v>5.9</v>
      </c>
      <c r="P909">
        <v>11.3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50348</v>
      </c>
      <c r="Y909" t="s">
        <v>347</v>
      </c>
      <c r="Z909" t="s">
        <v>659</v>
      </c>
      <c r="AB909">
        <v>801</v>
      </c>
      <c r="AC909" t="s">
        <v>551</v>
      </c>
      <c r="AE909" t="s">
        <v>673</v>
      </c>
      <c r="AF909">
        <v>20586.725663716799</v>
      </c>
      <c r="AG909">
        <v>2015</v>
      </c>
      <c r="AH909">
        <v>1.1165235925664401</v>
      </c>
      <c r="AI909">
        <v>0.113</v>
      </c>
      <c r="AJ909">
        <v>1.9052131281433999</v>
      </c>
    </row>
    <row r="910" spans="1:36" x14ac:dyDescent="0.3">
      <c r="A910">
        <v>2016</v>
      </c>
      <c r="B910">
        <v>87</v>
      </c>
      <c r="C910" t="s">
        <v>712</v>
      </c>
      <c r="D910" t="s">
        <v>395</v>
      </c>
      <c r="E910" t="s">
        <v>564</v>
      </c>
      <c r="F910" t="s">
        <v>395</v>
      </c>
      <c r="G910">
        <v>78322.7</v>
      </c>
      <c r="H910">
        <v>20.6</v>
      </c>
      <c r="I910">
        <v>3541.9</v>
      </c>
      <c r="J910">
        <v>10.8</v>
      </c>
      <c r="K910">
        <v>83926.3</v>
      </c>
      <c r="L910">
        <v>35678.400000000001</v>
      </c>
      <c r="M910">
        <v>0</v>
      </c>
      <c r="N910">
        <v>4.5</v>
      </c>
      <c r="O910">
        <v>4.2</v>
      </c>
      <c r="P910">
        <v>9.9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374778</v>
      </c>
      <c r="Y910" t="s">
        <v>347</v>
      </c>
      <c r="Z910" t="s">
        <v>727</v>
      </c>
      <c r="AB910">
        <v>70049</v>
      </c>
      <c r="AC910" t="s">
        <v>715</v>
      </c>
      <c r="AE910" t="s">
        <v>716</v>
      </c>
      <c r="AF910">
        <v>35776.767676767697</v>
      </c>
      <c r="AG910">
        <v>2015</v>
      </c>
      <c r="AH910">
        <v>0.93323189512703397</v>
      </c>
      <c r="AI910">
        <v>9.9000000000000005E-2</v>
      </c>
      <c r="AJ910">
        <v>2.3458323781021502</v>
      </c>
    </row>
    <row r="911" spans="1:36" x14ac:dyDescent="0.3">
      <c r="A911">
        <v>2014</v>
      </c>
      <c r="B911">
        <v>388</v>
      </c>
      <c r="C911" t="s">
        <v>668</v>
      </c>
      <c r="D911" t="s">
        <v>547</v>
      </c>
      <c r="E911" t="s">
        <v>548</v>
      </c>
      <c r="F911" t="s">
        <v>547</v>
      </c>
      <c r="G911">
        <v>31244.5</v>
      </c>
      <c r="H911">
        <v>14.3</v>
      </c>
      <c r="I911">
        <v>3126</v>
      </c>
      <c r="J911">
        <v>-1.1000000000000001</v>
      </c>
      <c r="K911">
        <v>32629.200000000001</v>
      </c>
      <c r="L911">
        <v>19048.2019</v>
      </c>
      <c r="M911">
        <v>0</v>
      </c>
      <c r="N911">
        <v>10.001899999999999</v>
      </c>
      <c r="O911">
        <v>9.6019000000000005</v>
      </c>
      <c r="P911">
        <v>16.401900000000001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20534</v>
      </c>
      <c r="Y911" t="s">
        <v>347</v>
      </c>
      <c r="Z911" t="s">
        <v>686</v>
      </c>
      <c r="AB911" t="s">
        <v>696</v>
      </c>
      <c r="AC911" t="s">
        <v>670</v>
      </c>
      <c r="AE911" t="s">
        <v>671</v>
      </c>
      <c r="AF911">
        <v>19058.767581804499</v>
      </c>
      <c r="AG911">
        <v>2013</v>
      </c>
      <c r="AH911">
        <v>0.95756255133438795</v>
      </c>
      <c r="AI911">
        <v>0.16400000000000001</v>
      </c>
      <c r="AJ911">
        <v>1.71203095163148</v>
      </c>
    </row>
    <row r="912" spans="1:36" x14ac:dyDescent="0.3">
      <c r="A912">
        <v>2014</v>
      </c>
      <c r="B912">
        <v>246</v>
      </c>
      <c r="C912" t="s">
        <v>672</v>
      </c>
      <c r="D912" t="s">
        <v>547</v>
      </c>
      <c r="E912" t="s">
        <v>548</v>
      </c>
      <c r="F912" t="s">
        <v>547</v>
      </c>
      <c r="G912">
        <v>43486.400000000001</v>
      </c>
      <c r="H912">
        <v>3.7</v>
      </c>
      <c r="I912">
        <v>3487.3</v>
      </c>
      <c r="J912">
        <v>1.6</v>
      </c>
      <c r="K912">
        <v>34289.300000000003</v>
      </c>
      <c r="L912">
        <v>19195.2019</v>
      </c>
      <c r="M912">
        <v>0</v>
      </c>
      <c r="N912">
        <v>8.0018999999999991</v>
      </c>
      <c r="O912">
        <v>10.2019</v>
      </c>
      <c r="P912">
        <v>18.201899999999998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48089</v>
      </c>
      <c r="Y912" t="s">
        <v>347</v>
      </c>
      <c r="Z912" t="s">
        <v>729</v>
      </c>
      <c r="AB912" t="s">
        <v>550</v>
      </c>
      <c r="AC912" t="s">
        <v>551</v>
      </c>
      <c r="AE912" t="s">
        <v>730</v>
      </c>
      <c r="AF912">
        <v>19158.988896763502</v>
      </c>
      <c r="AG912">
        <v>2013</v>
      </c>
      <c r="AH912">
        <v>1.26822069858527</v>
      </c>
      <c r="AI912">
        <v>0.182</v>
      </c>
      <c r="AJ912">
        <v>1.7897238828606701</v>
      </c>
    </row>
    <row r="913" spans="1:36" x14ac:dyDescent="0.3">
      <c r="A913">
        <v>2014</v>
      </c>
      <c r="B913">
        <v>155</v>
      </c>
      <c r="C913" t="s">
        <v>731</v>
      </c>
      <c r="D913" t="s">
        <v>395</v>
      </c>
      <c r="E913" t="s">
        <v>564</v>
      </c>
      <c r="F913" t="s">
        <v>395</v>
      </c>
      <c r="G913">
        <v>61632.1</v>
      </c>
      <c r="H913">
        <v>-8.6</v>
      </c>
      <c r="I913">
        <v>1455</v>
      </c>
      <c r="J913">
        <v>-49.9</v>
      </c>
      <c r="K913">
        <v>76777.899999999994</v>
      </c>
      <c r="L913">
        <v>36878.2019</v>
      </c>
      <c r="M913">
        <v>0</v>
      </c>
      <c r="N913">
        <v>2.4018999999999999</v>
      </c>
      <c r="O913">
        <v>1.9018999999999999</v>
      </c>
      <c r="P913">
        <v>3.9018999999999999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281381</v>
      </c>
      <c r="Y913" t="s">
        <v>347</v>
      </c>
      <c r="Z913" t="s">
        <v>714</v>
      </c>
      <c r="AB913">
        <v>70049</v>
      </c>
      <c r="AC913" t="s">
        <v>715</v>
      </c>
      <c r="AE913" t="s">
        <v>716</v>
      </c>
      <c r="AF913">
        <v>37289.525615725703</v>
      </c>
      <c r="AG913">
        <v>2013</v>
      </c>
      <c r="AH913">
        <v>0.80273229666349299</v>
      </c>
      <c r="AI913">
        <v>3.9E-2</v>
      </c>
      <c r="AJ913">
        <v>2.0589669279037799</v>
      </c>
    </row>
    <row r="914" spans="1:36" x14ac:dyDescent="0.3">
      <c r="A914">
        <v>2013</v>
      </c>
      <c r="B914">
        <v>374</v>
      </c>
      <c r="C914" t="s">
        <v>641</v>
      </c>
      <c r="D914" t="s">
        <v>429</v>
      </c>
      <c r="E914" t="s">
        <v>527</v>
      </c>
      <c r="F914" t="s">
        <v>429</v>
      </c>
      <c r="G914">
        <v>30466.400000000001</v>
      </c>
      <c r="H914">
        <v>4.4000000000000004</v>
      </c>
      <c r="I914">
        <v>933.5</v>
      </c>
      <c r="J914">
        <v>32.799999999999997</v>
      </c>
      <c r="K914">
        <v>23916</v>
      </c>
      <c r="L914">
        <v>8426.7000000000007</v>
      </c>
      <c r="M914">
        <v>0</v>
      </c>
      <c r="N914">
        <v>3.1</v>
      </c>
      <c r="O914">
        <v>3.9032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83378</v>
      </c>
      <c r="Y914" t="s">
        <v>347</v>
      </c>
      <c r="Z914" t="s">
        <v>732</v>
      </c>
      <c r="AB914" t="s">
        <v>620</v>
      </c>
      <c r="AC914" t="s">
        <v>621</v>
      </c>
      <c r="AE914" t="s">
        <v>623</v>
      </c>
      <c r="AF914" t="s">
        <v>329</v>
      </c>
      <c r="AG914">
        <v>2012</v>
      </c>
      <c r="AH914">
        <v>1.27389195517645</v>
      </c>
      <c r="AI914">
        <v>0</v>
      </c>
      <c r="AJ914">
        <v>0</v>
      </c>
    </row>
    <row r="915" spans="1:36" x14ac:dyDescent="0.3">
      <c r="A915">
        <v>2013</v>
      </c>
      <c r="B915">
        <v>252</v>
      </c>
      <c r="C915" t="s">
        <v>672</v>
      </c>
      <c r="D915" t="s">
        <v>547</v>
      </c>
      <c r="E915" t="s">
        <v>548</v>
      </c>
      <c r="F915" t="s">
        <v>547</v>
      </c>
      <c r="G915">
        <v>41945.8</v>
      </c>
      <c r="H915">
        <v>7.6</v>
      </c>
      <c r="I915">
        <v>3431.4</v>
      </c>
      <c r="J915">
        <v>11.3</v>
      </c>
      <c r="K915">
        <v>30266.1</v>
      </c>
      <c r="L915">
        <v>15739.2</v>
      </c>
      <c r="M915">
        <v>0</v>
      </c>
      <c r="N915">
        <v>8.1999999999999993</v>
      </c>
      <c r="O915">
        <v>11.337300000000001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47083</v>
      </c>
      <c r="Y915" t="s">
        <v>347</v>
      </c>
      <c r="Z915" t="s">
        <v>549</v>
      </c>
      <c r="AB915">
        <v>0</v>
      </c>
      <c r="AC915" t="s">
        <v>551</v>
      </c>
      <c r="AE915" t="s">
        <v>730</v>
      </c>
      <c r="AF915" t="s">
        <v>329</v>
      </c>
      <c r="AG915">
        <v>2012</v>
      </c>
      <c r="AH915">
        <v>1.3859003968136001</v>
      </c>
      <c r="AI915">
        <v>0</v>
      </c>
      <c r="AJ915">
        <v>0</v>
      </c>
    </row>
    <row r="916" spans="1:36" x14ac:dyDescent="0.3">
      <c r="A916">
        <v>2013</v>
      </c>
      <c r="B916">
        <v>131</v>
      </c>
      <c r="C916" t="s">
        <v>712</v>
      </c>
      <c r="D916" t="s">
        <v>395</v>
      </c>
      <c r="E916" t="s">
        <v>564</v>
      </c>
      <c r="F916" t="s">
        <v>395</v>
      </c>
      <c r="G916">
        <v>67423</v>
      </c>
      <c r="H916">
        <v>-5.8</v>
      </c>
      <c r="I916">
        <v>2905.7</v>
      </c>
      <c r="J916">
        <v>19.7</v>
      </c>
      <c r="K916">
        <v>74248.899999999994</v>
      </c>
      <c r="L916">
        <v>34775.4</v>
      </c>
      <c r="M916">
        <v>0</v>
      </c>
      <c r="N916">
        <v>4.3</v>
      </c>
      <c r="O916">
        <v>3.9134000000000002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305877</v>
      </c>
      <c r="Y916" t="s">
        <v>347</v>
      </c>
      <c r="Z916" t="s">
        <v>714</v>
      </c>
      <c r="AB916" t="s">
        <v>733</v>
      </c>
      <c r="AC916" t="s">
        <v>715</v>
      </c>
      <c r="AE916" t="s">
        <v>716</v>
      </c>
      <c r="AF916" t="s">
        <v>329</v>
      </c>
      <c r="AG916">
        <v>2012</v>
      </c>
      <c r="AH916">
        <v>0.90806732490313002</v>
      </c>
      <c r="AI916">
        <v>0</v>
      </c>
      <c r="AJ916">
        <v>0</v>
      </c>
    </row>
    <row r="917" spans="1:36" x14ac:dyDescent="0.3">
      <c r="A917">
        <v>2013</v>
      </c>
      <c r="B917">
        <v>26</v>
      </c>
      <c r="C917" t="s">
        <v>679</v>
      </c>
      <c r="D917" t="s">
        <v>680</v>
      </c>
      <c r="E917" t="s">
        <v>681</v>
      </c>
      <c r="F917" t="s">
        <v>680</v>
      </c>
      <c r="G917">
        <v>142226.4</v>
      </c>
      <c r="H917">
        <v>21.3</v>
      </c>
      <c r="I917">
        <v>511.5</v>
      </c>
      <c r="J917">
        <v>-27</v>
      </c>
      <c r="K917">
        <v>165896.70000000001</v>
      </c>
      <c r="L917">
        <v>9444.1</v>
      </c>
      <c r="M917">
        <v>0</v>
      </c>
      <c r="N917">
        <v>0.4</v>
      </c>
      <c r="O917">
        <v>0.30830000000000002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287343</v>
      </c>
      <c r="Y917" t="s">
        <v>347</v>
      </c>
      <c r="Z917" t="s">
        <v>734</v>
      </c>
      <c r="AB917">
        <v>10126</v>
      </c>
      <c r="AC917" t="s">
        <v>735</v>
      </c>
      <c r="AE917" t="s">
        <v>685</v>
      </c>
      <c r="AF917" t="s">
        <v>329</v>
      </c>
      <c r="AG917">
        <v>2012</v>
      </c>
      <c r="AH917">
        <v>0.85731904251260005</v>
      </c>
      <c r="AI917">
        <v>0</v>
      </c>
      <c r="AJ917">
        <v>0</v>
      </c>
    </row>
    <row r="918" spans="1:36" x14ac:dyDescent="0.3">
      <c r="A918">
        <v>2012</v>
      </c>
      <c r="B918">
        <v>263</v>
      </c>
      <c r="C918" t="s">
        <v>689</v>
      </c>
      <c r="D918" t="s">
        <v>395</v>
      </c>
      <c r="E918" t="s">
        <v>690</v>
      </c>
      <c r="F918" t="s">
        <v>395</v>
      </c>
      <c r="G918">
        <v>38888.199999999997</v>
      </c>
      <c r="H918">
        <v>20.2</v>
      </c>
      <c r="I918">
        <v>949.9</v>
      </c>
      <c r="J918">
        <v>-12.1</v>
      </c>
      <c r="K918">
        <v>30719.3</v>
      </c>
      <c r="L918">
        <v>6133.7</v>
      </c>
      <c r="M918">
        <v>0</v>
      </c>
      <c r="N918">
        <v>2.4</v>
      </c>
      <c r="O918">
        <v>3.1</v>
      </c>
      <c r="P918">
        <v>15.5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136820</v>
      </c>
      <c r="Y918" t="s">
        <v>347</v>
      </c>
      <c r="Z918" t="s">
        <v>698</v>
      </c>
      <c r="AB918">
        <v>88046</v>
      </c>
      <c r="AC918" t="s">
        <v>692</v>
      </c>
      <c r="AE918" t="s">
        <v>693</v>
      </c>
      <c r="AF918">
        <v>6128.3870967741896</v>
      </c>
      <c r="AG918">
        <v>2011</v>
      </c>
      <c r="AH918">
        <v>1.2659207729342801</v>
      </c>
      <c r="AI918">
        <v>0.155</v>
      </c>
      <c r="AJ918">
        <v>5.0126239604168896</v>
      </c>
    </row>
    <row r="919" spans="1:36" x14ac:dyDescent="0.3">
      <c r="A919">
        <v>2012</v>
      </c>
      <c r="B919">
        <v>76</v>
      </c>
      <c r="C919" t="s">
        <v>712</v>
      </c>
      <c r="D919" t="s">
        <v>395</v>
      </c>
      <c r="E919" t="s">
        <v>564</v>
      </c>
      <c r="F919" t="s">
        <v>395</v>
      </c>
      <c r="G919">
        <v>80869.399999999994</v>
      </c>
      <c r="H919">
        <v>3.3</v>
      </c>
      <c r="I919">
        <v>2155.3000000000002</v>
      </c>
      <c r="J919">
        <v>-39.1</v>
      </c>
      <c r="K919">
        <v>86347.8</v>
      </c>
      <c r="L919">
        <v>36316.199999999997</v>
      </c>
      <c r="M919">
        <v>0</v>
      </c>
      <c r="N919">
        <v>2.7</v>
      </c>
      <c r="O919">
        <v>2.5</v>
      </c>
      <c r="P919">
        <v>5.9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389281</v>
      </c>
      <c r="Y919" t="s">
        <v>347</v>
      </c>
      <c r="Z919" t="s">
        <v>714</v>
      </c>
      <c r="AB919">
        <v>70049</v>
      </c>
      <c r="AC919" t="s">
        <v>715</v>
      </c>
      <c r="AE919" t="s">
        <v>716</v>
      </c>
      <c r="AF919">
        <v>36530.508474576302</v>
      </c>
      <c r="AG919">
        <v>2011</v>
      </c>
      <c r="AH919">
        <v>0.93655426079182102</v>
      </c>
      <c r="AI919">
        <v>5.8999999999999997E-2</v>
      </c>
      <c r="AJ919">
        <v>2.3637174407275099</v>
      </c>
    </row>
    <row r="920" spans="1:36" x14ac:dyDescent="0.3">
      <c r="A920">
        <v>2023</v>
      </c>
      <c r="B920">
        <v>292</v>
      </c>
      <c r="C920" t="s">
        <v>736</v>
      </c>
      <c r="D920" t="s">
        <v>422</v>
      </c>
      <c r="E920" t="s">
        <v>737</v>
      </c>
      <c r="F920" t="s">
        <v>422</v>
      </c>
      <c r="G920">
        <v>48848.7</v>
      </c>
      <c r="H920">
        <v>141.69999999999999</v>
      </c>
      <c r="I920">
        <v>4568.2</v>
      </c>
      <c r="J920">
        <v>85</v>
      </c>
      <c r="K920">
        <v>87129.9</v>
      </c>
      <c r="L920">
        <v>23847.5</v>
      </c>
      <c r="M920">
        <v>0</v>
      </c>
      <c r="N920">
        <v>9.4</v>
      </c>
      <c r="O920">
        <v>5.2</v>
      </c>
      <c r="P920">
        <v>19.2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118914</v>
      </c>
      <c r="Y920" t="s">
        <v>347</v>
      </c>
      <c r="Z920" t="s">
        <v>738</v>
      </c>
      <c r="AB920">
        <v>352109</v>
      </c>
      <c r="AC920" t="s">
        <v>739</v>
      </c>
      <c r="AE920" t="s">
        <v>740</v>
      </c>
      <c r="AF920">
        <v>23792.708333333299</v>
      </c>
      <c r="AG920">
        <v>2022</v>
      </c>
      <c r="AH920">
        <v>0.56064221352256804</v>
      </c>
      <c r="AI920">
        <v>0.192</v>
      </c>
      <c r="AJ920">
        <v>3.6620421172453002</v>
      </c>
    </row>
    <row r="921" spans="1:36" x14ac:dyDescent="0.3">
      <c r="A921">
        <v>2023</v>
      </c>
      <c r="B921">
        <v>225</v>
      </c>
      <c r="C921" t="s">
        <v>741</v>
      </c>
      <c r="D921" t="s">
        <v>422</v>
      </c>
      <c r="E921" t="s">
        <v>742</v>
      </c>
      <c r="F921" t="s">
        <v>422</v>
      </c>
      <c r="G921">
        <v>60395.8</v>
      </c>
      <c r="H921">
        <v>8.1</v>
      </c>
      <c r="I921">
        <v>945</v>
      </c>
      <c r="J921">
        <v>-35.799999999999997</v>
      </c>
      <c r="K921">
        <v>81290.5</v>
      </c>
      <c r="L921">
        <v>13008.6</v>
      </c>
      <c r="M921">
        <v>0</v>
      </c>
      <c r="N921">
        <v>1.6</v>
      </c>
      <c r="O921">
        <v>1.2</v>
      </c>
      <c r="P921">
        <v>7.3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131517</v>
      </c>
      <c r="Y921" t="s">
        <v>347</v>
      </c>
      <c r="Z921" t="s">
        <v>743</v>
      </c>
      <c r="AB921">
        <v>310051</v>
      </c>
      <c r="AC921" t="s">
        <v>744</v>
      </c>
      <c r="AE921" t="s">
        <v>745</v>
      </c>
      <c r="AF921">
        <v>12945.205479452099</v>
      </c>
      <c r="AG921">
        <v>2022</v>
      </c>
      <c r="AH921">
        <v>0.742962584803882</v>
      </c>
      <c r="AI921">
        <v>7.2999999999999995E-2</v>
      </c>
      <c r="AJ921">
        <v>6.2795835978836001</v>
      </c>
    </row>
    <row r="922" spans="1:36" x14ac:dyDescent="0.3">
      <c r="A922">
        <v>2023</v>
      </c>
      <c r="B922">
        <v>188</v>
      </c>
      <c r="C922" t="s">
        <v>746</v>
      </c>
      <c r="D922" t="s">
        <v>422</v>
      </c>
      <c r="E922" t="s">
        <v>747</v>
      </c>
      <c r="F922" t="s">
        <v>422</v>
      </c>
      <c r="G922">
        <v>68415.600000000006</v>
      </c>
      <c r="H922">
        <v>-20.6</v>
      </c>
      <c r="I922">
        <v>1211.2</v>
      </c>
      <c r="J922">
        <v>-15.9</v>
      </c>
      <c r="K922">
        <v>73288</v>
      </c>
      <c r="L922">
        <v>18464.8</v>
      </c>
      <c r="M922">
        <v>0</v>
      </c>
      <c r="N922">
        <v>1.8</v>
      </c>
      <c r="O922">
        <v>1.7</v>
      </c>
      <c r="P922">
        <v>6.6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134637</v>
      </c>
      <c r="Y922" t="s">
        <v>347</v>
      </c>
      <c r="Z922" t="s">
        <v>748</v>
      </c>
      <c r="AB922">
        <v>430056</v>
      </c>
      <c r="AC922" t="s">
        <v>749</v>
      </c>
      <c r="AE922" t="s">
        <v>750</v>
      </c>
      <c r="AF922">
        <v>18351.515151515199</v>
      </c>
      <c r="AG922">
        <v>2022</v>
      </c>
      <c r="AH922">
        <v>0.93351708328785099</v>
      </c>
      <c r="AI922">
        <v>6.6000000000000003E-2</v>
      </c>
      <c r="AJ922">
        <v>3.9935667107001298</v>
      </c>
    </row>
    <row r="923" spans="1:36" x14ac:dyDescent="0.3">
      <c r="A923">
        <v>2023</v>
      </c>
      <c r="B923">
        <v>165</v>
      </c>
      <c r="C923" t="s">
        <v>751</v>
      </c>
      <c r="D923" t="s">
        <v>422</v>
      </c>
      <c r="E923" t="s">
        <v>752</v>
      </c>
      <c r="F923" t="s">
        <v>422</v>
      </c>
      <c r="G923">
        <v>77344.7</v>
      </c>
      <c r="H923">
        <v>15.5</v>
      </c>
      <c r="I923">
        <v>623</v>
      </c>
      <c r="J923">
        <v>2.6</v>
      </c>
      <c r="K923">
        <v>57255.6</v>
      </c>
      <c r="L923">
        <v>9181</v>
      </c>
      <c r="M923">
        <v>0</v>
      </c>
      <c r="N923">
        <v>0.8</v>
      </c>
      <c r="O923">
        <v>1.1000000000000001</v>
      </c>
      <c r="P923">
        <v>6.8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119425</v>
      </c>
      <c r="Y923" t="s">
        <v>347</v>
      </c>
      <c r="Z923" t="s">
        <v>753</v>
      </c>
      <c r="AB923">
        <v>510623</v>
      </c>
      <c r="AC923" t="s">
        <v>754</v>
      </c>
      <c r="AE923" t="s">
        <v>755</v>
      </c>
      <c r="AF923">
        <v>9161.7647058823495</v>
      </c>
      <c r="AG923">
        <v>2022</v>
      </c>
      <c r="AH923">
        <v>1.35086698942985</v>
      </c>
      <c r="AI923">
        <v>6.8000000000000005E-2</v>
      </c>
      <c r="AJ923">
        <v>6.2494073836276103</v>
      </c>
    </row>
    <row r="924" spans="1:36" x14ac:dyDescent="0.3">
      <c r="A924">
        <v>2023</v>
      </c>
      <c r="B924">
        <v>131</v>
      </c>
      <c r="C924" t="s">
        <v>756</v>
      </c>
      <c r="D924" t="s">
        <v>422</v>
      </c>
      <c r="E924" t="s">
        <v>757</v>
      </c>
      <c r="F924" t="s">
        <v>422</v>
      </c>
      <c r="G924">
        <v>87679.4</v>
      </c>
      <c r="H924">
        <v>-19.899999999999999</v>
      </c>
      <c r="I924">
        <v>3846.4</v>
      </c>
      <c r="J924">
        <v>6.8</v>
      </c>
      <c r="K924">
        <v>86465.3</v>
      </c>
      <c r="L924">
        <v>36193.699999999997</v>
      </c>
      <c r="M924">
        <v>0</v>
      </c>
      <c r="N924">
        <v>4.4000000000000004</v>
      </c>
      <c r="O924">
        <v>4.4000000000000004</v>
      </c>
      <c r="P924">
        <v>10.6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119487</v>
      </c>
      <c r="Y924" t="s">
        <v>347</v>
      </c>
      <c r="Z924" t="s">
        <v>758</v>
      </c>
      <c r="AB924">
        <v>130013</v>
      </c>
      <c r="AC924" t="s">
        <v>759</v>
      </c>
      <c r="AE924" t="s">
        <v>760</v>
      </c>
      <c r="AF924">
        <v>36286.792452830203</v>
      </c>
      <c r="AG924">
        <v>2022</v>
      </c>
      <c r="AH924">
        <v>1.0140414709715899</v>
      </c>
      <c r="AI924">
        <v>0.106</v>
      </c>
      <c r="AJ924">
        <v>2.3828311668053201</v>
      </c>
    </row>
    <row r="925" spans="1:36" x14ac:dyDescent="0.3">
      <c r="A925">
        <v>2023</v>
      </c>
      <c r="B925">
        <v>84</v>
      </c>
      <c r="C925" t="s">
        <v>761</v>
      </c>
      <c r="D925" t="s">
        <v>422</v>
      </c>
      <c r="E925" t="s">
        <v>762</v>
      </c>
      <c r="F925" t="s">
        <v>422</v>
      </c>
      <c r="G925">
        <v>110612.3</v>
      </c>
      <c r="H925">
        <v>-8.5</v>
      </c>
      <c r="I925">
        <v>2396</v>
      </c>
      <c r="J925">
        <v>-37</v>
      </c>
      <c r="K925">
        <v>143552.1</v>
      </c>
      <c r="L925">
        <v>40485.1</v>
      </c>
      <c r="M925">
        <v>0</v>
      </c>
      <c r="N925">
        <v>2.2000000000000002</v>
      </c>
      <c r="O925">
        <v>1.7</v>
      </c>
      <c r="P925">
        <v>5.9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154863</v>
      </c>
      <c r="Y925" t="s">
        <v>347</v>
      </c>
      <c r="Z925" t="s">
        <v>763</v>
      </c>
      <c r="AB925">
        <v>200030</v>
      </c>
      <c r="AC925" t="s">
        <v>764</v>
      </c>
      <c r="AE925" t="s">
        <v>765</v>
      </c>
      <c r="AF925">
        <v>40610.169491525397</v>
      </c>
      <c r="AG925">
        <v>2022</v>
      </c>
      <c r="AH925">
        <v>0.77053766541903601</v>
      </c>
      <c r="AI925">
        <v>5.8999999999999997E-2</v>
      </c>
      <c r="AJ925">
        <v>3.53488059265442</v>
      </c>
    </row>
    <row r="926" spans="1:36" x14ac:dyDescent="0.3">
      <c r="A926">
        <v>2022</v>
      </c>
      <c r="B926">
        <v>186</v>
      </c>
      <c r="C926" t="s">
        <v>751</v>
      </c>
      <c r="D926" t="s">
        <v>422</v>
      </c>
      <c r="E926" t="s">
        <v>752</v>
      </c>
      <c r="F926" t="s">
        <v>422</v>
      </c>
      <c r="G926">
        <v>66955.199999999997</v>
      </c>
      <c r="H926">
        <v>16</v>
      </c>
      <c r="I926">
        <v>607.29999999999995</v>
      </c>
      <c r="J926">
        <v>5.4</v>
      </c>
      <c r="K926">
        <v>57354.7</v>
      </c>
      <c r="L926">
        <v>8139.3</v>
      </c>
      <c r="M926">
        <v>0</v>
      </c>
      <c r="N926">
        <v>0.9</v>
      </c>
      <c r="O926">
        <v>1.1000000000000001</v>
      </c>
      <c r="P926">
        <v>7.5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112113</v>
      </c>
      <c r="Y926" t="s">
        <v>347</v>
      </c>
      <c r="Z926" t="s">
        <v>753</v>
      </c>
      <c r="AB926">
        <v>510623</v>
      </c>
      <c r="AC926" t="s">
        <v>754</v>
      </c>
      <c r="AE926" t="s">
        <v>755</v>
      </c>
      <c r="AF926">
        <v>8097.3333333333303</v>
      </c>
      <c r="AG926">
        <v>2021</v>
      </c>
      <c r="AH926">
        <v>1.1673882000952001</v>
      </c>
      <c r="AI926">
        <v>7.4999999999999997E-2</v>
      </c>
      <c r="AJ926">
        <v>7.0831590647126603</v>
      </c>
    </row>
    <row r="927" spans="1:36" x14ac:dyDescent="0.3">
      <c r="A927">
        <v>2022</v>
      </c>
      <c r="B927">
        <v>122</v>
      </c>
      <c r="C927" t="s">
        <v>746</v>
      </c>
      <c r="D927" t="s">
        <v>422</v>
      </c>
      <c r="E927" t="s">
        <v>747</v>
      </c>
      <c r="F927" t="s">
        <v>422</v>
      </c>
      <c r="G927">
        <v>86122</v>
      </c>
      <c r="H927">
        <v>-0.8</v>
      </c>
      <c r="I927">
        <v>1440.9</v>
      </c>
      <c r="J927">
        <v>29.2</v>
      </c>
      <c r="K927">
        <v>86797.7</v>
      </c>
      <c r="L927">
        <v>18444.3</v>
      </c>
      <c r="M927">
        <v>0</v>
      </c>
      <c r="N927">
        <v>1.7</v>
      </c>
      <c r="O927">
        <v>1.7</v>
      </c>
      <c r="P927">
        <v>7.8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141681</v>
      </c>
      <c r="Y927" t="s">
        <v>347</v>
      </c>
      <c r="Z927" t="s">
        <v>748</v>
      </c>
      <c r="AB927">
        <v>430056</v>
      </c>
      <c r="AC927" t="s">
        <v>749</v>
      </c>
      <c r="AE927" t="s">
        <v>750</v>
      </c>
      <c r="AF927">
        <v>18473.0769230769</v>
      </c>
      <c r="AG927">
        <v>2021</v>
      </c>
      <c r="AH927">
        <v>0.99221523150959101</v>
      </c>
      <c r="AI927">
        <v>7.8E-2</v>
      </c>
      <c r="AJ927">
        <v>4.6986054549240004</v>
      </c>
    </row>
    <row r="928" spans="1:36" x14ac:dyDescent="0.3">
      <c r="A928">
        <v>2022</v>
      </c>
      <c r="B928">
        <v>229</v>
      </c>
      <c r="C928" t="s">
        <v>741</v>
      </c>
      <c r="D928" t="s">
        <v>422</v>
      </c>
      <c r="E928" t="s">
        <v>742</v>
      </c>
      <c r="F928" t="s">
        <v>422</v>
      </c>
      <c r="G928">
        <v>55860.1</v>
      </c>
      <c r="H928">
        <v>18.399999999999999</v>
      </c>
      <c r="I928">
        <v>1471</v>
      </c>
      <c r="J928">
        <v>8.8000000000000007</v>
      </c>
      <c r="K928">
        <v>81583.899999999994</v>
      </c>
      <c r="L928">
        <v>14713.3</v>
      </c>
      <c r="M928">
        <v>0</v>
      </c>
      <c r="N928">
        <v>2.6</v>
      </c>
      <c r="O928">
        <v>1.8</v>
      </c>
      <c r="P928">
        <v>10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128928</v>
      </c>
      <c r="Y928" t="s">
        <v>347</v>
      </c>
      <c r="Z928" t="s">
        <v>743</v>
      </c>
      <c r="AB928">
        <v>310051</v>
      </c>
      <c r="AC928" t="s">
        <v>766</v>
      </c>
      <c r="AE928" t="s">
        <v>745</v>
      </c>
      <c r="AF928">
        <v>14710</v>
      </c>
      <c r="AG928">
        <v>2021</v>
      </c>
      <c r="AH928">
        <v>0.68469514205621496</v>
      </c>
      <c r="AI928">
        <v>0.1</v>
      </c>
      <c r="AJ928">
        <v>5.5461522773623404</v>
      </c>
    </row>
    <row r="929" spans="1:36" x14ac:dyDescent="0.3">
      <c r="A929">
        <v>2022</v>
      </c>
      <c r="B929">
        <v>79</v>
      </c>
      <c r="C929" t="s">
        <v>756</v>
      </c>
      <c r="D929" t="s">
        <v>422</v>
      </c>
      <c r="E929" t="s">
        <v>757</v>
      </c>
      <c r="F929" t="s">
        <v>422</v>
      </c>
      <c r="G929">
        <v>109404.7</v>
      </c>
      <c r="H929">
        <v>8.1999999999999993</v>
      </c>
      <c r="I929">
        <v>3600.4</v>
      </c>
      <c r="J929">
        <v>25.6</v>
      </c>
      <c r="K929">
        <v>94470.8</v>
      </c>
      <c r="L929">
        <v>35914.5</v>
      </c>
      <c r="M929">
        <v>0</v>
      </c>
      <c r="N929">
        <v>3.3</v>
      </c>
      <c r="O929">
        <v>3.8</v>
      </c>
      <c r="P929">
        <v>10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118648</v>
      </c>
      <c r="Y929" t="s">
        <v>347</v>
      </c>
      <c r="Z929" t="s">
        <v>767</v>
      </c>
      <c r="AB929">
        <v>130013</v>
      </c>
      <c r="AC929" t="s">
        <v>759</v>
      </c>
      <c r="AE929" t="s">
        <v>760</v>
      </c>
      <c r="AF929">
        <v>36004</v>
      </c>
      <c r="AG929">
        <v>2021</v>
      </c>
      <c r="AH929">
        <v>1.1580795335701599</v>
      </c>
      <c r="AI929">
        <v>0.1</v>
      </c>
      <c r="AJ929">
        <v>2.6238973447394698</v>
      </c>
    </row>
    <row r="930" spans="1:36" x14ac:dyDescent="0.3">
      <c r="A930">
        <v>2022</v>
      </c>
      <c r="B930">
        <v>68</v>
      </c>
      <c r="C930" t="s">
        <v>761</v>
      </c>
      <c r="D930" t="s">
        <v>422</v>
      </c>
      <c r="E930" t="s">
        <v>762</v>
      </c>
      <c r="F930" t="s">
        <v>422</v>
      </c>
      <c r="G930">
        <v>120900.2</v>
      </c>
      <c r="H930">
        <v>12.4</v>
      </c>
      <c r="I930">
        <v>3803.4</v>
      </c>
      <c r="J930">
        <v>28.4</v>
      </c>
      <c r="K930">
        <v>144349.5</v>
      </c>
      <c r="L930">
        <v>43099.7</v>
      </c>
      <c r="M930">
        <v>0</v>
      </c>
      <c r="N930">
        <v>3.1</v>
      </c>
      <c r="O930">
        <v>2.6</v>
      </c>
      <c r="P930">
        <v>8.8000000000000007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146145</v>
      </c>
      <c r="Y930" t="s">
        <v>347</v>
      </c>
      <c r="Z930" t="s">
        <v>768</v>
      </c>
      <c r="AB930">
        <v>200041</v>
      </c>
      <c r="AC930" t="s">
        <v>764</v>
      </c>
      <c r="AE930" t="s">
        <v>765</v>
      </c>
      <c r="AF930">
        <v>43220.4545454545</v>
      </c>
      <c r="AG930">
        <v>2021</v>
      </c>
      <c r="AH930">
        <v>0.83755191393111805</v>
      </c>
      <c r="AI930">
        <v>8.7999999999999995E-2</v>
      </c>
      <c r="AJ930">
        <v>3.3398422464111102</v>
      </c>
    </row>
    <row r="931" spans="1:36" x14ac:dyDescent="0.3">
      <c r="A931">
        <v>2021</v>
      </c>
      <c r="B931">
        <v>239</v>
      </c>
      <c r="C931" t="s">
        <v>741</v>
      </c>
      <c r="D931" t="s">
        <v>422</v>
      </c>
      <c r="E931" t="s">
        <v>742</v>
      </c>
      <c r="F931" t="s">
        <v>422</v>
      </c>
      <c r="G931">
        <v>47191</v>
      </c>
      <c r="H931">
        <v>-1.5</v>
      </c>
      <c r="I931">
        <v>1352.3</v>
      </c>
      <c r="J931">
        <v>9.8000000000000007</v>
      </c>
      <c r="K931">
        <v>74391.399999999994</v>
      </c>
      <c r="L931">
        <v>13361.4</v>
      </c>
      <c r="M931">
        <v>0</v>
      </c>
      <c r="N931">
        <v>2.9</v>
      </c>
      <c r="O931">
        <v>1.8</v>
      </c>
      <c r="P931">
        <v>10.1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125764</v>
      </c>
      <c r="Y931" t="s">
        <v>347</v>
      </c>
      <c r="Z931" t="s">
        <v>743</v>
      </c>
      <c r="AB931">
        <v>310051</v>
      </c>
      <c r="AC931" t="s">
        <v>766</v>
      </c>
      <c r="AE931" t="s">
        <v>769</v>
      </c>
      <c r="AF931">
        <v>13389.1089108911</v>
      </c>
      <c r="AG931">
        <v>2020</v>
      </c>
      <c r="AH931">
        <v>0.634360961078834</v>
      </c>
      <c r="AI931">
        <v>0.10100000000000001</v>
      </c>
      <c r="AJ931">
        <v>5.5561128447829597</v>
      </c>
    </row>
    <row r="932" spans="1:36" x14ac:dyDescent="0.3">
      <c r="A932">
        <v>2021</v>
      </c>
      <c r="B932">
        <v>176</v>
      </c>
      <c r="C932" t="s">
        <v>751</v>
      </c>
      <c r="D932" t="s">
        <v>422</v>
      </c>
      <c r="E932" t="s">
        <v>752</v>
      </c>
      <c r="F932" t="s">
        <v>422</v>
      </c>
      <c r="G932">
        <v>57723.9</v>
      </c>
      <c r="H932">
        <v>7.6</v>
      </c>
      <c r="I932">
        <v>576.20000000000005</v>
      </c>
      <c r="J932">
        <v>2.1</v>
      </c>
      <c r="K932">
        <v>51344.800000000003</v>
      </c>
      <c r="L932">
        <v>7380.7</v>
      </c>
      <c r="M932">
        <v>0</v>
      </c>
      <c r="N932">
        <v>1</v>
      </c>
      <c r="O932">
        <v>1.1000000000000001</v>
      </c>
      <c r="P932">
        <v>7.8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103688</v>
      </c>
      <c r="Y932" t="s">
        <v>347</v>
      </c>
      <c r="Z932" t="s">
        <v>753</v>
      </c>
      <c r="AB932">
        <v>510623</v>
      </c>
      <c r="AC932" t="s">
        <v>754</v>
      </c>
      <c r="AE932" t="s">
        <v>755</v>
      </c>
      <c r="AF932">
        <v>7387.17948717949</v>
      </c>
      <c r="AG932">
        <v>2020</v>
      </c>
      <c r="AH932">
        <v>1.1242404294105699</v>
      </c>
      <c r="AI932">
        <v>7.8E-2</v>
      </c>
      <c r="AJ932">
        <v>6.9505282887886199</v>
      </c>
    </row>
    <row r="933" spans="1:36" x14ac:dyDescent="0.3">
      <c r="A933">
        <v>2021</v>
      </c>
      <c r="B933">
        <v>85</v>
      </c>
      <c r="C933" t="s">
        <v>746</v>
      </c>
      <c r="D933" t="s">
        <v>422</v>
      </c>
      <c r="E933" t="s">
        <v>747</v>
      </c>
      <c r="F933" t="s">
        <v>422</v>
      </c>
      <c r="G933">
        <v>86856.3</v>
      </c>
      <c r="H933">
        <v>3.3</v>
      </c>
      <c r="I933">
        <v>1115.5</v>
      </c>
      <c r="J933">
        <v>-16</v>
      </c>
      <c r="K933">
        <v>85096</v>
      </c>
      <c r="L933">
        <v>16272.3</v>
      </c>
      <c r="M933">
        <v>0</v>
      </c>
      <c r="N933">
        <v>1.3</v>
      </c>
      <c r="O933">
        <v>1.3</v>
      </c>
      <c r="P933">
        <v>6.9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145756</v>
      </c>
      <c r="Y933" t="s">
        <v>347</v>
      </c>
      <c r="Z933" t="s">
        <v>748</v>
      </c>
      <c r="AB933">
        <v>430056</v>
      </c>
      <c r="AC933" t="s">
        <v>749</v>
      </c>
      <c r="AE933" t="s">
        <v>750</v>
      </c>
      <c r="AF933">
        <v>16166.666666666701</v>
      </c>
      <c r="AG933">
        <v>2020</v>
      </c>
      <c r="AH933">
        <v>1.0206860486979401</v>
      </c>
      <c r="AI933">
        <v>6.9000000000000006E-2</v>
      </c>
      <c r="AJ933">
        <v>5.2636701030927799</v>
      </c>
    </row>
    <row r="934" spans="1:36" x14ac:dyDescent="0.3">
      <c r="A934">
        <v>2021</v>
      </c>
      <c r="B934">
        <v>66</v>
      </c>
      <c r="C934" t="s">
        <v>756</v>
      </c>
      <c r="D934" t="s">
        <v>422</v>
      </c>
      <c r="E934" t="s">
        <v>757</v>
      </c>
      <c r="F934" t="s">
        <v>422</v>
      </c>
      <c r="G934">
        <v>101075.8</v>
      </c>
      <c r="H934">
        <v>13</v>
      </c>
      <c r="I934">
        <v>2866.5</v>
      </c>
      <c r="J934">
        <v>0.7</v>
      </c>
      <c r="K934">
        <v>74933.399999999994</v>
      </c>
      <c r="L934">
        <v>32141.200000000001</v>
      </c>
      <c r="M934">
        <v>0</v>
      </c>
      <c r="N934">
        <v>2.8</v>
      </c>
      <c r="O934">
        <v>3.8</v>
      </c>
      <c r="P934">
        <v>8.9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121002</v>
      </c>
      <c r="Y934" t="s">
        <v>347</v>
      </c>
      <c r="Z934" t="s">
        <v>767</v>
      </c>
      <c r="AB934">
        <v>130013</v>
      </c>
      <c r="AC934" t="s">
        <v>759</v>
      </c>
      <c r="AE934" t="s">
        <v>760</v>
      </c>
      <c r="AF934">
        <v>32207.865168539302</v>
      </c>
      <c r="AG934">
        <v>2020</v>
      </c>
      <c r="AH934">
        <v>1.3488751344527301</v>
      </c>
      <c r="AI934">
        <v>8.8999999999999996E-2</v>
      </c>
      <c r="AJ934">
        <v>2.3265559392988</v>
      </c>
    </row>
    <row r="935" spans="1:36" x14ac:dyDescent="0.3">
      <c r="A935">
        <v>2021</v>
      </c>
      <c r="B935">
        <v>60</v>
      </c>
      <c r="C935" t="s">
        <v>761</v>
      </c>
      <c r="D935" t="s">
        <v>422</v>
      </c>
      <c r="E935" t="s">
        <v>762</v>
      </c>
      <c r="F935" t="s">
        <v>422</v>
      </c>
      <c r="G935">
        <v>107555.2</v>
      </c>
      <c r="H935">
        <v>-11.9</v>
      </c>
      <c r="I935">
        <v>2961</v>
      </c>
      <c r="J935">
        <v>-20.100000000000001</v>
      </c>
      <c r="K935">
        <v>140906.5</v>
      </c>
      <c r="L935">
        <v>39862.5</v>
      </c>
      <c r="M935">
        <v>0</v>
      </c>
      <c r="N935">
        <v>2.8</v>
      </c>
      <c r="O935">
        <v>2.1</v>
      </c>
      <c r="P935">
        <v>7.4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143261</v>
      </c>
      <c r="Y935" t="s">
        <v>347</v>
      </c>
      <c r="Z935" t="s">
        <v>768</v>
      </c>
      <c r="AB935">
        <v>200041</v>
      </c>
      <c r="AC935" t="s">
        <v>764</v>
      </c>
      <c r="AE935" t="s">
        <v>765</v>
      </c>
      <c r="AF935">
        <v>40013.513513513499</v>
      </c>
      <c r="AG935">
        <v>2020</v>
      </c>
      <c r="AH935">
        <v>0.76330900277843805</v>
      </c>
      <c r="AI935">
        <v>7.3999999999999996E-2</v>
      </c>
      <c r="AJ935">
        <v>3.5214728132387698</v>
      </c>
    </row>
    <row r="936" spans="1:36" x14ac:dyDescent="0.3">
      <c r="A936">
        <v>2020</v>
      </c>
      <c r="B936">
        <v>220</v>
      </c>
      <c r="C936" t="s">
        <v>741</v>
      </c>
      <c r="D936" t="s">
        <v>422</v>
      </c>
      <c r="E936" t="s">
        <v>742</v>
      </c>
      <c r="F936" t="s">
        <v>422</v>
      </c>
      <c r="G936">
        <v>49665.4</v>
      </c>
      <c r="H936">
        <v>20.6</v>
      </c>
      <c r="I936">
        <v>1969.3</v>
      </c>
      <c r="J936">
        <v>8.1999999999999993</v>
      </c>
      <c r="K936">
        <v>48564.800000000003</v>
      </c>
      <c r="L936">
        <v>8418.2000000000007</v>
      </c>
      <c r="M936">
        <v>0</v>
      </c>
      <c r="N936">
        <v>4</v>
      </c>
      <c r="O936">
        <v>4.0999999999999996</v>
      </c>
      <c r="P936">
        <v>23.4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124846</v>
      </c>
      <c r="Y936" t="s">
        <v>347</v>
      </c>
      <c r="Z936" t="s">
        <v>743</v>
      </c>
      <c r="AB936">
        <v>310051</v>
      </c>
      <c r="AC936" t="s">
        <v>770</v>
      </c>
      <c r="AE936" t="s">
        <v>769</v>
      </c>
      <c r="AF936">
        <v>8415.8119658119704</v>
      </c>
      <c r="AG936">
        <v>2019</v>
      </c>
      <c r="AH936">
        <v>1.0226625045300299</v>
      </c>
      <c r="AI936">
        <v>0.23400000000000001</v>
      </c>
      <c r="AJ936">
        <v>5.77066125019042</v>
      </c>
    </row>
    <row r="937" spans="1:36" x14ac:dyDescent="0.3">
      <c r="A937">
        <v>2020</v>
      </c>
      <c r="B937">
        <v>189</v>
      </c>
      <c r="C937" t="s">
        <v>751</v>
      </c>
      <c r="D937" t="s">
        <v>422</v>
      </c>
      <c r="E937" t="s">
        <v>752</v>
      </c>
      <c r="F937" t="s">
        <v>422</v>
      </c>
      <c r="G937">
        <v>55037.2</v>
      </c>
      <c r="H937">
        <v>9.4</v>
      </c>
      <c r="I937">
        <v>885.5</v>
      </c>
      <c r="J937">
        <v>-10.5</v>
      </c>
      <c r="K937">
        <v>42549.7</v>
      </c>
      <c r="L937">
        <v>6205.3</v>
      </c>
      <c r="M937">
        <v>0</v>
      </c>
      <c r="N937">
        <v>1.6</v>
      </c>
      <c r="O937">
        <v>2.1</v>
      </c>
      <c r="P937">
        <v>14.3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113474</v>
      </c>
      <c r="Y937" t="s">
        <v>347</v>
      </c>
      <c r="Z937" t="s">
        <v>753</v>
      </c>
      <c r="AB937">
        <v>510623</v>
      </c>
      <c r="AC937" t="s">
        <v>754</v>
      </c>
      <c r="AE937" t="s">
        <v>771</v>
      </c>
      <c r="AF937">
        <v>6192.3076923076896</v>
      </c>
      <c r="AG937">
        <v>2019</v>
      </c>
      <c r="AH937">
        <v>1.29348033006108</v>
      </c>
      <c r="AI937">
        <v>0.14299999999999999</v>
      </c>
      <c r="AJ937">
        <v>6.8713801242235997</v>
      </c>
    </row>
    <row r="938" spans="1:36" x14ac:dyDescent="0.3">
      <c r="A938">
        <v>2020</v>
      </c>
      <c r="B938">
        <v>87</v>
      </c>
      <c r="C938" t="s">
        <v>756</v>
      </c>
      <c r="D938" t="s">
        <v>422</v>
      </c>
      <c r="E938" t="s">
        <v>757</v>
      </c>
      <c r="F938" t="s">
        <v>422</v>
      </c>
      <c r="G938">
        <v>89804.7</v>
      </c>
      <c r="H938">
        <v>29.2</v>
      </c>
      <c r="I938">
        <v>2660.3</v>
      </c>
      <c r="J938">
        <v>-6.8</v>
      </c>
      <c r="K938">
        <v>66682.899999999994</v>
      </c>
      <c r="L938">
        <v>26822.7</v>
      </c>
      <c r="M938">
        <v>0</v>
      </c>
      <c r="N938">
        <v>3</v>
      </c>
      <c r="O938">
        <v>4</v>
      </c>
      <c r="P938">
        <v>9.9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142451</v>
      </c>
      <c r="Y938" t="s">
        <v>347</v>
      </c>
      <c r="Z938" t="s">
        <v>772</v>
      </c>
      <c r="AB938">
        <v>130013</v>
      </c>
      <c r="AC938" t="s">
        <v>759</v>
      </c>
      <c r="AE938" t="s">
        <v>760</v>
      </c>
      <c r="AF938">
        <v>26871.717171717199</v>
      </c>
      <c r="AG938">
        <v>2019</v>
      </c>
      <c r="AH938">
        <v>1.3467425681846501</v>
      </c>
      <c r="AI938">
        <v>9.9000000000000005E-2</v>
      </c>
      <c r="AJ938">
        <v>2.48152730895012</v>
      </c>
    </row>
    <row r="939" spans="1:36" x14ac:dyDescent="0.3">
      <c r="A939">
        <v>2020</v>
      </c>
      <c r="B939">
        <v>82</v>
      </c>
      <c r="C939" t="s">
        <v>746</v>
      </c>
      <c r="D939" t="s">
        <v>422</v>
      </c>
      <c r="E939" t="s">
        <v>747</v>
      </c>
      <c r="F939" t="s">
        <v>422</v>
      </c>
      <c r="G939">
        <v>90934.2</v>
      </c>
      <c r="H939">
        <v>-2.5</v>
      </c>
      <c r="I939">
        <v>1599.7</v>
      </c>
      <c r="J939">
        <v>14.3</v>
      </c>
      <c r="K939">
        <v>66397.100000000006</v>
      </c>
      <c r="L939">
        <v>13446.3</v>
      </c>
      <c r="M939">
        <v>0</v>
      </c>
      <c r="N939">
        <v>1.8</v>
      </c>
      <c r="O939">
        <v>2.4</v>
      </c>
      <c r="P939">
        <v>11.9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167528</v>
      </c>
      <c r="Y939" t="s">
        <v>347</v>
      </c>
      <c r="Z939" t="s">
        <v>748</v>
      </c>
      <c r="AB939">
        <v>430056</v>
      </c>
      <c r="AC939" t="s">
        <v>773</v>
      </c>
      <c r="AE939" t="s">
        <v>750</v>
      </c>
      <c r="AF939">
        <v>13442.857142857099</v>
      </c>
      <c r="AG939">
        <v>2019</v>
      </c>
      <c r="AH939">
        <v>1.36955077857316</v>
      </c>
      <c r="AI939">
        <v>0.11899999999999999</v>
      </c>
      <c r="AJ939">
        <v>4.9392104144527096</v>
      </c>
    </row>
    <row r="940" spans="1:36" x14ac:dyDescent="0.3">
      <c r="A940">
        <v>2020</v>
      </c>
      <c r="B940">
        <v>39</v>
      </c>
      <c r="C940" t="s">
        <v>761</v>
      </c>
      <c r="D940" t="s">
        <v>422</v>
      </c>
      <c r="E940" t="s">
        <v>762</v>
      </c>
      <c r="F940" t="s">
        <v>422</v>
      </c>
      <c r="G940">
        <v>136392.5</v>
      </c>
      <c r="H940">
        <v>5.9</v>
      </c>
      <c r="I940">
        <v>5443.8</v>
      </c>
      <c r="J940">
        <v>6.9</v>
      </c>
      <c r="K940">
        <v>114011.7</v>
      </c>
      <c r="L940">
        <v>34136.1</v>
      </c>
      <c r="M940">
        <v>0</v>
      </c>
      <c r="N940">
        <v>4</v>
      </c>
      <c r="O940">
        <v>4.8</v>
      </c>
      <c r="P940">
        <v>15.9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147738</v>
      </c>
      <c r="Y940" t="s">
        <v>347</v>
      </c>
      <c r="Z940" t="s">
        <v>768</v>
      </c>
      <c r="AB940">
        <v>200041</v>
      </c>
      <c r="AC940" t="s">
        <v>764</v>
      </c>
      <c r="AE940" t="s">
        <v>765</v>
      </c>
      <c r="AF940">
        <v>34237.735849056597</v>
      </c>
      <c r="AG940">
        <v>2019</v>
      </c>
      <c r="AH940">
        <v>1.19630266016558</v>
      </c>
      <c r="AI940">
        <v>0.159</v>
      </c>
      <c r="AJ940">
        <v>3.33000115727984</v>
      </c>
    </row>
    <row r="941" spans="1:36" x14ac:dyDescent="0.3">
      <c r="A941">
        <v>2019</v>
      </c>
      <c r="B941">
        <v>220</v>
      </c>
      <c r="C941" t="s">
        <v>741</v>
      </c>
      <c r="D941" t="s">
        <v>422</v>
      </c>
      <c r="E941" t="s">
        <v>742</v>
      </c>
      <c r="F941" t="s">
        <v>422</v>
      </c>
      <c r="G941">
        <v>49665.4</v>
      </c>
      <c r="H941">
        <v>20.6</v>
      </c>
      <c r="I941">
        <v>1969.3</v>
      </c>
      <c r="J941">
        <v>8.1999999999999993</v>
      </c>
      <c r="K941">
        <v>48564.800000000003</v>
      </c>
      <c r="L941">
        <v>8418.2000000000007</v>
      </c>
      <c r="M941">
        <v>0</v>
      </c>
      <c r="N941">
        <v>4</v>
      </c>
      <c r="O941">
        <v>4.0999999999999996</v>
      </c>
      <c r="P941">
        <v>23.4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124846</v>
      </c>
      <c r="Y941" t="s">
        <v>347</v>
      </c>
      <c r="Z941" t="s">
        <v>743</v>
      </c>
      <c r="AB941">
        <v>310051</v>
      </c>
      <c r="AC941" t="s">
        <v>770</v>
      </c>
      <c r="AE941" t="s">
        <v>769</v>
      </c>
      <c r="AF941">
        <v>8415.8119658119704</v>
      </c>
      <c r="AG941">
        <v>2018</v>
      </c>
      <c r="AH941">
        <v>1.0226625045300299</v>
      </c>
      <c r="AI941">
        <v>0.23400000000000001</v>
      </c>
      <c r="AJ941">
        <v>5.77066125019042</v>
      </c>
    </row>
    <row r="942" spans="1:36" x14ac:dyDescent="0.3">
      <c r="A942">
        <v>2019</v>
      </c>
      <c r="B942">
        <v>189</v>
      </c>
      <c r="C942" t="s">
        <v>751</v>
      </c>
      <c r="D942" t="s">
        <v>422</v>
      </c>
      <c r="E942" t="s">
        <v>752</v>
      </c>
      <c r="F942" t="s">
        <v>422</v>
      </c>
      <c r="G942">
        <v>55037.2</v>
      </c>
      <c r="H942">
        <v>9.4</v>
      </c>
      <c r="I942">
        <v>885.5</v>
      </c>
      <c r="J942">
        <v>-10.5</v>
      </c>
      <c r="K942">
        <v>42549.7</v>
      </c>
      <c r="L942">
        <v>6205.3</v>
      </c>
      <c r="M942">
        <v>0</v>
      </c>
      <c r="N942">
        <v>1.6</v>
      </c>
      <c r="O942">
        <v>2.1</v>
      </c>
      <c r="P942">
        <v>14.3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113474</v>
      </c>
      <c r="Y942" t="s">
        <v>347</v>
      </c>
      <c r="Z942" t="s">
        <v>753</v>
      </c>
      <c r="AB942">
        <v>510623</v>
      </c>
      <c r="AC942" t="s">
        <v>754</v>
      </c>
      <c r="AE942" t="s">
        <v>771</v>
      </c>
      <c r="AF942">
        <v>6192.3076923076896</v>
      </c>
      <c r="AG942">
        <v>2018</v>
      </c>
      <c r="AH942">
        <v>1.29348033006108</v>
      </c>
      <c r="AI942">
        <v>0.14299999999999999</v>
      </c>
      <c r="AJ942">
        <v>6.8713801242235997</v>
      </c>
    </row>
    <row r="943" spans="1:36" x14ac:dyDescent="0.3">
      <c r="A943">
        <v>2019</v>
      </c>
      <c r="B943">
        <v>87</v>
      </c>
      <c r="C943" t="s">
        <v>756</v>
      </c>
      <c r="D943" t="s">
        <v>422</v>
      </c>
      <c r="E943" t="s">
        <v>757</v>
      </c>
      <c r="F943" t="s">
        <v>422</v>
      </c>
      <c r="G943">
        <v>89804.7</v>
      </c>
      <c r="H943">
        <v>29.2</v>
      </c>
      <c r="I943">
        <v>2660.3</v>
      </c>
      <c r="J943">
        <v>-6.8</v>
      </c>
      <c r="K943">
        <v>66682.899999999994</v>
      </c>
      <c r="L943">
        <v>26822.7</v>
      </c>
      <c r="M943">
        <v>0</v>
      </c>
      <c r="N943">
        <v>3</v>
      </c>
      <c r="O943">
        <v>4</v>
      </c>
      <c r="P943">
        <v>9.9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142451</v>
      </c>
      <c r="Y943" t="s">
        <v>347</v>
      </c>
      <c r="Z943" t="s">
        <v>772</v>
      </c>
      <c r="AB943">
        <v>130013</v>
      </c>
      <c r="AC943" t="s">
        <v>759</v>
      </c>
      <c r="AE943" t="s">
        <v>760</v>
      </c>
      <c r="AF943">
        <v>26871.717171717199</v>
      </c>
      <c r="AG943">
        <v>2018</v>
      </c>
      <c r="AH943">
        <v>1.3467425681846501</v>
      </c>
      <c r="AI943">
        <v>9.9000000000000005E-2</v>
      </c>
      <c r="AJ943">
        <v>2.48152730895012</v>
      </c>
    </row>
    <row r="944" spans="1:36" x14ac:dyDescent="0.3">
      <c r="A944">
        <v>2019</v>
      </c>
      <c r="B944">
        <v>82</v>
      </c>
      <c r="C944" t="s">
        <v>746</v>
      </c>
      <c r="D944" t="s">
        <v>422</v>
      </c>
      <c r="E944" t="s">
        <v>747</v>
      </c>
      <c r="F944" t="s">
        <v>422</v>
      </c>
      <c r="G944">
        <v>90934.2</v>
      </c>
      <c r="H944">
        <v>-2.5</v>
      </c>
      <c r="I944">
        <v>1599.7</v>
      </c>
      <c r="J944">
        <v>14.3</v>
      </c>
      <c r="K944">
        <v>66397.100000000006</v>
      </c>
      <c r="L944">
        <v>13446.3</v>
      </c>
      <c r="M944">
        <v>0</v>
      </c>
      <c r="N944">
        <v>1.8</v>
      </c>
      <c r="O944">
        <v>2.4</v>
      </c>
      <c r="P944">
        <v>11.9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167528</v>
      </c>
      <c r="Y944" t="s">
        <v>347</v>
      </c>
      <c r="Z944" t="s">
        <v>748</v>
      </c>
      <c r="AB944">
        <v>430056</v>
      </c>
      <c r="AC944" t="s">
        <v>773</v>
      </c>
      <c r="AE944" t="s">
        <v>750</v>
      </c>
      <c r="AF944">
        <v>13442.857142857099</v>
      </c>
      <c r="AG944">
        <v>2018</v>
      </c>
      <c r="AH944">
        <v>1.36955077857316</v>
      </c>
      <c r="AI944">
        <v>0.11899999999999999</v>
      </c>
      <c r="AJ944">
        <v>4.9392104144527096</v>
      </c>
    </row>
    <row r="945" spans="1:36" x14ac:dyDescent="0.3">
      <c r="A945">
        <v>2019</v>
      </c>
      <c r="B945">
        <v>39</v>
      </c>
      <c r="C945" t="s">
        <v>761</v>
      </c>
      <c r="D945" t="s">
        <v>422</v>
      </c>
      <c r="E945" t="s">
        <v>762</v>
      </c>
      <c r="F945" t="s">
        <v>422</v>
      </c>
      <c r="G945">
        <v>136392.5</v>
      </c>
      <c r="H945">
        <v>5.9</v>
      </c>
      <c r="I945">
        <v>5443.8</v>
      </c>
      <c r="J945">
        <v>6.9</v>
      </c>
      <c r="K945">
        <v>114011.7</v>
      </c>
      <c r="L945">
        <v>34136.1</v>
      </c>
      <c r="M945">
        <v>0</v>
      </c>
      <c r="N945">
        <v>4</v>
      </c>
      <c r="O945">
        <v>4.8</v>
      </c>
      <c r="P945">
        <v>15.9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147738</v>
      </c>
      <c r="Y945" t="s">
        <v>347</v>
      </c>
      <c r="Z945" t="s">
        <v>768</v>
      </c>
      <c r="AB945">
        <v>200041</v>
      </c>
      <c r="AC945" t="s">
        <v>764</v>
      </c>
      <c r="AE945" t="s">
        <v>765</v>
      </c>
      <c r="AF945">
        <v>34237.735849056597</v>
      </c>
      <c r="AG945">
        <v>2018</v>
      </c>
      <c r="AH945">
        <v>1.19630266016558</v>
      </c>
      <c r="AI945">
        <v>0.159</v>
      </c>
      <c r="AJ945">
        <v>3.33000115727984</v>
      </c>
    </row>
    <row r="946" spans="1:36" x14ac:dyDescent="0.3">
      <c r="A946">
        <v>2018</v>
      </c>
      <c r="B946">
        <v>220</v>
      </c>
      <c r="C946" t="s">
        <v>741</v>
      </c>
      <c r="D946" t="s">
        <v>422</v>
      </c>
      <c r="E946" t="s">
        <v>742</v>
      </c>
      <c r="F946" t="s">
        <v>422</v>
      </c>
      <c r="G946">
        <v>49665.4</v>
      </c>
      <c r="H946">
        <v>20.6</v>
      </c>
      <c r="I946">
        <v>1969.3</v>
      </c>
      <c r="J946">
        <v>8.1999999999999993</v>
      </c>
      <c r="K946">
        <v>48564.800000000003</v>
      </c>
      <c r="L946">
        <v>8418.2000000000007</v>
      </c>
      <c r="M946">
        <v>0</v>
      </c>
      <c r="N946">
        <v>4</v>
      </c>
      <c r="O946">
        <v>4.0999999999999996</v>
      </c>
      <c r="P946">
        <v>23.4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124846</v>
      </c>
      <c r="Y946" t="s">
        <v>347</v>
      </c>
      <c r="Z946" t="s">
        <v>743</v>
      </c>
      <c r="AB946">
        <v>310051</v>
      </c>
      <c r="AC946" t="s">
        <v>770</v>
      </c>
      <c r="AE946" t="s">
        <v>769</v>
      </c>
      <c r="AF946">
        <v>8415.8119658119704</v>
      </c>
      <c r="AG946">
        <v>2017</v>
      </c>
      <c r="AH946">
        <v>1.0226625045300299</v>
      </c>
      <c r="AI946">
        <v>0.23400000000000001</v>
      </c>
      <c r="AJ946">
        <v>5.77066125019042</v>
      </c>
    </row>
    <row r="947" spans="1:36" x14ac:dyDescent="0.3">
      <c r="A947">
        <v>2018</v>
      </c>
      <c r="B947">
        <v>189</v>
      </c>
      <c r="C947" t="s">
        <v>751</v>
      </c>
      <c r="D947" t="s">
        <v>422</v>
      </c>
      <c r="E947" t="s">
        <v>752</v>
      </c>
      <c r="F947" t="s">
        <v>422</v>
      </c>
      <c r="G947">
        <v>55037.2</v>
      </c>
      <c r="H947">
        <v>9.4</v>
      </c>
      <c r="I947">
        <v>885.5</v>
      </c>
      <c r="J947">
        <v>-10.5</v>
      </c>
      <c r="K947">
        <v>42549.7</v>
      </c>
      <c r="L947">
        <v>6205.3</v>
      </c>
      <c r="M947">
        <v>0</v>
      </c>
      <c r="N947">
        <v>1.6</v>
      </c>
      <c r="O947">
        <v>2.1</v>
      </c>
      <c r="P947">
        <v>14.3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113474</v>
      </c>
      <c r="Y947" t="s">
        <v>347</v>
      </c>
      <c r="Z947" t="s">
        <v>753</v>
      </c>
      <c r="AB947">
        <v>510623</v>
      </c>
      <c r="AC947" t="s">
        <v>754</v>
      </c>
      <c r="AE947" t="s">
        <v>771</v>
      </c>
      <c r="AF947">
        <v>6192.3076923076896</v>
      </c>
      <c r="AG947">
        <v>2017</v>
      </c>
      <c r="AH947">
        <v>1.29348033006108</v>
      </c>
      <c r="AI947">
        <v>0.14299999999999999</v>
      </c>
      <c r="AJ947">
        <v>6.8713801242235997</v>
      </c>
    </row>
    <row r="948" spans="1:36" x14ac:dyDescent="0.3">
      <c r="A948">
        <v>2018</v>
      </c>
      <c r="B948">
        <v>87</v>
      </c>
      <c r="C948" t="s">
        <v>756</v>
      </c>
      <c r="D948" t="s">
        <v>422</v>
      </c>
      <c r="E948" t="s">
        <v>757</v>
      </c>
      <c r="F948" t="s">
        <v>422</v>
      </c>
      <c r="G948">
        <v>89804.7</v>
      </c>
      <c r="H948">
        <v>29.2</v>
      </c>
      <c r="I948">
        <v>2660.3</v>
      </c>
      <c r="J948">
        <v>-6.8</v>
      </c>
      <c r="K948">
        <v>66682.899999999994</v>
      </c>
      <c r="L948">
        <v>26822.7</v>
      </c>
      <c r="M948">
        <v>0</v>
      </c>
      <c r="N948">
        <v>3</v>
      </c>
      <c r="O948">
        <v>4</v>
      </c>
      <c r="P948">
        <v>9.9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142451</v>
      </c>
      <c r="Y948" t="s">
        <v>347</v>
      </c>
      <c r="Z948" t="s">
        <v>772</v>
      </c>
      <c r="AB948">
        <v>130013</v>
      </c>
      <c r="AC948" t="s">
        <v>759</v>
      </c>
      <c r="AE948" t="s">
        <v>760</v>
      </c>
      <c r="AF948">
        <v>26871.717171717199</v>
      </c>
      <c r="AG948">
        <v>2017</v>
      </c>
      <c r="AH948">
        <v>1.3467425681846501</v>
      </c>
      <c r="AI948">
        <v>9.9000000000000005E-2</v>
      </c>
      <c r="AJ948">
        <v>2.48152730895012</v>
      </c>
    </row>
    <row r="949" spans="1:36" x14ac:dyDescent="0.3">
      <c r="A949">
        <v>2018</v>
      </c>
      <c r="B949">
        <v>82</v>
      </c>
      <c r="C949" t="s">
        <v>746</v>
      </c>
      <c r="D949" t="s">
        <v>422</v>
      </c>
      <c r="E949" t="s">
        <v>747</v>
      </c>
      <c r="F949" t="s">
        <v>422</v>
      </c>
      <c r="G949">
        <v>90934.2</v>
      </c>
      <c r="H949">
        <v>-2.5</v>
      </c>
      <c r="I949">
        <v>1599.7</v>
      </c>
      <c r="J949">
        <v>14.3</v>
      </c>
      <c r="K949">
        <v>66397.100000000006</v>
      </c>
      <c r="L949">
        <v>13446.3</v>
      </c>
      <c r="M949">
        <v>0</v>
      </c>
      <c r="N949">
        <v>1.8</v>
      </c>
      <c r="O949">
        <v>2.4</v>
      </c>
      <c r="P949">
        <v>11.9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167528</v>
      </c>
      <c r="Y949" t="s">
        <v>347</v>
      </c>
      <c r="Z949" t="s">
        <v>748</v>
      </c>
      <c r="AB949">
        <v>430056</v>
      </c>
      <c r="AC949" t="s">
        <v>773</v>
      </c>
      <c r="AE949" t="s">
        <v>750</v>
      </c>
      <c r="AF949">
        <v>13442.857142857099</v>
      </c>
      <c r="AG949">
        <v>2017</v>
      </c>
      <c r="AH949">
        <v>1.36955077857316</v>
      </c>
      <c r="AI949">
        <v>0.11899999999999999</v>
      </c>
      <c r="AJ949">
        <v>4.9392104144527096</v>
      </c>
    </row>
    <row r="950" spans="1:36" x14ac:dyDescent="0.3">
      <c r="A950">
        <v>2018</v>
      </c>
      <c r="B950">
        <v>39</v>
      </c>
      <c r="C950" t="s">
        <v>761</v>
      </c>
      <c r="D950" t="s">
        <v>422</v>
      </c>
      <c r="E950" t="s">
        <v>762</v>
      </c>
      <c r="F950" t="s">
        <v>422</v>
      </c>
      <c r="G950">
        <v>136392.5</v>
      </c>
      <c r="H950">
        <v>5.9</v>
      </c>
      <c r="I950">
        <v>5443.8</v>
      </c>
      <c r="J950">
        <v>6.9</v>
      </c>
      <c r="K950">
        <v>114011.7</v>
      </c>
      <c r="L950">
        <v>34136.1</v>
      </c>
      <c r="M950">
        <v>0</v>
      </c>
      <c r="N950">
        <v>4</v>
      </c>
      <c r="O950">
        <v>4.8</v>
      </c>
      <c r="P950">
        <v>15.9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147738</v>
      </c>
      <c r="Y950" t="s">
        <v>347</v>
      </c>
      <c r="Z950" t="s">
        <v>768</v>
      </c>
      <c r="AB950">
        <v>200041</v>
      </c>
      <c r="AC950" t="s">
        <v>764</v>
      </c>
      <c r="AE950" t="s">
        <v>765</v>
      </c>
      <c r="AF950">
        <v>34237.735849056597</v>
      </c>
      <c r="AG950">
        <v>2017</v>
      </c>
      <c r="AH950">
        <v>1.19630266016558</v>
      </c>
      <c r="AI950">
        <v>0.159</v>
      </c>
      <c r="AJ950">
        <v>3.33000115727984</v>
      </c>
    </row>
    <row r="951" spans="1:36" x14ac:dyDescent="0.3">
      <c r="A951">
        <v>2017</v>
      </c>
      <c r="B951">
        <v>343</v>
      </c>
      <c r="C951" t="s">
        <v>741</v>
      </c>
      <c r="D951" t="s">
        <v>422</v>
      </c>
      <c r="E951" t="s">
        <v>742</v>
      </c>
      <c r="F951" t="s">
        <v>422</v>
      </c>
      <c r="G951">
        <v>31429.8</v>
      </c>
      <c r="H951">
        <v>19.5</v>
      </c>
      <c r="I951">
        <v>1265.7</v>
      </c>
      <c r="J951">
        <v>341.6</v>
      </c>
      <c r="K951">
        <v>29749</v>
      </c>
      <c r="L951">
        <v>5895.5</v>
      </c>
      <c r="M951">
        <v>0</v>
      </c>
      <c r="N951">
        <v>4</v>
      </c>
      <c r="O951">
        <v>4.3</v>
      </c>
      <c r="P951">
        <v>21.5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60712</v>
      </c>
      <c r="Y951" t="s">
        <v>347</v>
      </c>
      <c r="Z951" t="s">
        <v>743</v>
      </c>
      <c r="AB951">
        <v>310051</v>
      </c>
      <c r="AC951" t="s">
        <v>770</v>
      </c>
      <c r="AE951" t="s">
        <v>769</v>
      </c>
      <c r="AF951">
        <v>5886.9767441860504</v>
      </c>
      <c r="AG951">
        <v>2016</v>
      </c>
      <c r="AH951">
        <v>1.05649937813036</v>
      </c>
      <c r="AI951">
        <v>0.215</v>
      </c>
      <c r="AJ951">
        <v>5.0533578257090896</v>
      </c>
    </row>
    <row r="952" spans="1:36" x14ac:dyDescent="0.3">
      <c r="A952">
        <v>2017</v>
      </c>
      <c r="B952">
        <v>238</v>
      </c>
      <c r="C952" t="s">
        <v>751</v>
      </c>
      <c r="D952" t="s">
        <v>422</v>
      </c>
      <c r="E952" t="s">
        <v>752</v>
      </c>
      <c r="F952" t="s">
        <v>422</v>
      </c>
      <c r="G952">
        <v>41560.400000000001</v>
      </c>
      <c r="H952">
        <v>20.7</v>
      </c>
      <c r="I952">
        <v>551.9</v>
      </c>
      <c r="J952">
        <v>10.8</v>
      </c>
      <c r="K952">
        <v>30267</v>
      </c>
      <c r="L952">
        <v>3790.5</v>
      </c>
      <c r="M952">
        <v>0</v>
      </c>
      <c r="N952">
        <v>1.3</v>
      </c>
      <c r="O952">
        <v>1.8</v>
      </c>
      <c r="P952">
        <v>14.6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75908</v>
      </c>
      <c r="Y952" t="s">
        <v>347</v>
      </c>
      <c r="Z952" t="s">
        <v>753</v>
      </c>
      <c r="AB952">
        <v>510623</v>
      </c>
      <c r="AC952" t="s">
        <v>774</v>
      </c>
      <c r="AE952" t="s">
        <v>771</v>
      </c>
      <c r="AF952">
        <v>3780.1369863013701</v>
      </c>
      <c r="AG952">
        <v>2016</v>
      </c>
      <c r="AH952">
        <v>1.37312584663165</v>
      </c>
      <c r="AI952">
        <v>0.14599999999999999</v>
      </c>
      <c r="AJ952">
        <v>8.0068526907048394</v>
      </c>
    </row>
    <row r="953" spans="1:36" x14ac:dyDescent="0.3">
      <c r="A953">
        <v>2017</v>
      </c>
      <c r="B953">
        <v>125</v>
      </c>
      <c r="C953" t="s">
        <v>756</v>
      </c>
      <c r="D953" t="s">
        <v>422</v>
      </c>
      <c r="E953" t="s">
        <v>757</v>
      </c>
      <c r="F953" t="s">
        <v>422</v>
      </c>
      <c r="G953">
        <v>64783.9</v>
      </c>
      <c r="H953">
        <v>3.1</v>
      </c>
      <c r="I953">
        <v>2411.3000000000002</v>
      </c>
      <c r="J953">
        <v>-25.9</v>
      </c>
      <c r="K953">
        <v>54771.8</v>
      </c>
      <c r="L953">
        <v>24488.5</v>
      </c>
      <c r="M953">
        <v>0</v>
      </c>
      <c r="N953">
        <v>3.7</v>
      </c>
      <c r="O953">
        <v>4.4000000000000004</v>
      </c>
      <c r="P953">
        <v>9.8000000000000007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122323</v>
      </c>
      <c r="Y953" t="s">
        <v>347</v>
      </c>
      <c r="Z953" t="s">
        <v>775</v>
      </c>
      <c r="AB953">
        <v>130011</v>
      </c>
      <c r="AC953" t="s">
        <v>776</v>
      </c>
      <c r="AE953" t="s">
        <v>777</v>
      </c>
      <c r="AF953">
        <v>24605.102040816299</v>
      </c>
      <c r="AG953">
        <v>2016</v>
      </c>
      <c r="AH953">
        <v>1.1827966216191499</v>
      </c>
      <c r="AI953">
        <v>9.8000000000000004E-2</v>
      </c>
      <c r="AJ953">
        <v>2.2260342553809198</v>
      </c>
    </row>
    <row r="954" spans="1:36" x14ac:dyDescent="0.3">
      <c r="A954">
        <v>2017</v>
      </c>
      <c r="B954">
        <v>68</v>
      </c>
      <c r="C954" t="s">
        <v>746</v>
      </c>
      <c r="D954" t="s">
        <v>422</v>
      </c>
      <c r="E954" t="s">
        <v>747</v>
      </c>
      <c r="F954" t="s">
        <v>422</v>
      </c>
      <c r="G954">
        <v>86193.5</v>
      </c>
      <c r="H954">
        <v>4.0999999999999996</v>
      </c>
      <c r="I954">
        <v>1415</v>
      </c>
      <c r="J954">
        <v>-4.4000000000000004</v>
      </c>
      <c r="K954">
        <v>59531.8</v>
      </c>
      <c r="L954">
        <v>11463.6</v>
      </c>
      <c r="M954">
        <v>0</v>
      </c>
      <c r="N954">
        <v>1.6</v>
      </c>
      <c r="O954">
        <v>2.4</v>
      </c>
      <c r="P954">
        <v>12.3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189795</v>
      </c>
      <c r="Y954" t="s">
        <v>347</v>
      </c>
      <c r="Z954" t="s">
        <v>748</v>
      </c>
      <c r="AB954">
        <v>430056</v>
      </c>
      <c r="AC954" t="s">
        <v>773</v>
      </c>
      <c r="AE954" t="s">
        <v>750</v>
      </c>
      <c r="AF954">
        <v>11504.065040650399</v>
      </c>
      <c r="AG954">
        <v>2016</v>
      </c>
      <c r="AH954">
        <v>1.4478564397515301</v>
      </c>
      <c r="AI954">
        <v>0.123</v>
      </c>
      <c r="AJ954">
        <v>5.1748490459363996</v>
      </c>
    </row>
    <row r="955" spans="1:36" x14ac:dyDescent="0.3">
      <c r="A955">
        <v>2017</v>
      </c>
      <c r="B955">
        <v>41</v>
      </c>
      <c r="C955" t="s">
        <v>761</v>
      </c>
      <c r="D955" t="s">
        <v>422</v>
      </c>
      <c r="E955" t="s">
        <v>762</v>
      </c>
      <c r="F955" t="s">
        <v>422</v>
      </c>
      <c r="G955">
        <v>113860.8</v>
      </c>
      <c r="H955">
        <v>6.7</v>
      </c>
      <c r="I955">
        <v>4818.2</v>
      </c>
      <c r="J955">
        <v>1.6</v>
      </c>
      <c r="K955">
        <v>84988.6</v>
      </c>
      <c r="L955">
        <v>27616.5</v>
      </c>
      <c r="M955">
        <v>0</v>
      </c>
      <c r="N955">
        <v>4.2</v>
      </c>
      <c r="O955">
        <v>5.7</v>
      </c>
      <c r="P955">
        <v>17.399999999999999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97582</v>
      </c>
      <c r="Y955" t="s">
        <v>347</v>
      </c>
      <c r="Z955" t="s">
        <v>768</v>
      </c>
      <c r="AB955">
        <v>200041</v>
      </c>
      <c r="AC955" t="s">
        <v>764</v>
      </c>
      <c r="AE955" t="s">
        <v>765</v>
      </c>
      <c r="AF955">
        <v>27690.804597701099</v>
      </c>
      <c r="AG955">
        <v>2016</v>
      </c>
      <c r="AH955">
        <v>1.3397185034228101</v>
      </c>
      <c r="AI955">
        <v>0.17399999999999999</v>
      </c>
      <c r="AJ955">
        <v>3.0691993690589801</v>
      </c>
    </row>
    <row r="956" spans="1:36" x14ac:dyDescent="0.3">
      <c r="A956">
        <v>2016</v>
      </c>
      <c r="B956">
        <v>410</v>
      </c>
      <c r="C956" t="s">
        <v>741</v>
      </c>
      <c r="D956" t="s">
        <v>422</v>
      </c>
      <c r="E956" t="s">
        <v>742</v>
      </c>
      <c r="F956" t="s">
        <v>422</v>
      </c>
      <c r="G956">
        <v>26303.8</v>
      </c>
      <c r="H956">
        <v>5.3</v>
      </c>
      <c r="I956">
        <v>286.60000000000002</v>
      </c>
      <c r="J956">
        <v>4</v>
      </c>
      <c r="K956">
        <v>24838.9</v>
      </c>
      <c r="L956">
        <v>2543.6</v>
      </c>
      <c r="M956">
        <v>0</v>
      </c>
      <c r="N956">
        <v>1.1000000000000001</v>
      </c>
      <c r="O956">
        <v>1.2</v>
      </c>
      <c r="P956">
        <v>11.3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45720</v>
      </c>
      <c r="Y956" t="s">
        <v>347</v>
      </c>
      <c r="Z956" t="s">
        <v>743</v>
      </c>
      <c r="AB956">
        <v>310051</v>
      </c>
      <c r="AC956" t="s">
        <v>770</v>
      </c>
      <c r="AE956" t="s">
        <v>769</v>
      </c>
      <c r="AF956">
        <v>2536.2831858407098</v>
      </c>
      <c r="AG956">
        <v>2015</v>
      </c>
      <c r="AH956">
        <v>1.0589760416121501</v>
      </c>
      <c r="AI956">
        <v>0.113</v>
      </c>
      <c r="AJ956">
        <v>9.7934253314724398</v>
      </c>
    </row>
    <row r="957" spans="1:36" x14ac:dyDescent="0.3">
      <c r="A957">
        <v>2016</v>
      </c>
      <c r="B957">
        <v>303</v>
      </c>
      <c r="C957" t="s">
        <v>751</v>
      </c>
      <c r="D957" t="s">
        <v>422</v>
      </c>
      <c r="E957" t="s">
        <v>752</v>
      </c>
      <c r="F957" t="s">
        <v>422</v>
      </c>
      <c r="G957">
        <v>34440.300000000003</v>
      </c>
      <c r="H957">
        <v>3.6</v>
      </c>
      <c r="I957">
        <v>497.9</v>
      </c>
      <c r="J957">
        <v>75.2</v>
      </c>
      <c r="K957">
        <v>26847.4</v>
      </c>
      <c r="L957">
        <v>3546.2</v>
      </c>
      <c r="M957">
        <v>0</v>
      </c>
      <c r="N957">
        <v>1.4</v>
      </c>
      <c r="O957">
        <v>1.9</v>
      </c>
      <c r="P957">
        <v>14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67426</v>
      </c>
      <c r="Y957" t="s">
        <v>347</v>
      </c>
      <c r="Z957" t="s">
        <v>753</v>
      </c>
      <c r="AB957">
        <v>510623</v>
      </c>
      <c r="AC957" t="s">
        <v>774</v>
      </c>
      <c r="AE957" t="s">
        <v>778</v>
      </c>
      <c r="AF957">
        <v>3556.4285714285702</v>
      </c>
      <c r="AG957">
        <v>2015</v>
      </c>
      <c r="AH957">
        <v>1.2828169580666999</v>
      </c>
      <c r="AI957">
        <v>0.14000000000000001</v>
      </c>
      <c r="AJ957">
        <v>7.54897770636674</v>
      </c>
    </row>
    <row r="958" spans="1:36" x14ac:dyDescent="0.3">
      <c r="A958">
        <v>2016</v>
      </c>
      <c r="B958">
        <v>130</v>
      </c>
      <c r="C958" t="s">
        <v>756</v>
      </c>
      <c r="D958" t="s">
        <v>422</v>
      </c>
      <c r="E958" t="s">
        <v>757</v>
      </c>
      <c r="F958" t="s">
        <v>422</v>
      </c>
      <c r="G958">
        <v>62852.4</v>
      </c>
      <c r="H958">
        <v>-21.6</v>
      </c>
      <c r="I958">
        <v>3252.6</v>
      </c>
      <c r="J958">
        <v>-23.4</v>
      </c>
      <c r="K958">
        <v>51325.3</v>
      </c>
      <c r="L958">
        <v>24650.7</v>
      </c>
      <c r="M958">
        <v>0</v>
      </c>
      <c r="N958">
        <v>5.2</v>
      </c>
      <c r="O958">
        <v>6.3</v>
      </c>
      <c r="P958">
        <v>13.2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132083</v>
      </c>
      <c r="Y958" t="s">
        <v>347</v>
      </c>
      <c r="Z958" t="s">
        <v>775</v>
      </c>
      <c r="AB958">
        <v>130011</v>
      </c>
      <c r="AC958" t="s">
        <v>776</v>
      </c>
      <c r="AE958" t="s">
        <v>777</v>
      </c>
      <c r="AF958">
        <v>24640.909090909099</v>
      </c>
      <c r="AG958">
        <v>2015</v>
      </c>
      <c r="AH958">
        <v>1.22458904283073</v>
      </c>
      <c r="AI958">
        <v>0.13200000000000001</v>
      </c>
      <c r="AJ958">
        <v>2.08293045563549</v>
      </c>
    </row>
    <row r="959" spans="1:36" x14ac:dyDescent="0.3">
      <c r="A959">
        <v>2016</v>
      </c>
      <c r="B959">
        <v>81</v>
      </c>
      <c r="C959" t="s">
        <v>779</v>
      </c>
      <c r="D959" t="s">
        <v>422</v>
      </c>
      <c r="E959" t="s">
        <v>747</v>
      </c>
      <c r="F959" t="s">
        <v>422</v>
      </c>
      <c r="G959">
        <v>82816.7</v>
      </c>
      <c r="H959">
        <v>4.9000000000000004</v>
      </c>
      <c r="I959">
        <v>1479.8</v>
      </c>
      <c r="J959">
        <v>-7.5</v>
      </c>
      <c r="K959">
        <v>56687.8</v>
      </c>
      <c r="L959">
        <v>11001.5</v>
      </c>
      <c r="M959">
        <v>0</v>
      </c>
      <c r="N959">
        <v>1.8</v>
      </c>
      <c r="O959">
        <v>2.6</v>
      </c>
      <c r="P959">
        <v>13.5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191950</v>
      </c>
      <c r="Y959" t="s">
        <v>347</v>
      </c>
      <c r="Z959" t="s">
        <v>748</v>
      </c>
      <c r="AB959">
        <v>430056</v>
      </c>
      <c r="AC959" t="s">
        <v>773</v>
      </c>
      <c r="AE959" t="s">
        <v>750</v>
      </c>
      <c r="AF959">
        <v>10961.4814814815</v>
      </c>
      <c r="AG959">
        <v>2015</v>
      </c>
      <c r="AH959">
        <v>1.4609263368837699</v>
      </c>
      <c r="AI959">
        <v>0.13500000000000001</v>
      </c>
      <c r="AJ959">
        <v>5.1715454791187998</v>
      </c>
    </row>
    <row r="960" spans="1:36" x14ac:dyDescent="0.3">
      <c r="A960">
        <v>2016</v>
      </c>
      <c r="B960">
        <v>46</v>
      </c>
      <c r="C960" t="s">
        <v>761</v>
      </c>
      <c r="D960" t="s">
        <v>422</v>
      </c>
      <c r="E960" t="s">
        <v>762</v>
      </c>
      <c r="F960" t="s">
        <v>422</v>
      </c>
      <c r="G960">
        <v>106684.4</v>
      </c>
      <c r="H960">
        <v>4.3</v>
      </c>
      <c r="I960">
        <v>4740.8999999999996</v>
      </c>
      <c r="J960">
        <v>4.4000000000000004</v>
      </c>
      <c r="K960">
        <v>78790</v>
      </c>
      <c r="L960">
        <v>26969.4</v>
      </c>
      <c r="M960">
        <v>0</v>
      </c>
      <c r="N960">
        <v>4.4000000000000004</v>
      </c>
      <c r="O960">
        <v>6</v>
      </c>
      <c r="P960">
        <v>17.600000000000001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92780</v>
      </c>
      <c r="Y960" t="s">
        <v>347</v>
      </c>
      <c r="Z960" t="s">
        <v>768</v>
      </c>
      <c r="AB960">
        <v>200041</v>
      </c>
      <c r="AC960" t="s">
        <v>764</v>
      </c>
      <c r="AE960" t="s">
        <v>765</v>
      </c>
      <c r="AF960">
        <v>26936.931818181802</v>
      </c>
      <c r="AG960">
        <v>2015</v>
      </c>
      <c r="AH960">
        <v>1.3540347759868001</v>
      </c>
      <c r="AI960">
        <v>0.17599999999999999</v>
      </c>
      <c r="AJ960">
        <v>2.9249804889367002</v>
      </c>
    </row>
    <row r="961" spans="1:36" x14ac:dyDescent="0.3">
      <c r="A961">
        <v>2015</v>
      </c>
      <c r="B961">
        <v>477</v>
      </c>
      <c r="C961" t="s">
        <v>741</v>
      </c>
      <c r="D961" t="s">
        <v>422</v>
      </c>
      <c r="E961" t="s">
        <v>780</v>
      </c>
      <c r="F961" t="s">
        <v>422</v>
      </c>
      <c r="G961">
        <v>24986.400000000001</v>
      </c>
      <c r="H961">
        <v>-3</v>
      </c>
      <c r="I961">
        <v>275.5</v>
      </c>
      <c r="J961">
        <v>133.19999999999999</v>
      </c>
      <c r="K961">
        <v>20975.7</v>
      </c>
      <c r="L961">
        <v>2063.3000000000002</v>
      </c>
      <c r="M961">
        <v>0</v>
      </c>
      <c r="N961">
        <v>1.1025998142989799</v>
      </c>
      <c r="O961">
        <v>1.31342458177796</v>
      </c>
      <c r="P961">
        <v>13.352396646149399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42968</v>
      </c>
      <c r="Y961" t="s">
        <v>347</v>
      </c>
      <c r="Z961" t="s">
        <v>781</v>
      </c>
      <c r="AB961">
        <v>310051</v>
      </c>
      <c r="AC961" t="s">
        <v>770</v>
      </c>
      <c r="AE961" t="s">
        <v>769</v>
      </c>
      <c r="AF961">
        <v>2063.3000000000002</v>
      </c>
      <c r="AG961">
        <v>2014</v>
      </c>
      <c r="AH961">
        <v>1.1912069680630399</v>
      </c>
      <c r="AI961">
        <v>0.13350000000000001</v>
      </c>
      <c r="AJ961">
        <v>10.1660931517472</v>
      </c>
    </row>
    <row r="962" spans="1:36" x14ac:dyDescent="0.3">
      <c r="A962">
        <v>2015</v>
      </c>
      <c r="B962">
        <v>362</v>
      </c>
      <c r="C962" t="s">
        <v>751</v>
      </c>
      <c r="D962" t="s">
        <v>422</v>
      </c>
      <c r="E962" t="s">
        <v>782</v>
      </c>
      <c r="F962" t="s">
        <v>422</v>
      </c>
      <c r="G962">
        <v>33237.4</v>
      </c>
      <c r="H962">
        <v>1.4</v>
      </c>
      <c r="I962">
        <v>284.2</v>
      </c>
      <c r="J962">
        <v>36.700000000000003</v>
      </c>
      <c r="K962">
        <v>26277.1</v>
      </c>
      <c r="L962">
        <v>3319.1</v>
      </c>
      <c r="M962">
        <v>0</v>
      </c>
      <c r="N962">
        <v>0.85506086516995905</v>
      </c>
      <c r="O962">
        <v>1.08155009494959</v>
      </c>
      <c r="P962">
        <v>8.5625621403392493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63405</v>
      </c>
      <c r="Y962" t="s">
        <v>347</v>
      </c>
      <c r="Z962" t="s">
        <v>783</v>
      </c>
      <c r="AB962">
        <v>510623</v>
      </c>
      <c r="AC962" t="s">
        <v>774</v>
      </c>
      <c r="AE962" t="s">
        <v>778</v>
      </c>
      <c r="AF962">
        <v>3319.1</v>
      </c>
      <c r="AG962">
        <v>2014</v>
      </c>
      <c r="AH962">
        <v>1.2648808277930199</v>
      </c>
      <c r="AI962">
        <v>8.5599999999999996E-2</v>
      </c>
      <c r="AJ962">
        <v>7.9169353137898799</v>
      </c>
    </row>
    <row r="963" spans="1:36" x14ac:dyDescent="0.3">
      <c r="A963">
        <v>2015</v>
      </c>
      <c r="B963">
        <v>207</v>
      </c>
      <c r="C963" t="s">
        <v>784</v>
      </c>
      <c r="D963" t="s">
        <v>422</v>
      </c>
      <c r="E963" t="s">
        <v>785</v>
      </c>
      <c r="F963" t="s">
        <v>422</v>
      </c>
      <c r="G963">
        <v>50566</v>
      </c>
      <c r="H963">
        <v>16.7</v>
      </c>
      <c r="I963">
        <v>819.9</v>
      </c>
      <c r="J963">
        <v>-10.7</v>
      </c>
      <c r="K963">
        <v>42904.800000000003</v>
      </c>
      <c r="L963">
        <v>6529.6</v>
      </c>
      <c r="M963">
        <v>0</v>
      </c>
      <c r="N963">
        <v>1.6214452398845101</v>
      </c>
      <c r="O963">
        <v>1.91097499580467</v>
      </c>
      <c r="P963">
        <v>12.556665033080099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108000</v>
      </c>
      <c r="Y963" t="s">
        <v>347</v>
      </c>
      <c r="Z963" t="s">
        <v>786</v>
      </c>
      <c r="AB963">
        <v>101300</v>
      </c>
      <c r="AC963" t="s">
        <v>787</v>
      </c>
      <c r="AE963" t="s">
        <v>788</v>
      </c>
      <c r="AF963">
        <v>6529.6</v>
      </c>
      <c r="AG963">
        <v>2014</v>
      </c>
      <c r="AH963">
        <v>1.17856277153139</v>
      </c>
      <c r="AI963">
        <v>0.12559999999999999</v>
      </c>
      <c r="AJ963">
        <v>6.5708159764763501</v>
      </c>
    </row>
    <row r="964" spans="1:36" x14ac:dyDescent="0.3">
      <c r="A964">
        <v>2015</v>
      </c>
      <c r="B964">
        <v>109</v>
      </c>
      <c r="C964" t="s">
        <v>779</v>
      </c>
      <c r="D964" t="s">
        <v>422</v>
      </c>
      <c r="E964" t="s">
        <v>789</v>
      </c>
      <c r="F964" t="s">
        <v>422</v>
      </c>
      <c r="G964">
        <v>78978.600000000006</v>
      </c>
      <c r="H964">
        <v>6.7</v>
      </c>
      <c r="I964">
        <v>1600.4</v>
      </c>
      <c r="J964">
        <v>10.5</v>
      </c>
      <c r="K964">
        <v>54201.4</v>
      </c>
      <c r="L964">
        <v>10099.299999999999</v>
      </c>
      <c r="M964">
        <v>0</v>
      </c>
      <c r="N964">
        <v>2.0263717006885398</v>
      </c>
      <c r="O964">
        <v>2.9526912588973699</v>
      </c>
      <c r="P964">
        <v>15.846642836632199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197192</v>
      </c>
      <c r="Y964" t="s">
        <v>347</v>
      </c>
      <c r="Z964" t="s">
        <v>790</v>
      </c>
      <c r="AB964">
        <v>430056</v>
      </c>
      <c r="AC964" t="s">
        <v>773</v>
      </c>
      <c r="AE964" t="s">
        <v>750</v>
      </c>
      <c r="AF964">
        <v>10099.299999999999</v>
      </c>
      <c r="AG964">
        <v>2014</v>
      </c>
      <c r="AH964">
        <v>1.4571321035988001</v>
      </c>
      <c r="AI964">
        <v>0.1585</v>
      </c>
      <c r="AJ964">
        <v>5.3668472072321904</v>
      </c>
    </row>
    <row r="965" spans="1:36" x14ac:dyDescent="0.3">
      <c r="A965">
        <v>2015</v>
      </c>
      <c r="B965">
        <v>107</v>
      </c>
      <c r="C965" t="s">
        <v>756</v>
      </c>
      <c r="D965" t="s">
        <v>422</v>
      </c>
      <c r="E965" t="s">
        <v>791</v>
      </c>
      <c r="F965" t="s">
        <v>422</v>
      </c>
      <c r="G965">
        <v>80194.5</v>
      </c>
      <c r="H965">
        <v>6.9</v>
      </c>
      <c r="I965">
        <v>4248.3</v>
      </c>
      <c r="J965">
        <v>30.2</v>
      </c>
      <c r="K965">
        <v>52983.6</v>
      </c>
      <c r="L965">
        <v>22741.4</v>
      </c>
      <c r="M965">
        <v>0</v>
      </c>
      <c r="N965">
        <v>5.2974954641527798</v>
      </c>
      <c r="O965">
        <v>8.0181414626412693</v>
      </c>
      <c r="P965">
        <v>18.680907947619801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135599</v>
      </c>
      <c r="Y965" t="s">
        <v>347</v>
      </c>
      <c r="Z965" t="s">
        <v>792</v>
      </c>
      <c r="AB965">
        <v>130011</v>
      </c>
      <c r="AC965" t="s">
        <v>776</v>
      </c>
      <c r="AE965" t="s">
        <v>777</v>
      </c>
      <c r="AF965">
        <v>22741.4</v>
      </c>
      <c r="AG965">
        <v>2014</v>
      </c>
      <c r="AH965">
        <v>1.51357212420447</v>
      </c>
      <c r="AI965">
        <v>0.18679999999999999</v>
      </c>
      <c r="AJ965">
        <v>2.3298301775616301</v>
      </c>
    </row>
    <row r="966" spans="1:36" x14ac:dyDescent="0.3">
      <c r="A966">
        <v>2015</v>
      </c>
      <c r="B966">
        <v>60</v>
      </c>
      <c r="C966" t="s">
        <v>761</v>
      </c>
      <c r="D966" t="s">
        <v>422</v>
      </c>
      <c r="E966" t="s">
        <v>793</v>
      </c>
      <c r="F966" t="s">
        <v>422</v>
      </c>
      <c r="G966">
        <v>102248.6</v>
      </c>
      <c r="H966">
        <v>11.1</v>
      </c>
      <c r="I966">
        <v>4540.1000000000004</v>
      </c>
      <c r="J966">
        <v>12.5</v>
      </c>
      <c r="K966">
        <v>66871.5</v>
      </c>
      <c r="L966">
        <v>25413.3</v>
      </c>
      <c r="M966">
        <v>0</v>
      </c>
      <c r="N966">
        <v>4.4402563947085802</v>
      </c>
      <c r="O966">
        <v>6.7892899067614696</v>
      </c>
      <c r="P966">
        <v>17.865054912191599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92484</v>
      </c>
      <c r="Y966" t="s">
        <v>347</v>
      </c>
      <c r="Z966" t="s">
        <v>794</v>
      </c>
      <c r="AB966">
        <v>200041</v>
      </c>
      <c r="AC966" t="s">
        <v>764</v>
      </c>
      <c r="AE966" t="s">
        <v>765</v>
      </c>
      <c r="AF966">
        <v>25413.3</v>
      </c>
      <c r="AG966">
        <v>2014</v>
      </c>
      <c r="AH966">
        <v>1.5290310520924499</v>
      </c>
      <c r="AI966">
        <v>0.1787</v>
      </c>
      <c r="AJ966">
        <v>2.6313583832087901</v>
      </c>
    </row>
    <row r="967" spans="1:36" x14ac:dyDescent="0.3">
      <c r="A967">
        <v>2014</v>
      </c>
      <c r="B967">
        <v>466</v>
      </c>
      <c r="C967" t="s">
        <v>741</v>
      </c>
      <c r="D967" t="s">
        <v>422</v>
      </c>
      <c r="E967" t="s">
        <v>742</v>
      </c>
      <c r="F967" t="s">
        <v>422</v>
      </c>
      <c r="G967">
        <v>25767.5</v>
      </c>
      <c r="H967">
        <v>5</v>
      </c>
      <c r="I967">
        <v>118.1</v>
      </c>
      <c r="J967">
        <v>125.4</v>
      </c>
      <c r="K967">
        <v>20839.7</v>
      </c>
      <c r="L967">
        <v>2006.6018999999999</v>
      </c>
      <c r="M967">
        <v>0</v>
      </c>
      <c r="N967">
        <v>0.50190000000000001</v>
      </c>
      <c r="O967">
        <v>0.60189999999999999</v>
      </c>
      <c r="P967">
        <v>5.9019000000000004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41579</v>
      </c>
      <c r="Y967" t="s">
        <v>347</v>
      </c>
      <c r="Z967" t="s">
        <v>781</v>
      </c>
      <c r="AB967">
        <v>310051</v>
      </c>
      <c r="AC967" t="s">
        <v>770</v>
      </c>
      <c r="AE967" t="s">
        <v>769</v>
      </c>
      <c r="AF967">
        <v>2001.0505091580701</v>
      </c>
      <c r="AG967">
        <v>2013</v>
      </c>
      <c r="AH967">
        <v>1.2364621371708799</v>
      </c>
      <c r="AI967">
        <v>5.8999999999999997E-2</v>
      </c>
      <c r="AJ967">
        <v>10.414379799322599</v>
      </c>
    </row>
    <row r="968" spans="1:36" x14ac:dyDescent="0.3">
      <c r="A968">
        <v>2014</v>
      </c>
      <c r="B968">
        <v>366</v>
      </c>
      <c r="C968" t="s">
        <v>751</v>
      </c>
      <c r="D968" t="s">
        <v>422</v>
      </c>
      <c r="E968" t="s">
        <v>752</v>
      </c>
      <c r="F968" t="s">
        <v>422</v>
      </c>
      <c r="G968">
        <v>32775.599999999999</v>
      </c>
      <c r="H968">
        <v>35.700000000000003</v>
      </c>
      <c r="I968">
        <v>207.9</v>
      </c>
      <c r="J968">
        <v>214.9</v>
      </c>
      <c r="K968">
        <v>24651.8</v>
      </c>
      <c r="L968">
        <v>3136.8018999999999</v>
      </c>
      <c r="M968">
        <v>0</v>
      </c>
      <c r="N968">
        <v>0.60189999999999999</v>
      </c>
      <c r="O968">
        <v>0.80189999999999995</v>
      </c>
      <c r="P968">
        <v>6.6018999999999997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53965</v>
      </c>
      <c r="Y968" t="s">
        <v>347</v>
      </c>
      <c r="Z968" t="s">
        <v>783</v>
      </c>
      <c r="AB968">
        <v>510623</v>
      </c>
      <c r="AC968" t="s">
        <v>774</v>
      </c>
      <c r="AE968" t="s">
        <v>778</v>
      </c>
      <c r="AF968">
        <v>3149.09344279677</v>
      </c>
      <c r="AG968">
        <v>2013</v>
      </c>
      <c r="AH968">
        <v>1.32954185901232</v>
      </c>
      <c r="AI968">
        <v>6.6000000000000003E-2</v>
      </c>
      <c r="AJ968">
        <v>7.8282211842231799</v>
      </c>
    </row>
    <row r="969" spans="1:36" x14ac:dyDescent="0.3">
      <c r="A969">
        <v>2014</v>
      </c>
      <c r="B969">
        <v>113</v>
      </c>
      <c r="C969" t="s">
        <v>779</v>
      </c>
      <c r="D969" t="s">
        <v>422</v>
      </c>
      <c r="E969" t="s">
        <v>747</v>
      </c>
      <c r="F969" t="s">
        <v>422</v>
      </c>
      <c r="G969">
        <v>74008.2</v>
      </c>
      <c r="H969">
        <v>19.899999999999999</v>
      </c>
      <c r="I969">
        <v>1448.4</v>
      </c>
      <c r="J969">
        <v>8.6</v>
      </c>
      <c r="K969">
        <v>48777.5</v>
      </c>
      <c r="L969">
        <v>8867.9019000000008</v>
      </c>
      <c r="M969">
        <v>0</v>
      </c>
      <c r="N969">
        <v>2.0019</v>
      </c>
      <c r="O969">
        <v>3.0019</v>
      </c>
      <c r="P969">
        <v>16.3019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184635</v>
      </c>
      <c r="Y969" t="s">
        <v>347</v>
      </c>
      <c r="Z969" t="s">
        <v>790</v>
      </c>
      <c r="AB969">
        <v>430056</v>
      </c>
      <c r="AC969" t="s">
        <v>773</v>
      </c>
      <c r="AE969" t="s">
        <v>750</v>
      </c>
      <c r="AF969">
        <v>8884.8539127340991</v>
      </c>
      <c r="AG969">
        <v>2013</v>
      </c>
      <c r="AH969">
        <v>1.5172610322382201</v>
      </c>
      <c r="AI969">
        <v>0.16300000000000001</v>
      </c>
      <c r="AJ969">
        <v>5.4899608343689597</v>
      </c>
    </row>
    <row r="970" spans="1:36" x14ac:dyDescent="0.3">
      <c r="A970">
        <v>2014</v>
      </c>
      <c r="B970">
        <v>111</v>
      </c>
      <c r="C970" t="s">
        <v>756</v>
      </c>
      <c r="D970" t="s">
        <v>422</v>
      </c>
      <c r="E970" t="s">
        <v>757</v>
      </c>
      <c r="F970" t="s">
        <v>422</v>
      </c>
      <c r="G970">
        <v>75005.600000000006</v>
      </c>
      <c r="H970">
        <v>15.6</v>
      </c>
      <c r="I970">
        <v>3263.6</v>
      </c>
      <c r="J970">
        <v>24.5</v>
      </c>
      <c r="K970">
        <v>49768.800000000003</v>
      </c>
      <c r="L970">
        <v>19130.501899999999</v>
      </c>
      <c r="M970">
        <v>0</v>
      </c>
      <c r="N970">
        <v>4.4019000000000004</v>
      </c>
      <c r="O970">
        <v>6.6018999999999997</v>
      </c>
      <c r="P970">
        <v>17.101900000000001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91646</v>
      </c>
      <c r="Y970" t="s">
        <v>347</v>
      </c>
      <c r="Z970" t="s">
        <v>792</v>
      </c>
      <c r="AB970">
        <v>130011</v>
      </c>
      <c r="AC970" t="s">
        <v>795</v>
      </c>
      <c r="AE970" t="s">
        <v>760</v>
      </c>
      <c r="AF970">
        <v>19083.259754764102</v>
      </c>
      <c r="AG970">
        <v>2013</v>
      </c>
      <c r="AH970">
        <v>1.5070807413479901</v>
      </c>
      <c r="AI970">
        <v>0.17100000000000001</v>
      </c>
      <c r="AJ970">
        <v>2.6079821078563601</v>
      </c>
    </row>
    <row r="971" spans="1:36" x14ac:dyDescent="0.3">
      <c r="A971">
        <v>2014</v>
      </c>
      <c r="B971">
        <v>85</v>
      </c>
      <c r="C971" t="s">
        <v>761</v>
      </c>
      <c r="D971" t="s">
        <v>422</v>
      </c>
      <c r="E971" t="s">
        <v>762</v>
      </c>
      <c r="F971" t="s">
        <v>422</v>
      </c>
      <c r="G971">
        <v>92024.8</v>
      </c>
      <c r="H971">
        <v>20.7</v>
      </c>
      <c r="I971">
        <v>4034.1</v>
      </c>
      <c r="J971">
        <v>22.7</v>
      </c>
      <c r="K971">
        <v>61719</v>
      </c>
      <c r="L971">
        <v>22755.101900000001</v>
      </c>
      <c r="M971">
        <v>0</v>
      </c>
      <c r="N971">
        <v>4.4019000000000004</v>
      </c>
      <c r="O971">
        <v>6.5019</v>
      </c>
      <c r="P971">
        <v>17.701899999999998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93905</v>
      </c>
      <c r="Y971" t="s">
        <v>347</v>
      </c>
      <c r="Z971" t="s">
        <v>794</v>
      </c>
      <c r="AB971">
        <v>200041</v>
      </c>
      <c r="AC971" t="s">
        <v>764</v>
      </c>
      <c r="AE971" t="s">
        <v>765</v>
      </c>
      <c r="AF971">
        <v>22789.079138397599</v>
      </c>
      <c r="AG971">
        <v>2013</v>
      </c>
      <c r="AH971">
        <v>1.4910286945673099</v>
      </c>
      <c r="AI971">
        <v>0.17699999999999999</v>
      </c>
      <c r="AJ971">
        <v>2.7082709057782401</v>
      </c>
    </row>
    <row r="972" spans="1:36" x14ac:dyDescent="0.3">
      <c r="A972">
        <v>2013</v>
      </c>
      <c r="B972">
        <v>483</v>
      </c>
      <c r="C972" t="s">
        <v>751</v>
      </c>
      <c r="D972" t="s">
        <v>422</v>
      </c>
      <c r="E972" t="s">
        <v>752</v>
      </c>
      <c r="F972" t="s">
        <v>422</v>
      </c>
      <c r="G972">
        <v>24144.799999999999</v>
      </c>
      <c r="H972">
        <v>-2.1</v>
      </c>
      <c r="I972">
        <v>66</v>
      </c>
      <c r="J972">
        <v>-80.5</v>
      </c>
      <c r="K972">
        <v>18062.2</v>
      </c>
      <c r="L972">
        <v>2872.3</v>
      </c>
      <c r="M972">
        <v>0</v>
      </c>
      <c r="N972">
        <v>0.3</v>
      </c>
      <c r="O972">
        <v>0.36549999999999999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50462</v>
      </c>
      <c r="Y972" t="s">
        <v>347</v>
      </c>
      <c r="Z972" t="s">
        <v>796</v>
      </c>
      <c r="AB972">
        <v>0</v>
      </c>
      <c r="AC972" t="s">
        <v>797</v>
      </c>
      <c r="AE972" t="s">
        <v>778</v>
      </c>
      <c r="AF972" t="s">
        <v>329</v>
      </c>
      <c r="AG972">
        <v>2012</v>
      </c>
      <c r="AH972">
        <v>1.3367585343977999</v>
      </c>
      <c r="AI972">
        <v>0</v>
      </c>
      <c r="AJ972">
        <v>0</v>
      </c>
    </row>
    <row r="973" spans="1:36" x14ac:dyDescent="0.3">
      <c r="A973">
        <v>2013</v>
      </c>
      <c r="B973">
        <v>477</v>
      </c>
      <c r="C973" t="s">
        <v>741</v>
      </c>
      <c r="D973" t="s">
        <v>422</v>
      </c>
      <c r="E973" t="s">
        <v>742</v>
      </c>
      <c r="F973" t="s">
        <v>422</v>
      </c>
      <c r="G973">
        <v>24550.2</v>
      </c>
      <c r="H973">
        <v>5.0999999999999996</v>
      </c>
      <c r="I973">
        <v>52.4</v>
      </c>
      <c r="J973">
        <v>-41.8</v>
      </c>
      <c r="K973">
        <v>18179.2</v>
      </c>
      <c r="L973">
        <v>1879.4</v>
      </c>
      <c r="M973">
        <v>0</v>
      </c>
      <c r="N973">
        <v>0.2</v>
      </c>
      <c r="O973">
        <v>0.2883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40500</v>
      </c>
      <c r="Y973" t="s">
        <v>347</v>
      </c>
      <c r="Z973" t="s">
        <v>798</v>
      </c>
      <c r="AB973">
        <v>0</v>
      </c>
      <c r="AC973" t="s">
        <v>770</v>
      </c>
      <c r="AE973" t="s">
        <v>769</v>
      </c>
      <c r="AF973" t="s">
        <v>329</v>
      </c>
      <c r="AG973">
        <v>2012</v>
      </c>
      <c r="AH973">
        <v>1.35045546558704</v>
      </c>
      <c r="AI973">
        <v>0</v>
      </c>
      <c r="AJ973">
        <v>0</v>
      </c>
    </row>
    <row r="974" spans="1:36" x14ac:dyDescent="0.3">
      <c r="A974">
        <v>2013</v>
      </c>
      <c r="B974">
        <v>146</v>
      </c>
      <c r="C974" t="s">
        <v>779</v>
      </c>
      <c r="D974" t="s">
        <v>422</v>
      </c>
      <c r="E974" t="s">
        <v>747</v>
      </c>
      <c r="F974" t="s">
        <v>422</v>
      </c>
      <c r="G974">
        <v>61721.9</v>
      </c>
      <c r="H974">
        <v>-1.9</v>
      </c>
      <c r="I974">
        <v>1333.6</v>
      </c>
      <c r="J974">
        <v>0.9</v>
      </c>
      <c r="K974">
        <v>36654</v>
      </c>
      <c r="L974">
        <v>7359.6</v>
      </c>
      <c r="M974">
        <v>0</v>
      </c>
      <c r="N974">
        <v>2.2000000000000002</v>
      </c>
      <c r="O974">
        <v>3.6383000000000001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176580</v>
      </c>
      <c r="Y974" t="s">
        <v>347</v>
      </c>
      <c r="Z974" t="s">
        <v>799</v>
      </c>
      <c r="AB974">
        <v>442000</v>
      </c>
      <c r="AC974" t="s">
        <v>800</v>
      </c>
      <c r="AE974" t="s">
        <v>750</v>
      </c>
      <c r="AF974" t="s">
        <v>329</v>
      </c>
      <c r="AG974">
        <v>2012</v>
      </c>
      <c r="AH974">
        <v>1.6839062585256701</v>
      </c>
      <c r="AI974">
        <v>0</v>
      </c>
      <c r="AJ974">
        <v>0</v>
      </c>
    </row>
    <row r="975" spans="1:36" x14ac:dyDescent="0.3">
      <c r="A975">
        <v>2013</v>
      </c>
      <c r="B975">
        <v>141</v>
      </c>
      <c r="C975" t="s">
        <v>756</v>
      </c>
      <c r="D975" t="s">
        <v>422</v>
      </c>
      <c r="E975" t="s">
        <v>757</v>
      </c>
      <c r="F975" t="s">
        <v>422</v>
      </c>
      <c r="G975">
        <v>64886</v>
      </c>
      <c r="H975">
        <v>13.8</v>
      </c>
      <c r="I975">
        <v>2622.4</v>
      </c>
      <c r="J975">
        <v>14.1</v>
      </c>
      <c r="K975">
        <v>39092.300000000003</v>
      </c>
      <c r="L975">
        <v>15600.9</v>
      </c>
      <c r="M975">
        <v>0</v>
      </c>
      <c r="N975">
        <v>4</v>
      </c>
      <c r="O975">
        <v>6.7081999999999997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85552</v>
      </c>
      <c r="Y975" t="s">
        <v>347</v>
      </c>
      <c r="Z975" t="s">
        <v>801</v>
      </c>
      <c r="AB975">
        <v>0</v>
      </c>
      <c r="AC975" t="s">
        <v>795</v>
      </c>
      <c r="AE975" t="s">
        <v>760</v>
      </c>
      <c r="AF975" t="s">
        <v>329</v>
      </c>
      <c r="AG975">
        <v>2012</v>
      </c>
      <c r="AH975">
        <v>1.65981536005812</v>
      </c>
      <c r="AI975">
        <v>0</v>
      </c>
      <c r="AJ975">
        <v>0</v>
      </c>
    </row>
    <row r="976" spans="1:36" x14ac:dyDescent="0.3">
      <c r="A976">
        <v>2013</v>
      </c>
      <c r="B976">
        <v>103</v>
      </c>
      <c r="C976" t="s">
        <v>761</v>
      </c>
      <c r="D976" t="s">
        <v>422</v>
      </c>
      <c r="E976" t="s">
        <v>762</v>
      </c>
      <c r="F976" t="s">
        <v>422</v>
      </c>
      <c r="G976">
        <v>76233.600000000006</v>
      </c>
      <c r="H976">
        <v>13.4</v>
      </c>
      <c r="I976">
        <v>3289.1</v>
      </c>
      <c r="J976">
        <v>5.2</v>
      </c>
      <c r="K976">
        <v>50913</v>
      </c>
      <c r="L976">
        <v>19635.900000000001</v>
      </c>
      <c r="M976">
        <v>0</v>
      </c>
      <c r="N976">
        <v>4.3</v>
      </c>
      <c r="O976">
        <v>6.4602000000000004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105953</v>
      </c>
      <c r="Y976" t="s">
        <v>347</v>
      </c>
      <c r="Z976" t="s">
        <v>802</v>
      </c>
      <c r="AB976">
        <v>0</v>
      </c>
      <c r="AC976" t="s">
        <v>764</v>
      </c>
      <c r="AE976" t="s">
        <v>765</v>
      </c>
      <c r="AF976" t="s">
        <v>329</v>
      </c>
      <c r="AG976">
        <v>2012</v>
      </c>
      <c r="AH976">
        <v>1.4973307406752701</v>
      </c>
      <c r="AI976">
        <v>0</v>
      </c>
      <c r="AJ976">
        <v>0</v>
      </c>
    </row>
    <row r="977" spans="1:36" x14ac:dyDescent="0.3">
      <c r="A977">
        <v>2012</v>
      </c>
      <c r="B977">
        <v>343</v>
      </c>
      <c r="C977" t="s">
        <v>741</v>
      </c>
      <c r="D977" t="s">
        <v>422</v>
      </c>
      <c r="E977" t="s">
        <v>742</v>
      </c>
      <c r="F977" t="s">
        <v>422</v>
      </c>
      <c r="G977">
        <v>31429.8</v>
      </c>
      <c r="H977">
        <v>19.5</v>
      </c>
      <c r="I977">
        <v>1265.7</v>
      </c>
      <c r="J977">
        <v>341.6</v>
      </c>
      <c r="K977">
        <v>29749</v>
      </c>
      <c r="L977">
        <v>5895.5</v>
      </c>
      <c r="M977">
        <v>0</v>
      </c>
      <c r="N977">
        <v>4</v>
      </c>
      <c r="O977">
        <v>4.3</v>
      </c>
      <c r="P977">
        <v>21.5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60712</v>
      </c>
      <c r="Y977" t="s">
        <v>347</v>
      </c>
      <c r="Z977" t="s">
        <v>781</v>
      </c>
      <c r="AB977">
        <v>310051</v>
      </c>
      <c r="AC977" t="s">
        <v>770</v>
      </c>
      <c r="AE977" t="s">
        <v>769</v>
      </c>
      <c r="AF977">
        <v>5886.9767441860504</v>
      </c>
      <c r="AG977">
        <v>2011</v>
      </c>
      <c r="AH977">
        <v>1.05649937813036</v>
      </c>
      <c r="AI977">
        <v>0.215</v>
      </c>
      <c r="AJ977">
        <v>5.0533578257090896</v>
      </c>
    </row>
    <row r="978" spans="1:36" x14ac:dyDescent="0.3">
      <c r="A978">
        <v>2012</v>
      </c>
      <c r="B978">
        <v>238</v>
      </c>
      <c r="C978" t="s">
        <v>751</v>
      </c>
      <c r="D978" t="s">
        <v>422</v>
      </c>
      <c r="E978" t="s">
        <v>752</v>
      </c>
      <c r="F978" t="s">
        <v>422</v>
      </c>
      <c r="G978">
        <v>41560.400000000001</v>
      </c>
      <c r="H978">
        <v>20.7</v>
      </c>
      <c r="I978">
        <v>551.9</v>
      </c>
      <c r="J978">
        <v>10.8</v>
      </c>
      <c r="K978">
        <v>30267</v>
      </c>
      <c r="L978">
        <v>3790.5</v>
      </c>
      <c r="M978">
        <v>0</v>
      </c>
      <c r="N978">
        <v>1.3</v>
      </c>
      <c r="O978">
        <v>1.8</v>
      </c>
      <c r="P978">
        <v>14.6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75908</v>
      </c>
      <c r="Y978" t="s">
        <v>347</v>
      </c>
      <c r="Z978" t="s">
        <v>783</v>
      </c>
      <c r="AB978">
        <v>510623</v>
      </c>
      <c r="AC978" t="s">
        <v>774</v>
      </c>
      <c r="AE978" t="s">
        <v>771</v>
      </c>
      <c r="AF978">
        <v>3780.1369863013701</v>
      </c>
      <c r="AG978">
        <v>2011</v>
      </c>
      <c r="AH978">
        <v>1.37312584663165</v>
      </c>
      <c r="AI978">
        <v>0.14599999999999999</v>
      </c>
      <c r="AJ978">
        <v>8.0068526907048394</v>
      </c>
    </row>
    <row r="979" spans="1:36" x14ac:dyDescent="0.3">
      <c r="A979">
        <v>2012</v>
      </c>
      <c r="B979">
        <v>125</v>
      </c>
      <c r="C979" t="s">
        <v>756</v>
      </c>
      <c r="D979" t="s">
        <v>422</v>
      </c>
      <c r="E979" t="s">
        <v>757</v>
      </c>
      <c r="F979" t="s">
        <v>422</v>
      </c>
      <c r="G979">
        <v>64783.9</v>
      </c>
      <c r="H979">
        <v>3.1</v>
      </c>
      <c r="I979">
        <v>2411.3000000000002</v>
      </c>
      <c r="J979">
        <v>-25.9</v>
      </c>
      <c r="K979">
        <v>54771.8</v>
      </c>
      <c r="L979">
        <v>24488.5</v>
      </c>
      <c r="M979">
        <v>0</v>
      </c>
      <c r="N979">
        <v>3.7</v>
      </c>
      <c r="O979">
        <v>4.4000000000000004</v>
      </c>
      <c r="P979">
        <v>9.8000000000000007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122323</v>
      </c>
      <c r="Y979" t="s">
        <v>347</v>
      </c>
      <c r="Z979" t="s">
        <v>792</v>
      </c>
      <c r="AB979">
        <v>130011</v>
      </c>
      <c r="AC979" t="s">
        <v>776</v>
      </c>
      <c r="AE979" t="s">
        <v>777</v>
      </c>
      <c r="AF979">
        <v>24605.102040816299</v>
      </c>
      <c r="AG979">
        <v>2011</v>
      </c>
      <c r="AH979">
        <v>1.1827966216191499</v>
      </c>
      <c r="AI979">
        <v>9.8000000000000004E-2</v>
      </c>
      <c r="AJ979">
        <v>2.2260342553809198</v>
      </c>
    </row>
    <row r="980" spans="1:36" x14ac:dyDescent="0.3">
      <c r="A980">
        <v>2012</v>
      </c>
      <c r="B980">
        <v>68</v>
      </c>
      <c r="C980" t="s">
        <v>746</v>
      </c>
      <c r="D980" t="s">
        <v>422</v>
      </c>
      <c r="E980" t="s">
        <v>747</v>
      </c>
      <c r="F980" t="s">
        <v>422</v>
      </c>
      <c r="G980">
        <v>86193.5</v>
      </c>
      <c r="H980">
        <v>4.0999999999999996</v>
      </c>
      <c r="I980">
        <v>1415</v>
      </c>
      <c r="J980">
        <v>-4.4000000000000004</v>
      </c>
      <c r="K980">
        <v>59531.8</v>
      </c>
      <c r="L980">
        <v>11463.6</v>
      </c>
      <c r="M980">
        <v>0</v>
      </c>
      <c r="N980">
        <v>1.6</v>
      </c>
      <c r="O980">
        <v>2.4</v>
      </c>
      <c r="P980">
        <v>12.3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189795</v>
      </c>
      <c r="Y980" t="s">
        <v>347</v>
      </c>
      <c r="Z980" t="s">
        <v>790</v>
      </c>
      <c r="AB980">
        <v>430056</v>
      </c>
      <c r="AC980" t="s">
        <v>773</v>
      </c>
      <c r="AE980" t="s">
        <v>750</v>
      </c>
      <c r="AF980">
        <v>11504.065040650399</v>
      </c>
      <c r="AG980">
        <v>2011</v>
      </c>
      <c r="AH980">
        <v>1.4478564397515301</v>
      </c>
      <c r="AI980">
        <v>0.123</v>
      </c>
      <c r="AJ980">
        <v>5.1748490459363996</v>
      </c>
    </row>
    <row r="981" spans="1:36" x14ac:dyDescent="0.3">
      <c r="A981">
        <v>2012</v>
      </c>
      <c r="B981">
        <v>41</v>
      </c>
      <c r="C981" t="s">
        <v>761</v>
      </c>
      <c r="D981" t="s">
        <v>422</v>
      </c>
      <c r="E981" t="s">
        <v>762</v>
      </c>
      <c r="F981" t="s">
        <v>422</v>
      </c>
      <c r="G981">
        <v>113860.8</v>
      </c>
      <c r="H981">
        <v>6.7</v>
      </c>
      <c r="I981">
        <v>4818.2</v>
      </c>
      <c r="J981">
        <v>1.6</v>
      </c>
      <c r="K981">
        <v>84988.6</v>
      </c>
      <c r="L981">
        <v>27616.5</v>
      </c>
      <c r="M981">
        <v>0</v>
      </c>
      <c r="N981">
        <v>4.2</v>
      </c>
      <c r="O981">
        <v>5.7</v>
      </c>
      <c r="P981">
        <v>17.399999999999999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97582</v>
      </c>
      <c r="Y981" t="s">
        <v>347</v>
      </c>
      <c r="Z981" t="s">
        <v>794</v>
      </c>
      <c r="AB981">
        <v>200041</v>
      </c>
      <c r="AC981" t="s">
        <v>764</v>
      </c>
      <c r="AE981" t="s">
        <v>765</v>
      </c>
      <c r="AF981">
        <v>27690.804597701099</v>
      </c>
      <c r="AG981">
        <v>2011</v>
      </c>
      <c r="AH981">
        <v>1.3397185034228101</v>
      </c>
      <c r="AI981">
        <v>0.17399999999999999</v>
      </c>
      <c r="AJ981">
        <v>3.0691993690589801</v>
      </c>
    </row>
    <row r="982" spans="1:36" x14ac:dyDescent="0.3">
      <c r="A982">
        <v>2023</v>
      </c>
      <c r="B982">
        <v>193</v>
      </c>
      <c r="C982" t="s">
        <v>784</v>
      </c>
      <c r="D982" t="s">
        <v>422</v>
      </c>
      <c r="E982" t="s">
        <v>803</v>
      </c>
      <c r="F982" t="s">
        <v>422</v>
      </c>
      <c r="G982">
        <v>67282.2</v>
      </c>
      <c r="H982">
        <v>-9.9</v>
      </c>
      <c r="I982">
        <v>296.10000000000002</v>
      </c>
      <c r="J982">
        <v>-6.9</v>
      </c>
      <c r="K982">
        <v>68341.8</v>
      </c>
      <c r="L982">
        <v>9991</v>
      </c>
      <c r="M982">
        <v>0</v>
      </c>
      <c r="N982">
        <v>0.4</v>
      </c>
      <c r="O982">
        <v>0.4</v>
      </c>
      <c r="P982">
        <v>3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95000</v>
      </c>
      <c r="Y982" t="s">
        <v>347</v>
      </c>
      <c r="Z982" t="s">
        <v>804</v>
      </c>
      <c r="AB982">
        <v>101300</v>
      </c>
      <c r="AC982" t="s">
        <v>805</v>
      </c>
      <c r="AE982" t="s">
        <v>806</v>
      </c>
      <c r="AF982">
        <v>9870</v>
      </c>
      <c r="AG982">
        <v>2022</v>
      </c>
      <c r="AH982">
        <v>0.98449557957209199</v>
      </c>
      <c r="AI982">
        <v>0.03</v>
      </c>
      <c r="AJ982">
        <v>6.9241945288753799</v>
      </c>
    </row>
    <row r="983" spans="1:36" x14ac:dyDescent="0.3">
      <c r="A983">
        <v>2022</v>
      </c>
      <c r="B983">
        <v>162</v>
      </c>
      <c r="C983" t="s">
        <v>784</v>
      </c>
      <c r="D983" t="s">
        <v>422</v>
      </c>
      <c r="E983" t="s">
        <v>803</v>
      </c>
      <c r="F983" t="s">
        <v>422</v>
      </c>
      <c r="G983">
        <v>74687.3</v>
      </c>
      <c r="H983">
        <v>3.5</v>
      </c>
      <c r="I983">
        <v>318</v>
      </c>
      <c r="J983">
        <v>-6.4</v>
      </c>
      <c r="K983">
        <v>78755.7</v>
      </c>
      <c r="L983">
        <v>11797.6</v>
      </c>
      <c r="M983">
        <v>0</v>
      </c>
      <c r="N983">
        <v>0.4</v>
      </c>
      <c r="O983">
        <v>0.4</v>
      </c>
      <c r="P983">
        <v>2.7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100000</v>
      </c>
      <c r="Y983" t="s">
        <v>347</v>
      </c>
      <c r="Z983" t="s">
        <v>804</v>
      </c>
      <c r="AB983">
        <v>101300</v>
      </c>
      <c r="AC983" t="s">
        <v>787</v>
      </c>
      <c r="AE983" t="s">
        <v>806</v>
      </c>
      <c r="AF983">
        <v>11777.777777777799</v>
      </c>
      <c r="AG983">
        <v>2021</v>
      </c>
      <c r="AH983">
        <v>0.94834151686798596</v>
      </c>
      <c r="AI983">
        <v>2.7E-2</v>
      </c>
      <c r="AJ983">
        <v>6.68680471698113</v>
      </c>
    </row>
    <row r="984" spans="1:36" x14ac:dyDescent="0.3">
      <c r="A984">
        <v>2021</v>
      </c>
      <c r="B984">
        <v>124</v>
      </c>
      <c r="C984" t="s">
        <v>784</v>
      </c>
      <c r="D984" t="s">
        <v>422</v>
      </c>
      <c r="E984" t="s">
        <v>803</v>
      </c>
      <c r="F984" t="s">
        <v>422</v>
      </c>
      <c r="G984">
        <v>72147.3</v>
      </c>
      <c r="H984">
        <v>-0.6</v>
      </c>
      <c r="I984">
        <v>339.8</v>
      </c>
      <c r="J984">
        <v>-54.5</v>
      </c>
      <c r="K984">
        <v>81894.399999999994</v>
      </c>
      <c r="L984">
        <v>10716.8</v>
      </c>
      <c r="M984">
        <v>0</v>
      </c>
      <c r="N984">
        <v>0.5</v>
      </c>
      <c r="O984">
        <v>0.4</v>
      </c>
      <c r="P984">
        <v>3.2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110000</v>
      </c>
      <c r="Y984" t="s">
        <v>347</v>
      </c>
      <c r="Z984" t="s">
        <v>804</v>
      </c>
      <c r="AB984">
        <v>101300</v>
      </c>
      <c r="AC984" t="s">
        <v>787</v>
      </c>
      <c r="AE984" t="s">
        <v>806</v>
      </c>
      <c r="AF984">
        <v>10618.75</v>
      </c>
      <c r="AG984">
        <v>2020</v>
      </c>
      <c r="AH984">
        <v>0.88097965184432603</v>
      </c>
      <c r="AI984">
        <v>3.2000000000000001E-2</v>
      </c>
      <c r="AJ984">
        <v>7.71224484991171</v>
      </c>
    </row>
    <row r="985" spans="1:36" x14ac:dyDescent="0.3">
      <c r="A985">
        <v>2020</v>
      </c>
      <c r="B985">
        <v>129</v>
      </c>
      <c r="C985" t="s">
        <v>784</v>
      </c>
      <c r="D985" t="s">
        <v>422</v>
      </c>
      <c r="E985" t="s">
        <v>803</v>
      </c>
      <c r="F985" t="s">
        <v>422</v>
      </c>
      <c r="G985">
        <v>72677.399999999994</v>
      </c>
      <c r="H985">
        <v>4.4000000000000004</v>
      </c>
      <c r="I985">
        <v>1097.7</v>
      </c>
      <c r="J985">
        <v>-29.4</v>
      </c>
      <c r="K985">
        <v>66789.5</v>
      </c>
      <c r="L985">
        <v>10811.3</v>
      </c>
      <c r="M985">
        <v>0</v>
      </c>
      <c r="N985">
        <v>1.5</v>
      </c>
      <c r="O985">
        <v>1.6</v>
      </c>
      <c r="P985">
        <v>10.199999999999999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127163</v>
      </c>
      <c r="Y985" t="s">
        <v>347</v>
      </c>
      <c r="Z985" t="s">
        <v>804</v>
      </c>
      <c r="AB985">
        <v>101300</v>
      </c>
      <c r="AC985" t="s">
        <v>787</v>
      </c>
      <c r="AE985" t="s">
        <v>806</v>
      </c>
      <c r="AF985">
        <v>10761.7647058824</v>
      </c>
      <c r="AG985">
        <v>2019</v>
      </c>
      <c r="AH985">
        <v>1.08815607243654</v>
      </c>
      <c r="AI985">
        <v>0.10199999999999999</v>
      </c>
      <c r="AJ985">
        <v>6.2061847499316798</v>
      </c>
    </row>
    <row r="986" spans="1:36" x14ac:dyDescent="0.3">
      <c r="A986">
        <v>2019</v>
      </c>
      <c r="B986">
        <v>129</v>
      </c>
      <c r="C986" t="s">
        <v>784</v>
      </c>
      <c r="D986" t="s">
        <v>422</v>
      </c>
      <c r="E986" t="s">
        <v>803</v>
      </c>
      <c r="F986" t="s">
        <v>422</v>
      </c>
      <c r="G986">
        <v>72677.399999999994</v>
      </c>
      <c r="H986">
        <v>4.4000000000000004</v>
      </c>
      <c r="I986">
        <v>1097.7</v>
      </c>
      <c r="J986">
        <v>-29.4</v>
      </c>
      <c r="K986">
        <v>66789.5</v>
      </c>
      <c r="L986">
        <v>10811.3</v>
      </c>
      <c r="M986">
        <v>0</v>
      </c>
      <c r="N986">
        <v>1.5</v>
      </c>
      <c r="O986">
        <v>1.6</v>
      </c>
      <c r="P986">
        <v>10.199999999999999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127163</v>
      </c>
      <c r="Y986" t="s">
        <v>347</v>
      </c>
      <c r="Z986" t="s">
        <v>804</v>
      </c>
      <c r="AB986">
        <v>101300</v>
      </c>
      <c r="AC986" t="s">
        <v>787</v>
      </c>
      <c r="AE986" t="s">
        <v>806</v>
      </c>
      <c r="AF986">
        <v>10761.7647058824</v>
      </c>
      <c r="AG986">
        <v>2018</v>
      </c>
      <c r="AH986">
        <v>1.08815607243654</v>
      </c>
      <c r="AI986">
        <v>0.10199999999999999</v>
      </c>
      <c r="AJ986">
        <v>6.2061847499316798</v>
      </c>
    </row>
    <row r="987" spans="1:36" x14ac:dyDescent="0.3">
      <c r="A987">
        <v>2018</v>
      </c>
      <c r="B987">
        <v>129</v>
      </c>
      <c r="C987" t="s">
        <v>784</v>
      </c>
      <c r="D987" t="s">
        <v>422</v>
      </c>
      <c r="E987" t="s">
        <v>803</v>
      </c>
      <c r="F987" t="s">
        <v>422</v>
      </c>
      <c r="G987">
        <v>72677.399999999994</v>
      </c>
      <c r="H987">
        <v>4.4000000000000004</v>
      </c>
      <c r="I987">
        <v>1097.7</v>
      </c>
      <c r="J987">
        <v>-29.4</v>
      </c>
      <c r="K987">
        <v>66789.5</v>
      </c>
      <c r="L987">
        <v>10811.3</v>
      </c>
      <c r="M987">
        <v>0</v>
      </c>
      <c r="N987">
        <v>1.5</v>
      </c>
      <c r="O987">
        <v>1.6</v>
      </c>
      <c r="P987">
        <v>10.199999999999999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127163</v>
      </c>
      <c r="Y987" t="s">
        <v>347</v>
      </c>
      <c r="Z987" t="s">
        <v>804</v>
      </c>
      <c r="AB987">
        <v>101300</v>
      </c>
      <c r="AC987" t="s">
        <v>787</v>
      </c>
      <c r="AE987" t="s">
        <v>806</v>
      </c>
      <c r="AF987">
        <v>10761.7647058824</v>
      </c>
      <c r="AG987">
        <v>2017</v>
      </c>
      <c r="AH987">
        <v>1.08815607243654</v>
      </c>
      <c r="AI987">
        <v>0.10199999999999999</v>
      </c>
      <c r="AJ987">
        <v>6.2061847499316798</v>
      </c>
    </row>
    <row r="988" spans="1:36" x14ac:dyDescent="0.3">
      <c r="A988">
        <v>2017</v>
      </c>
      <c r="B988">
        <v>137</v>
      </c>
      <c r="C988" t="s">
        <v>784</v>
      </c>
      <c r="D988" t="s">
        <v>422</v>
      </c>
      <c r="E988" t="s">
        <v>803</v>
      </c>
      <c r="F988" t="s">
        <v>422</v>
      </c>
      <c r="G988">
        <v>61129.5</v>
      </c>
      <c r="H988">
        <v>11.3</v>
      </c>
      <c r="I988">
        <v>1260.5999999999999</v>
      </c>
      <c r="J988">
        <v>14.9</v>
      </c>
      <c r="K988">
        <v>57783.1</v>
      </c>
      <c r="L988">
        <v>8036.9</v>
      </c>
      <c r="M988">
        <v>0</v>
      </c>
      <c r="N988">
        <v>2.1</v>
      </c>
      <c r="O988">
        <v>2.2000000000000002</v>
      </c>
      <c r="P988">
        <v>15.7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134765</v>
      </c>
      <c r="Y988" t="s">
        <v>347</v>
      </c>
      <c r="Z988" t="s">
        <v>804</v>
      </c>
      <c r="AB988">
        <v>101300</v>
      </c>
      <c r="AC988" t="s">
        <v>787</v>
      </c>
      <c r="AE988" t="s">
        <v>806</v>
      </c>
      <c r="AF988">
        <v>8029.2993630573201</v>
      </c>
      <c r="AG988">
        <v>2016</v>
      </c>
      <c r="AH988">
        <v>1.05791312684851</v>
      </c>
      <c r="AI988">
        <v>0.157</v>
      </c>
      <c r="AJ988">
        <v>7.1965307789941297</v>
      </c>
    </row>
    <row r="989" spans="1:36" x14ac:dyDescent="0.3">
      <c r="A989">
        <v>2016</v>
      </c>
      <c r="B989">
        <v>160</v>
      </c>
      <c r="C989" t="s">
        <v>784</v>
      </c>
      <c r="D989" t="s">
        <v>422</v>
      </c>
      <c r="E989" t="s">
        <v>803</v>
      </c>
      <c r="F989" t="s">
        <v>422</v>
      </c>
      <c r="G989">
        <v>54932.9</v>
      </c>
      <c r="H989">
        <v>8.6</v>
      </c>
      <c r="I989">
        <v>1097.5</v>
      </c>
      <c r="J989">
        <v>33.9</v>
      </c>
      <c r="K989">
        <v>45852.1</v>
      </c>
      <c r="L989">
        <v>7013.1</v>
      </c>
      <c r="M989">
        <v>0</v>
      </c>
      <c r="N989">
        <v>2</v>
      </c>
      <c r="O989">
        <v>2.4</v>
      </c>
      <c r="P989">
        <v>15.6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126000</v>
      </c>
      <c r="Y989" t="s">
        <v>347</v>
      </c>
      <c r="Z989" t="s">
        <v>804</v>
      </c>
      <c r="AB989">
        <v>101300</v>
      </c>
      <c r="AC989" t="s">
        <v>787</v>
      </c>
      <c r="AE989" t="s">
        <v>806</v>
      </c>
      <c r="AF989">
        <v>7035.2564102564102</v>
      </c>
      <c r="AG989">
        <v>2015</v>
      </c>
      <c r="AH989">
        <v>1.1980454548428501</v>
      </c>
      <c r="AI989">
        <v>0.156</v>
      </c>
      <c r="AJ989">
        <v>6.5174738952164004</v>
      </c>
    </row>
    <row r="990" spans="1:36" x14ac:dyDescent="0.3">
      <c r="A990">
        <v>2014</v>
      </c>
      <c r="B990">
        <v>248</v>
      </c>
      <c r="C990" t="s">
        <v>784</v>
      </c>
      <c r="D990" t="s">
        <v>422</v>
      </c>
      <c r="E990" t="s">
        <v>803</v>
      </c>
      <c r="F990" t="s">
        <v>422</v>
      </c>
      <c r="G990">
        <v>43323.9</v>
      </c>
      <c r="H990">
        <v>29.8</v>
      </c>
      <c r="I990">
        <v>918.2</v>
      </c>
      <c r="J990">
        <v>-14.5</v>
      </c>
      <c r="K990">
        <v>35337</v>
      </c>
      <c r="L990">
        <v>5765.9018999999998</v>
      </c>
      <c r="M990">
        <v>0</v>
      </c>
      <c r="N990">
        <v>2.1019000000000001</v>
      </c>
      <c r="O990">
        <v>2.6019000000000001</v>
      </c>
      <c r="P990">
        <v>15.901899999999999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106000</v>
      </c>
      <c r="Y990" t="s">
        <v>347</v>
      </c>
      <c r="Z990" t="s">
        <v>786</v>
      </c>
      <c r="AB990">
        <v>101300</v>
      </c>
      <c r="AC990" t="s">
        <v>787</v>
      </c>
      <c r="AE990" t="s">
        <v>788</v>
      </c>
      <c r="AF990">
        <v>5774.1527741967902</v>
      </c>
      <c r="AG990">
        <v>2013</v>
      </c>
      <c r="AH990">
        <v>1.2260208846251801</v>
      </c>
      <c r="AI990">
        <v>0.159</v>
      </c>
      <c r="AJ990">
        <v>6.1198588575473796</v>
      </c>
    </row>
    <row r="991" spans="1:36" x14ac:dyDescent="0.3">
      <c r="A991">
        <v>2013</v>
      </c>
      <c r="B991">
        <v>336</v>
      </c>
      <c r="C991" t="s">
        <v>784</v>
      </c>
      <c r="D991" t="s">
        <v>422</v>
      </c>
      <c r="E991" t="s">
        <v>803</v>
      </c>
      <c r="F991" t="s">
        <v>422</v>
      </c>
      <c r="G991">
        <v>33374.5</v>
      </c>
      <c r="H991">
        <v>7.3</v>
      </c>
      <c r="I991">
        <v>1074.4000000000001</v>
      </c>
      <c r="J991">
        <v>6.7</v>
      </c>
      <c r="K991">
        <v>27328.6</v>
      </c>
      <c r="L991">
        <v>4768.3999999999996</v>
      </c>
      <c r="M991">
        <v>0</v>
      </c>
      <c r="N991">
        <v>3.2</v>
      </c>
      <c r="O991">
        <v>3.9312999999999998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83000</v>
      </c>
      <c r="Y991" t="s">
        <v>347</v>
      </c>
      <c r="Z991" t="s">
        <v>807</v>
      </c>
      <c r="AB991">
        <v>0</v>
      </c>
      <c r="AC991" t="s">
        <v>808</v>
      </c>
      <c r="AE991" t="s">
        <v>788</v>
      </c>
      <c r="AF991" t="s">
        <v>329</v>
      </c>
      <c r="AG991">
        <v>2012</v>
      </c>
      <c r="AH991">
        <v>1.2212297739364599</v>
      </c>
      <c r="AI991">
        <v>0</v>
      </c>
      <c r="AJ991">
        <v>0</v>
      </c>
    </row>
    <row r="992" spans="1:36" x14ac:dyDescent="0.3">
      <c r="A992">
        <v>2012</v>
      </c>
      <c r="B992">
        <v>137</v>
      </c>
      <c r="C992" t="s">
        <v>784</v>
      </c>
      <c r="D992" t="s">
        <v>422</v>
      </c>
      <c r="E992" t="s">
        <v>803</v>
      </c>
      <c r="F992" t="s">
        <v>422</v>
      </c>
      <c r="G992">
        <v>61129.5</v>
      </c>
      <c r="H992">
        <v>11.3</v>
      </c>
      <c r="I992">
        <v>1260.5999999999999</v>
      </c>
      <c r="J992">
        <v>14.9</v>
      </c>
      <c r="K992">
        <v>57783.1</v>
      </c>
      <c r="L992">
        <v>8036.9</v>
      </c>
      <c r="M992">
        <v>0</v>
      </c>
      <c r="N992">
        <v>2.1</v>
      </c>
      <c r="O992">
        <v>2.2000000000000002</v>
      </c>
      <c r="P992">
        <v>15.7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134765</v>
      </c>
      <c r="Y992" t="s">
        <v>347</v>
      </c>
      <c r="Z992" t="s">
        <v>786</v>
      </c>
      <c r="AB992">
        <v>101300</v>
      </c>
      <c r="AC992" t="s">
        <v>787</v>
      </c>
      <c r="AE992" t="s">
        <v>788</v>
      </c>
      <c r="AF992">
        <v>8029.2993630573201</v>
      </c>
      <c r="AG992">
        <v>2011</v>
      </c>
      <c r="AH992">
        <v>1.05791312684851</v>
      </c>
      <c r="AI992">
        <v>0.157</v>
      </c>
      <c r="AJ992">
        <v>7.1965307789941297</v>
      </c>
    </row>
  </sheetData>
  <hyperlinks>
    <hyperlink ref="Y564" r:id="rId1" xr:uid="{7790AE57-92AA-4A6F-8234-231572F24424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49E82-D67D-47DD-B332-C6F6DC5A157C}"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34037-4248-49CD-B536-A39D75A6F2EF}">
  <dimension ref="B4:B308"/>
  <sheetViews>
    <sheetView tabSelected="1" topLeftCell="A242" workbookViewId="0">
      <selection activeCell="G6" sqref="G6"/>
    </sheetView>
  </sheetViews>
  <sheetFormatPr baseColWidth="10" defaultRowHeight="14.4" x14ac:dyDescent="0.3"/>
  <sheetData>
    <row r="4" spans="2:2" x14ac:dyDescent="0.3">
      <c r="B4" s="5" t="s">
        <v>298</v>
      </c>
    </row>
    <row r="5" spans="2:2" x14ac:dyDescent="0.3">
      <c r="B5" s="4" t="s">
        <v>297</v>
      </c>
    </row>
    <row r="6" spans="2:2" x14ac:dyDescent="0.3">
      <c r="B6" s="4" t="s">
        <v>300</v>
      </c>
    </row>
    <row r="7" spans="2:2" x14ac:dyDescent="0.3">
      <c r="B7" s="5" t="s">
        <v>278</v>
      </c>
    </row>
    <row r="8" spans="2:2" x14ac:dyDescent="0.3">
      <c r="B8" s="4" t="s">
        <v>302</v>
      </c>
    </row>
    <row r="9" spans="2:2" x14ac:dyDescent="0.3">
      <c r="B9" s="4" t="s">
        <v>277</v>
      </c>
    </row>
    <row r="10" spans="2:2" x14ac:dyDescent="0.3">
      <c r="B10" s="4" t="s">
        <v>225</v>
      </c>
    </row>
    <row r="11" spans="2:2" x14ac:dyDescent="0.3">
      <c r="B11" s="4" t="s">
        <v>246</v>
      </c>
    </row>
    <row r="12" spans="2:2" x14ac:dyDescent="0.3">
      <c r="B12" s="5" t="s">
        <v>282</v>
      </c>
    </row>
    <row r="13" spans="2:2" x14ac:dyDescent="0.3">
      <c r="B13" s="4" t="s">
        <v>302</v>
      </c>
    </row>
    <row r="14" spans="2:2" x14ac:dyDescent="0.3">
      <c r="B14" s="4" t="s">
        <v>277</v>
      </c>
    </row>
    <row r="15" spans="2:2" x14ac:dyDescent="0.3">
      <c r="B15" s="4" t="s">
        <v>225</v>
      </c>
    </row>
    <row r="16" spans="2:2" x14ac:dyDescent="0.3">
      <c r="B16" s="5" t="s">
        <v>307</v>
      </c>
    </row>
    <row r="17" spans="2:2" x14ac:dyDescent="0.3">
      <c r="B17" s="4" t="s">
        <v>297</v>
      </c>
    </row>
    <row r="18" spans="2:2" x14ac:dyDescent="0.3">
      <c r="B18" s="4" t="s">
        <v>300</v>
      </c>
    </row>
    <row r="19" spans="2:2" x14ac:dyDescent="0.3">
      <c r="B19" s="5" t="s">
        <v>81</v>
      </c>
    </row>
    <row r="20" spans="2:2" x14ac:dyDescent="0.3">
      <c r="B20" s="4" t="s">
        <v>80</v>
      </c>
    </row>
    <row r="21" spans="2:2" x14ac:dyDescent="0.3">
      <c r="B21" s="5" t="s">
        <v>87</v>
      </c>
    </row>
    <row r="22" spans="2:2" x14ac:dyDescent="0.3">
      <c r="B22" s="4" t="s">
        <v>80</v>
      </c>
    </row>
    <row r="23" spans="2:2" x14ac:dyDescent="0.3">
      <c r="B23" s="5" t="s">
        <v>148</v>
      </c>
    </row>
    <row r="24" spans="2:2" x14ac:dyDescent="0.3">
      <c r="B24" s="4" t="s">
        <v>147</v>
      </c>
    </row>
    <row r="25" spans="2:2" x14ac:dyDescent="0.3">
      <c r="B25" s="5" t="s">
        <v>178</v>
      </c>
    </row>
    <row r="26" spans="2:2" x14ac:dyDescent="0.3">
      <c r="B26" s="4" t="s">
        <v>147</v>
      </c>
    </row>
    <row r="27" spans="2:2" x14ac:dyDescent="0.3">
      <c r="B27" s="5" t="s">
        <v>290</v>
      </c>
    </row>
    <row r="28" spans="2:2" x14ac:dyDescent="0.3">
      <c r="B28" s="4" t="s">
        <v>234</v>
      </c>
    </row>
    <row r="29" spans="2:2" x14ac:dyDescent="0.3">
      <c r="B29" s="5" t="s">
        <v>235</v>
      </c>
    </row>
    <row r="30" spans="2:2" x14ac:dyDescent="0.3">
      <c r="B30" s="4" t="s">
        <v>234</v>
      </c>
    </row>
    <row r="31" spans="2:2" x14ac:dyDescent="0.3">
      <c r="B31" s="5" t="s">
        <v>65</v>
      </c>
    </row>
    <row r="32" spans="2:2" x14ac:dyDescent="0.3">
      <c r="B32" s="4" t="s">
        <v>64</v>
      </c>
    </row>
    <row r="33" spans="2:2" x14ac:dyDescent="0.3">
      <c r="B33" s="5" t="s">
        <v>67</v>
      </c>
    </row>
    <row r="34" spans="2:2" x14ac:dyDescent="0.3">
      <c r="B34" s="4" t="s">
        <v>64</v>
      </c>
    </row>
    <row r="35" spans="2:2" x14ac:dyDescent="0.3">
      <c r="B35" s="5" t="s">
        <v>272</v>
      </c>
    </row>
    <row r="36" spans="2:2" x14ac:dyDescent="0.3">
      <c r="B36" s="4" t="s">
        <v>271</v>
      </c>
    </row>
    <row r="37" spans="2:2" x14ac:dyDescent="0.3">
      <c r="B37" s="5" t="s">
        <v>281</v>
      </c>
    </row>
    <row r="38" spans="2:2" x14ac:dyDescent="0.3">
      <c r="B38" s="4" t="s">
        <v>271</v>
      </c>
    </row>
    <row r="39" spans="2:2" x14ac:dyDescent="0.3">
      <c r="B39" s="5" t="s">
        <v>261</v>
      </c>
    </row>
    <row r="40" spans="2:2" x14ac:dyDescent="0.3">
      <c r="B40" s="4" t="s">
        <v>219</v>
      </c>
    </row>
    <row r="41" spans="2:2" x14ac:dyDescent="0.3">
      <c r="B41" s="5" t="s">
        <v>220</v>
      </c>
    </row>
    <row r="42" spans="2:2" x14ac:dyDescent="0.3">
      <c r="B42" s="4" t="s">
        <v>219</v>
      </c>
    </row>
    <row r="43" spans="2:2" x14ac:dyDescent="0.3">
      <c r="B43" s="5" t="s">
        <v>259</v>
      </c>
    </row>
    <row r="44" spans="2:2" x14ac:dyDescent="0.3">
      <c r="B44" s="4" t="s">
        <v>219</v>
      </c>
    </row>
    <row r="45" spans="2:2" x14ac:dyDescent="0.3">
      <c r="B45" s="5" t="s">
        <v>196</v>
      </c>
    </row>
    <row r="46" spans="2:2" x14ac:dyDescent="0.3">
      <c r="B46" s="4" t="s">
        <v>195</v>
      </c>
    </row>
    <row r="47" spans="2:2" x14ac:dyDescent="0.3">
      <c r="B47" s="5" t="s">
        <v>203</v>
      </c>
    </row>
    <row r="48" spans="2:2" x14ac:dyDescent="0.3">
      <c r="B48" s="4" t="s">
        <v>195</v>
      </c>
    </row>
    <row r="49" spans="2:2" x14ac:dyDescent="0.3">
      <c r="B49" s="5" t="s">
        <v>45</v>
      </c>
    </row>
    <row r="50" spans="2:2" x14ac:dyDescent="0.3">
      <c r="B50" s="4" t="s">
        <v>43</v>
      </c>
    </row>
    <row r="51" spans="2:2" x14ac:dyDescent="0.3">
      <c r="B51" s="5" t="s">
        <v>122</v>
      </c>
    </row>
    <row r="52" spans="2:2" x14ac:dyDescent="0.3">
      <c r="B52" s="4" t="s">
        <v>43</v>
      </c>
    </row>
    <row r="53" spans="2:2" x14ac:dyDescent="0.3">
      <c r="B53" s="5" t="s">
        <v>69</v>
      </c>
    </row>
    <row r="54" spans="2:2" x14ac:dyDescent="0.3">
      <c r="B54" s="4" t="s">
        <v>68</v>
      </c>
    </row>
    <row r="55" spans="2:2" x14ac:dyDescent="0.3">
      <c r="B55" s="5" t="s">
        <v>93</v>
      </c>
    </row>
    <row r="56" spans="2:2" x14ac:dyDescent="0.3">
      <c r="B56" s="4" t="s">
        <v>68</v>
      </c>
    </row>
    <row r="57" spans="2:2" x14ac:dyDescent="0.3">
      <c r="B57" s="5" t="s">
        <v>110</v>
      </c>
    </row>
    <row r="58" spans="2:2" x14ac:dyDescent="0.3">
      <c r="B58" s="4" t="s">
        <v>68</v>
      </c>
    </row>
    <row r="59" spans="2:2" x14ac:dyDescent="0.3">
      <c r="B59" s="5" t="s">
        <v>56</v>
      </c>
    </row>
    <row r="60" spans="2:2" x14ac:dyDescent="0.3">
      <c r="B60" s="4" t="s">
        <v>54</v>
      </c>
    </row>
    <row r="61" spans="2:2" x14ac:dyDescent="0.3">
      <c r="B61" s="5" t="s">
        <v>31</v>
      </c>
    </row>
    <row r="62" spans="2:2" x14ac:dyDescent="0.3">
      <c r="B62" s="4" t="s">
        <v>29</v>
      </c>
    </row>
    <row r="63" spans="2:2" x14ac:dyDescent="0.3">
      <c r="B63" s="5" t="s">
        <v>114</v>
      </c>
    </row>
    <row r="64" spans="2:2" x14ac:dyDescent="0.3">
      <c r="B64" s="4" t="s">
        <v>113</v>
      </c>
    </row>
    <row r="65" spans="2:2" x14ac:dyDescent="0.3">
      <c r="B65" s="5" t="s">
        <v>256</v>
      </c>
    </row>
    <row r="66" spans="2:2" x14ac:dyDescent="0.3">
      <c r="B66" s="4" t="s">
        <v>163</v>
      </c>
    </row>
    <row r="67" spans="2:2" x14ac:dyDescent="0.3">
      <c r="B67" s="5" t="s">
        <v>164</v>
      </c>
    </row>
    <row r="68" spans="2:2" x14ac:dyDescent="0.3">
      <c r="B68" s="4" t="s">
        <v>163</v>
      </c>
    </row>
    <row r="69" spans="2:2" x14ac:dyDescent="0.3">
      <c r="B69" s="5" t="s">
        <v>51</v>
      </c>
    </row>
    <row r="70" spans="2:2" x14ac:dyDescent="0.3">
      <c r="B70" s="4" t="s">
        <v>50</v>
      </c>
    </row>
    <row r="71" spans="2:2" x14ac:dyDescent="0.3">
      <c r="B71" s="5" t="s">
        <v>106</v>
      </c>
    </row>
    <row r="72" spans="2:2" x14ac:dyDescent="0.3">
      <c r="B72" s="4" t="s">
        <v>106</v>
      </c>
    </row>
    <row r="73" spans="2:2" x14ac:dyDescent="0.3">
      <c r="B73" s="5" t="s">
        <v>104</v>
      </c>
    </row>
    <row r="74" spans="2:2" x14ac:dyDescent="0.3">
      <c r="B74" s="4" t="s">
        <v>103</v>
      </c>
    </row>
    <row r="75" spans="2:2" x14ac:dyDescent="0.3">
      <c r="B75" s="5" t="s">
        <v>108</v>
      </c>
    </row>
    <row r="76" spans="2:2" x14ac:dyDescent="0.3">
      <c r="B76" s="4" t="s">
        <v>103</v>
      </c>
    </row>
    <row r="77" spans="2:2" x14ac:dyDescent="0.3">
      <c r="B77" s="5" t="s">
        <v>41</v>
      </c>
    </row>
    <row r="78" spans="2:2" x14ac:dyDescent="0.3">
      <c r="B78" s="4" t="s">
        <v>40</v>
      </c>
    </row>
    <row r="79" spans="2:2" x14ac:dyDescent="0.3">
      <c r="B79" s="5" t="s">
        <v>53</v>
      </c>
    </row>
    <row r="80" spans="2:2" x14ac:dyDescent="0.3">
      <c r="B80" s="4" t="s">
        <v>40</v>
      </c>
    </row>
    <row r="81" spans="2:2" x14ac:dyDescent="0.3">
      <c r="B81" s="5" t="s">
        <v>158</v>
      </c>
    </row>
    <row r="82" spans="2:2" x14ac:dyDescent="0.3">
      <c r="B82" s="4" t="s">
        <v>157</v>
      </c>
    </row>
    <row r="83" spans="2:2" x14ac:dyDescent="0.3">
      <c r="B83" s="5" t="s">
        <v>294</v>
      </c>
    </row>
    <row r="84" spans="2:2" x14ac:dyDescent="0.3">
      <c r="B84" s="4" t="s">
        <v>293</v>
      </c>
    </row>
    <row r="85" spans="2:2" x14ac:dyDescent="0.3">
      <c r="B85" s="5" t="s">
        <v>232</v>
      </c>
    </row>
    <row r="86" spans="2:2" x14ac:dyDescent="0.3">
      <c r="B86" s="4" t="s">
        <v>231</v>
      </c>
    </row>
    <row r="87" spans="2:2" x14ac:dyDescent="0.3">
      <c r="B87" s="5" t="s">
        <v>48</v>
      </c>
    </row>
    <row r="88" spans="2:2" x14ac:dyDescent="0.3">
      <c r="B88" s="4" t="s">
        <v>47</v>
      </c>
    </row>
    <row r="89" spans="2:2" x14ac:dyDescent="0.3">
      <c r="B89" s="5" t="s">
        <v>78</v>
      </c>
    </row>
    <row r="90" spans="2:2" x14ac:dyDescent="0.3">
      <c r="B90" s="4" t="s">
        <v>77</v>
      </c>
    </row>
    <row r="91" spans="2:2" x14ac:dyDescent="0.3">
      <c r="B91" s="5" t="s">
        <v>88</v>
      </c>
    </row>
    <row r="92" spans="2:2" x14ac:dyDescent="0.3">
      <c r="B92" s="4" t="s">
        <v>77</v>
      </c>
    </row>
    <row r="93" spans="2:2" x14ac:dyDescent="0.3">
      <c r="B93" s="5" t="s">
        <v>291</v>
      </c>
    </row>
    <row r="94" spans="2:2" x14ac:dyDescent="0.3">
      <c r="B94" s="4" t="s">
        <v>243</v>
      </c>
    </row>
    <row r="95" spans="2:2" x14ac:dyDescent="0.3">
      <c r="B95" s="5" t="s">
        <v>244</v>
      </c>
    </row>
    <row r="96" spans="2:2" x14ac:dyDescent="0.3">
      <c r="B96" s="4" t="s">
        <v>243</v>
      </c>
    </row>
    <row r="97" spans="2:2" x14ac:dyDescent="0.3">
      <c r="B97" s="5" t="s">
        <v>91</v>
      </c>
    </row>
    <row r="98" spans="2:2" x14ac:dyDescent="0.3">
      <c r="B98" s="4" t="s">
        <v>89</v>
      </c>
    </row>
    <row r="99" spans="2:2" x14ac:dyDescent="0.3">
      <c r="B99" s="5" t="s">
        <v>109</v>
      </c>
    </row>
    <row r="100" spans="2:2" x14ac:dyDescent="0.3">
      <c r="B100" s="4" t="s">
        <v>89</v>
      </c>
    </row>
    <row r="101" spans="2:2" x14ac:dyDescent="0.3">
      <c r="B101" s="5" t="s">
        <v>38</v>
      </c>
    </row>
    <row r="102" spans="2:2" x14ac:dyDescent="0.3">
      <c r="B102" s="4" t="s">
        <v>37</v>
      </c>
    </row>
    <row r="103" spans="2:2" x14ac:dyDescent="0.3">
      <c r="B103" s="5" t="s">
        <v>59</v>
      </c>
    </row>
    <row r="104" spans="2:2" x14ac:dyDescent="0.3">
      <c r="B104" s="4" t="s">
        <v>58</v>
      </c>
    </row>
    <row r="105" spans="2:2" x14ac:dyDescent="0.3">
      <c r="B105" s="5" t="s">
        <v>72</v>
      </c>
    </row>
    <row r="106" spans="2:2" x14ac:dyDescent="0.3">
      <c r="B106" s="4" t="s">
        <v>71</v>
      </c>
    </row>
    <row r="107" spans="2:2" x14ac:dyDescent="0.3">
      <c r="B107" s="4" t="s">
        <v>58</v>
      </c>
    </row>
    <row r="108" spans="2:2" x14ac:dyDescent="0.3">
      <c r="B108" s="5" t="s">
        <v>275</v>
      </c>
    </row>
    <row r="109" spans="2:2" x14ac:dyDescent="0.3">
      <c r="B109" s="4" t="s">
        <v>264</v>
      </c>
    </row>
    <row r="110" spans="2:2" x14ac:dyDescent="0.3">
      <c r="B110" s="5" t="s">
        <v>265</v>
      </c>
    </row>
    <row r="111" spans="2:2" x14ac:dyDescent="0.3">
      <c r="B111" s="4" t="s">
        <v>264</v>
      </c>
    </row>
    <row r="112" spans="2:2" x14ac:dyDescent="0.3">
      <c r="B112" s="5" t="s">
        <v>189</v>
      </c>
    </row>
    <row r="113" spans="2:2" x14ac:dyDescent="0.3">
      <c r="B113" s="4" t="s">
        <v>188</v>
      </c>
    </row>
    <row r="114" spans="2:2" x14ac:dyDescent="0.3">
      <c r="B114" s="5" t="s">
        <v>209</v>
      </c>
    </row>
    <row r="115" spans="2:2" x14ac:dyDescent="0.3">
      <c r="B115" s="4" t="s">
        <v>188</v>
      </c>
    </row>
    <row r="116" spans="2:2" x14ac:dyDescent="0.3">
      <c r="B116" s="5" t="s">
        <v>130</v>
      </c>
    </row>
    <row r="117" spans="2:2" x14ac:dyDescent="0.3">
      <c r="B117" s="4" t="s">
        <v>129</v>
      </c>
    </row>
    <row r="118" spans="2:2" x14ac:dyDescent="0.3">
      <c r="B118" s="5" t="s">
        <v>179</v>
      </c>
    </row>
    <row r="119" spans="2:2" x14ac:dyDescent="0.3">
      <c r="B119" s="4" t="s">
        <v>129</v>
      </c>
    </row>
    <row r="120" spans="2:2" x14ac:dyDescent="0.3">
      <c r="B120" s="5" t="s">
        <v>186</v>
      </c>
    </row>
    <row r="121" spans="2:2" x14ac:dyDescent="0.3">
      <c r="B121" s="4" t="s">
        <v>185</v>
      </c>
    </row>
    <row r="122" spans="2:2" x14ac:dyDescent="0.3">
      <c r="B122" s="5" t="s">
        <v>205</v>
      </c>
    </row>
    <row r="123" spans="2:2" x14ac:dyDescent="0.3">
      <c r="B123" s="4" t="s">
        <v>185</v>
      </c>
    </row>
    <row r="124" spans="2:2" x14ac:dyDescent="0.3">
      <c r="B124" s="5" t="s">
        <v>100</v>
      </c>
    </row>
    <row r="125" spans="2:2" x14ac:dyDescent="0.3">
      <c r="B125" s="4" t="s">
        <v>98</v>
      </c>
    </row>
    <row r="126" spans="2:2" x14ac:dyDescent="0.3">
      <c r="B126" s="5" t="s">
        <v>142</v>
      </c>
    </row>
    <row r="127" spans="2:2" x14ac:dyDescent="0.3">
      <c r="B127" s="4" t="s">
        <v>141</v>
      </c>
    </row>
    <row r="128" spans="2:2" x14ac:dyDescent="0.3">
      <c r="B128" s="5" t="s">
        <v>180</v>
      </c>
    </row>
    <row r="129" spans="2:2" x14ac:dyDescent="0.3">
      <c r="B129" s="4" t="s">
        <v>141</v>
      </c>
    </row>
    <row r="130" spans="2:2" x14ac:dyDescent="0.3">
      <c r="B130" s="5" t="s">
        <v>296</v>
      </c>
    </row>
    <row r="131" spans="2:2" x14ac:dyDescent="0.3">
      <c r="B131" s="4" t="s">
        <v>169</v>
      </c>
    </row>
    <row r="132" spans="2:2" x14ac:dyDescent="0.3">
      <c r="B132" s="5" t="s">
        <v>170</v>
      </c>
    </row>
    <row r="133" spans="2:2" x14ac:dyDescent="0.3">
      <c r="B133" s="4" t="s">
        <v>169</v>
      </c>
    </row>
    <row r="134" spans="2:2" x14ac:dyDescent="0.3">
      <c r="B134" s="5" t="s">
        <v>35</v>
      </c>
    </row>
    <row r="135" spans="2:2" x14ac:dyDescent="0.3">
      <c r="B135" s="4" t="s">
        <v>33</v>
      </c>
    </row>
    <row r="136" spans="2:2" x14ac:dyDescent="0.3">
      <c r="B136" s="5" t="s">
        <v>183</v>
      </c>
    </row>
    <row r="137" spans="2:2" x14ac:dyDescent="0.3">
      <c r="B137" s="4" t="s">
        <v>182</v>
      </c>
    </row>
    <row r="138" spans="2:2" x14ac:dyDescent="0.3">
      <c r="B138" s="5" t="s">
        <v>204</v>
      </c>
    </row>
    <row r="139" spans="2:2" x14ac:dyDescent="0.3">
      <c r="B139" s="4" t="s">
        <v>182</v>
      </c>
    </row>
    <row r="140" spans="2:2" x14ac:dyDescent="0.3">
      <c r="B140" s="5" t="s">
        <v>124</v>
      </c>
    </row>
    <row r="141" spans="2:2" x14ac:dyDescent="0.3">
      <c r="B141" s="4" t="s">
        <v>123</v>
      </c>
    </row>
    <row r="142" spans="2:2" x14ac:dyDescent="0.3">
      <c r="B142" s="5" t="s">
        <v>96</v>
      </c>
    </row>
    <row r="143" spans="2:2" x14ac:dyDescent="0.3">
      <c r="B143" s="4" t="s">
        <v>95</v>
      </c>
    </row>
    <row r="144" spans="2:2" x14ac:dyDescent="0.3">
      <c r="B144" s="5" t="s">
        <v>111</v>
      </c>
    </row>
    <row r="145" spans="2:2" x14ac:dyDescent="0.3">
      <c r="B145" s="4" t="s">
        <v>95</v>
      </c>
    </row>
    <row r="146" spans="2:2" x14ac:dyDescent="0.3">
      <c r="B146" s="5" t="s">
        <v>202</v>
      </c>
    </row>
    <row r="147" spans="2:2" x14ac:dyDescent="0.3">
      <c r="B147" s="4" t="s">
        <v>199</v>
      </c>
    </row>
    <row r="148" spans="2:2" x14ac:dyDescent="0.3">
      <c r="B148" s="5" t="s">
        <v>211</v>
      </c>
    </row>
    <row r="149" spans="2:2" x14ac:dyDescent="0.3">
      <c r="B149" s="4" t="s">
        <v>210</v>
      </c>
    </row>
    <row r="150" spans="2:2" x14ac:dyDescent="0.3">
      <c r="B150" s="4" t="s">
        <v>199</v>
      </c>
    </row>
    <row r="151" spans="2:2" x14ac:dyDescent="0.3">
      <c r="B151" s="5" t="s">
        <v>193</v>
      </c>
    </row>
    <row r="152" spans="2:2" x14ac:dyDescent="0.3">
      <c r="B152" s="4" t="s">
        <v>199</v>
      </c>
    </row>
    <row r="153" spans="2:2" x14ac:dyDescent="0.3">
      <c r="B153" s="4" t="s">
        <v>192</v>
      </c>
    </row>
    <row r="154" spans="2:2" x14ac:dyDescent="0.3">
      <c r="B154" s="5" t="s">
        <v>212</v>
      </c>
    </row>
    <row r="155" spans="2:2" x14ac:dyDescent="0.3">
      <c r="B155" s="4" t="s">
        <v>199</v>
      </c>
    </row>
    <row r="156" spans="2:2" x14ac:dyDescent="0.3">
      <c r="B156" s="5" t="s">
        <v>252</v>
      </c>
    </row>
    <row r="157" spans="2:2" x14ac:dyDescent="0.3">
      <c r="B157" s="4" t="s">
        <v>251</v>
      </c>
    </row>
    <row r="158" spans="2:2" x14ac:dyDescent="0.3">
      <c r="B158" s="5" t="s">
        <v>253</v>
      </c>
    </row>
    <row r="159" spans="2:2" x14ac:dyDescent="0.3">
      <c r="B159" s="4" t="s">
        <v>251</v>
      </c>
    </row>
    <row r="160" spans="2:2" x14ac:dyDescent="0.3">
      <c r="B160" s="5" t="s">
        <v>84</v>
      </c>
    </row>
    <row r="161" spans="2:2" x14ac:dyDescent="0.3">
      <c r="B161" s="4" t="s">
        <v>83</v>
      </c>
    </row>
    <row r="162" spans="2:2" x14ac:dyDescent="0.3">
      <c r="B162" s="5" t="s">
        <v>86</v>
      </c>
    </row>
    <row r="163" spans="2:2" x14ac:dyDescent="0.3">
      <c r="B163" s="4" t="s">
        <v>83</v>
      </c>
    </row>
    <row r="164" spans="2:2" x14ac:dyDescent="0.3">
      <c r="B164" s="5" t="s">
        <v>161</v>
      </c>
    </row>
    <row r="165" spans="2:2" x14ac:dyDescent="0.3">
      <c r="B165" s="4" t="s">
        <v>160</v>
      </c>
    </row>
    <row r="166" spans="2:2" x14ac:dyDescent="0.3">
      <c r="B166" s="5" t="s">
        <v>284</v>
      </c>
    </row>
    <row r="167" spans="2:2" x14ac:dyDescent="0.3">
      <c r="B167" s="4" t="s">
        <v>160</v>
      </c>
    </row>
    <row r="168" spans="2:2" x14ac:dyDescent="0.3">
      <c r="B168" s="4" t="s">
        <v>283</v>
      </c>
    </row>
    <row r="169" spans="2:2" x14ac:dyDescent="0.3">
      <c r="B169" s="5" t="s">
        <v>288</v>
      </c>
    </row>
    <row r="170" spans="2:2" x14ac:dyDescent="0.3">
      <c r="B170" s="4" t="s">
        <v>160</v>
      </c>
    </row>
    <row r="171" spans="2:2" x14ac:dyDescent="0.3">
      <c r="B171" s="5" t="s">
        <v>306</v>
      </c>
    </row>
    <row r="172" spans="2:2" x14ac:dyDescent="0.3">
      <c r="B172" s="4" t="s">
        <v>172</v>
      </c>
    </row>
    <row r="173" spans="2:2" x14ac:dyDescent="0.3">
      <c r="B173" s="5" t="s">
        <v>173</v>
      </c>
    </row>
    <row r="174" spans="2:2" x14ac:dyDescent="0.3">
      <c r="B174" s="4" t="s">
        <v>172</v>
      </c>
    </row>
    <row r="175" spans="2:2" x14ac:dyDescent="0.3">
      <c r="B175" s="5" t="s">
        <v>226</v>
      </c>
    </row>
    <row r="176" spans="2:2" x14ac:dyDescent="0.3">
      <c r="B176" s="4" t="s">
        <v>225</v>
      </c>
    </row>
    <row r="177" spans="2:2" x14ac:dyDescent="0.3">
      <c r="B177" s="5" t="s">
        <v>167</v>
      </c>
    </row>
    <row r="178" spans="2:2" x14ac:dyDescent="0.3">
      <c r="B178" s="4" t="s">
        <v>166</v>
      </c>
    </row>
    <row r="179" spans="2:2" x14ac:dyDescent="0.3">
      <c r="B179" s="5" t="s">
        <v>120</v>
      </c>
    </row>
    <row r="180" spans="2:2" x14ac:dyDescent="0.3">
      <c r="B180" s="4" t="s">
        <v>119</v>
      </c>
    </row>
    <row r="181" spans="2:2" x14ac:dyDescent="0.3">
      <c r="B181" s="5" t="s">
        <v>254</v>
      </c>
    </row>
    <row r="182" spans="2:2" x14ac:dyDescent="0.3">
      <c r="B182" s="4" t="s">
        <v>254</v>
      </c>
    </row>
    <row r="183" spans="2:2" x14ac:dyDescent="0.3">
      <c r="B183" s="5" t="s">
        <v>258</v>
      </c>
    </row>
    <row r="184" spans="2:2" x14ac:dyDescent="0.3">
      <c r="B184" s="4" t="s">
        <v>254</v>
      </c>
    </row>
    <row r="185" spans="2:2" x14ac:dyDescent="0.3">
      <c r="B185" s="5" t="s">
        <v>249</v>
      </c>
    </row>
    <row r="186" spans="2:2" x14ac:dyDescent="0.3">
      <c r="B186" s="4" t="s">
        <v>222</v>
      </c>
    </row>
    <row r="187" spans="2:2" x14ac:dyDescent="0.3">
      <c r="B187" s="5" t="s">
        <v>223</v>
      </c>
    </row>
    <row r="188" spans="2:2" x14ac:dyDescent="0.3">
      <c r="B188" s="4" t="s">
        <v>222</v>
      </c>
    </row>
    <row r="189" spans="2:2" x14ac:dyDescent="0.3">
      <c r="B189" s="5" t="s">
        <v>127</v>
      </c>
    </row>
    <row r="190" spans="2:2" x14ac:dyDescent="0.3">
      <c r="B190" s="4" t="s">
        <v>126</v>
      </c>
    </row>
    <row r="191" spans="2:2" x14ac:dyDescent="0.3">
      <c r="B191" s="5" t="s">
        <v>207</v>
      </c>
    </row>
    <row r="192" spans="2:2" x14ac:dyDescent="0.3">
      <c r="B192" s="4" t="s">
        <v>206</v>
      </c>
    </row>
    <row r="193" spans="2:2" x14ac:dyDescent="0.3">
      <c r="B193" s="4" t="s">
        <v>126</v>
      </c>
    </row>
    <row r="194" spans="2:2" x14ac:dyDescent="0.3">
      <c r="B194" s="5" t="s">
        <v>154</v>
      </c>
    </row>
    <row r="195" spans="2:2" x14ac:dyDescent="0.3">
      <c r="B195" s="4" t="s">
        <v>153</v>
      </c>
    </row>
    <row r="196" spans="2:2" x14ac:dyDescent="0.3">
      <c r="B196" s="5" t="s">
        <v>241</v>
      </c>
    </row>
    <row r="197" spans="2:2" x14ac:dyDescent="0.3">
      <c r="B197" s="4" t="s">
        <v>240</v>
      </c>
    </row>
    <row r="198" spans="2:2" x14ac:dyDescent="0.3">
      <c r="B198" s="5" t="s">
        <v>257</v>
      </c>
    </row>
    <row r="199" spans="2:2" x14ac:dyDescent="0.3">
      <c r="B199" s="4" t="s">
        <v>240</v>
      </c>
    </row>
    <row r="200" spans="2:2" x14ac:dyDescent="0.3">
      <c r="B200" s="5" t="s">
        <v>214</v>
      </c>
    </row>
    <row r="201" spans="2:2" x14ac:dyDescent="0.3">
      <c r="B201" s="4" t="s">
        <v>213</v>
      </c>
    </row>
    <row r="202" spans="2:2" x14ac:dyDescent="0.3">
      <c r="B202" s="5" t="s">
        <v>151</v>
      </c>
    </row>
    <row r="203" spans="2:2" x14ac:dyDescent="0.3">
      <c r="B203" s="4" t="s">
        <v>150</v>
      </c>
    </row>
    <row r="204" spans="2:2" x14ac:dyDescent="0.3">
      <c r="B204" s="5" t="s">
        <v>177</v>
      </c>
    </row>
    <row r="205" spans="2:2" x14ac:dyDescent="0.3">
      <c r="B205" s="4" t="s">
        <v>150</v>
      </c>
    </row>
    <row r="206" spans="2:2" x14ac:dyDescent="0.3">
      <c r="B206" s="5" t="s">
        <v>191</v>
      </c>
    </row>
    <row r="207" spans="2:2" x14ac:dyDescent="0.3">
      <c r="B207" s="4" t="s">
        <v>150</v>
      </c>
    </row>
    <row r="208" spans="2:2" x14ac:dyDescent="0.3">
      <c r="B208" s="5" t="s">
        <v>304</v>
      </c>
    </row>
    <row r="209" spans="2:2" x14ac:dyDescent="0.3">
      <c r="B209" s="4" t="s">
        <v>246</v>
      </c>
    </row>
    <row r="210" spans="2:2" x14ac:dyDescent="0.3">
      <c r="B210" s="5" t="s">
        <v>247</v>
      </c>
    </row>
    <row r="211" spans="2:2" x14ac:dyDescent="0.3">
      <c r="B211" s="4" t="s">
        <v>246</v>
      </c>
    </row>
    <row r="212" spans="2:2" x14ac:dyDescent="0.3">
      <c r="B212" s="5" t="s">
        <v>62</v>
      </c>
    </row>
    <row r="213" spans="2:2" x14ac:dyDescent="0.3">
      <c r="B213" s="4" t="s">
        <v>61</v>
      </c>
    </row>
    <row r="214" spans="2:2" x14ac:dyDescent="0.3">
      <c r="B214" s="5" t="s">
        <v>112</v>
      </c>
    </row>
    <row r="215" spans="2:2" x14ac:dyDescent="0.3">
      <c r="B215" s="4" t="s">
        <v>61</v>
      </c>
    </row>
    <row r="216" spans="2:2" x14ac:dyDescent="0.3">
      <c r="B216" s="5" t="s">
        <v>269</v>
      </c>
    </row>
    <row r="217" spans="2:2" x14ac:dyDescent="0.3">
      <c r="B217" s="4" t="s">
        <v>268</v>
      </c>
    </row>
    <row r="218" spans="2:2" x14ac:dyDescent="0.3">
      <c r="B218" s="5" t="s">
        <v>280</v>
      </c>
    </row>
    <row r="219" spans="2:2" x14ac:dyDescent="0.3">
      <c r="B219" s="4" t="s">
        <v>268</v>
      </c>
    </row>
    <row r="220" spans="2:2" x14ac:dyDescent="0.3">
      <c r="B220" s="5" t="s">
        <v>289</v>
      </c>
    </row>
    <row r="221" spans="2:2" x14ac:dyDescent="0.3">
      <c r="B221" s="4" t="s">
        <v>237</v>
      </c>
    </row>
    <row r="222" spans="2:2" x14ac:dyDescent="0.3">
      <c r="B222" s="5" t="s">
        <v>238</v>
      </c>
    </row>
    <row r="223" spans="2:2" x14ac:dyDescent="0.3">
      <c r="B223" s="4" t="s">
        <v>237</v>
      </c>
    </row>
    <row r="224" spans="2:2" x14ac:dyDescent="0.3">
      <c r="B224" s="5" t="s">
        <v>145</v>
      </c>
    </row>
    <row r="225" spans="2:2" x14ac:dyDescent="0.3">
      <c r="B225" s="4" t="s">
        <v>144</v>
      </c>
    </row>
    <row r="226" spans="2:2" x14ac:dyDescent="0.3">
      <c r="B226" s="5" t="s">
        <v>156</v>
      </c>
    </row>
    <row r="227" spans="2:2" x14ac:dyDescent="0.3">
      <c r="B227" s="4" t="s">
        <v>144</v>
      </c>
    </row>
    <row r="228" spans="2:2" x14ac:dyDescent="0.3">
      <c r="B228" s="5" t="s">
        <v>305</v>
      </c>
    </row>
    <row r="229" spans="2:2" x14ac:dyDescent="0.3">
      <c r="B229" s="4" t="s">
        <v>216</v>
      </c>
    </row>
    <row r="230" spans="2:2" x14ac:dyDescent="0.3">
      <c r="B230" s="5" t="s">
        <v>217</v>
      </c>
    </row>
    <row r="231" spans="2:2" x14ac:dyDescent="0.3">
      <c r="B231" s="4" t="s">
        <v>216</v>
      </c>
    </row>
    <row r="232" spans="2:2" x14ac:dyDescent="0.3">
      <c r="B232" s="5" t="s">
        <v>175</v>
      </c>
    </row>
    <row r="233" spans="2:2" x14ac:dyDescent="0.3">
      <c r="B233" s="4" t="s">
        <v>132</v>
      </c>
    </row>
    <row r="234" spans="2:2" x14ac:dyDescent="0.3">
      <c r="B234" s="5" t="s">
        <v>133</v>
      </c>
    </row>
    <row r="235" spans="2:2" x14ac:dyDescent="0.3">
      <c r="B235" s="4" t="s">
        <v>132</v>
      </c>
    </row>
    <row r="236" spans="2:2" x14ac:dyDescent="0.3">
      <c r="B236" s="5" t="s">
        <v>117</v>
      </c>
    </row>
    <row r="237" spans="2:2" x14ac:dyDescent="0.3">
      <c r="B237" s="4" t="s">
        <v>116</v>
      </c>
    </row>
    <row r="238" spans="2:2" x14ac:dyDescent="0.3">
      <c r="B238" s="5" t="s">
        <v>229</v>
      </c>
    </row>
    <row r="239" spans="2:2" x14ac:dyDescent="0.3">
      <c r="B239" s="4" t="s">
        <v>228</v>
      </c>
    </row>
    <row r="240" spans="2:2" x14ac:dyDescent="0.3">
      <c r="B240" s="5" t="s">
        <v>136</v>
      </c>
    </row>
    <row r="241" spans="2:2" x14ac:dyDescent="0.3">
      <c r="B241" s="4" t="s">
        <v>135</v>
      </c>
    </row>
    <row r="242" spans="2:2" x14ac:dyDescent="0.3">
      <c r="B242" s="5" t="s">
        <v>181</v>
      </c>
    </row>
    <row r="243" spans="2:2" x14ac:dyDescent="0.3">
      <c r="B243" s="4" t="s">
        <v>135</v>
      </c>
    </row>
    <row r="244" spans="2:2" x14ac:dyDescent="0.3">
      <c r="B244" s="5" t="s">
        <v>74</v>
      </c>
    </row>
    <row r="245" spans="2:2" x14ac:dyDescent="0.3">
      <c r="B245" s="4" t="s">
        <v>73</v>
      </c>
    </row>
    <row r="246" spans="2:2" x14ac:dyDescent="0.3">
      <c r="B246" s="5" t="s">
        <v>76</v>
      </c>
    </row>
    <row r="247" spans="2:2" x14ac:dyDescent="0.3">
      <c r="B247" s="4" t="s">
        <v>73</v>
      </c>
    </row>
    <row r="248" spans="2:2" x14ac:dyDescent="0.3">
      <c r="B248" s="5" t="s">
        <v>276</v>
      </c>
    </row>
    <row r="249" spans="2:2" x14ac:dyDescent="0.3">
      <c r="B249" s="4" t="s">
        <v>138</v>
      </c>
    </row>
    <row r="250" spans="2:2" x14ac:dyDescent="0.3">
      <c r="B250" s="5" t="s">
        <v>139</v>
      </c>
    </row>
    <row r="251" spans="2:2" x14ac:dyDescent="0.3">
      <c r="B251" s="4" t="s">
        <v>138</v>
      </c>
    </row>
    <row r="252" spans="2:2" x14ac:dyDescent="0.3">
      <c r="B252" s="5" t="s">
        <v>334</v>
      </c>
    </row>
    <row r="253" spans="2:2" x14ac:dyDescent="0.3">
      <c r="B253" s="4" t="s">
        <v>64</v>
      </c>
    </row>
    <row r="254" spans="2:2" x14ac:dyDescent="0.3">
      <c r="B254" s="4" t="s">
        <v>320</v>
      </c>
    </row>
    <row r="255" spans="2:2" x14ac:dyDescent="0.3">
      <c r="B255" s="4" t="s">
        <v>234</v>
      </c>
    </row>
    <row r="256" spans="2:2" x14ac:dyDescent="0.3">
      <c r="B256" s="4" t="s">
        <v>80</v>
      </c>
    </row>
    <row r="257" spans="2:2" x14ac:dyDescent="0.3">
      <c r="B257" s="4" t="s">
        <v>61</v>
      </c>
    </row>
    <row r="258" spans="2:2" x14ac:dyDescent="0.3">
      <c r="B258" s="4" t="s">
        <v>219</v>
      </c>
    </row>
    <row r="259" spans="2:2" x14ac:dyDescent="0.3">
      <c r="B259" s="4" t="s">
        <v>195</v>
      </c>
    </row>
    <row r="260" spans="2:2" x14ac:dyDescent="0.3">
      <c r="B260" s="4" t="s">
        <v>312</v>
      </c>
    </row>
    <row r="261" spans="2:2" x14ac:dyDescent="0.3">
      <c r="B261" s="4" t="s">
        <v>326</v>
      </c>
    </row>
    <row r="262" spans="2:2" x14ac:dyDescent="0.3">
      <c r="B262" s="4" t="s">
        <v>324</v>
      </c>
    </row>
    <row r="263" spans="2:2" x14ac:dyDescent="0.3">
      <c r="B263" s="4" t="s">
        <v>322</v>
      </c>
    </row>
    <row r="264" spans="2:2" x14ac:dyDescent="0.3">
      <c r="B264" s="4" t="s">
        <v>68</v>
      </c>
    </row>
    <row r="265" spans="2:2" x14ac:dyDescent="0.3">
      <c r="B265" s="4" t="s">
        <v>297</v>
      </c>
    </row>
    <row r="266" spans="2:2" x14ac:dyDescent="0.3">
      <c r="B266" s="4" t="s">
        <v>29</v>
      </c>
    </row>
    <row r="267" spans="2:2" x14ac:dyDescent="0.3">
      <c r="B267" s="4" t="s">
        <v>163</v>
      </c>
    </row>
    <row r="268" spans="2:2" x14ac:dyDescent="0.3">
      <c r="B268" s="4" t="s">
        <v>50</v>
      </c>
    </row>
    <row r="269" spans="2:2" x14ac:dyDescent="0.3">
      <c r="B269" s="4" t="s">
        <v>106</v>
      </c>
    </row>
    <row r="270" spans="2:2" x14ac:dyDescent="0.3">
      <c r="B270" s="4" t="s">
        <v>103</v>
      </c>
    </row>
    <row r="271" spans="2:2" x14ac:dyDescent="0.3">
      <c r="B271" s="4" t="s">
        <v>47</v>
      </c>
    </row>
    <row r="272" spans="2:2" x14ac:dyDescent="0.3">
      <c r="B272" s="4" t="s">
        <v>317</v>
      </c>
    </row>
    <row r="273" spans="2:2" x14ac:dyDescent="0.3">
      <c r="B273" s="4" t="s">
        <v>319</v>
      </c>
    </row>
    <row r="274" spans="2:2" x14ac:dyDescent="0.3">
      <c r="B274" s="4" t="s">
        <v>264</v>
      </c>
    </row>
    <row r="275" spans="2:2" x14ac:dyDescent="0.3">
      <c r="B275" s="4" t="s">
        <v>71</v>
      </c>
    </row>
    <row r="276" spans="2:2" x14ac:dyDescent="0.3">
      <c r="B276" s="4" t="s">
        <v>188</v>
      </c>
    </row>
    <row r="277" spans="2:2" x14ac:dyDescent="0.3">
      <c r="B277" s="4" t="s">
        <v>243</v>
      </c>
    </row>
    <row r="278" spans="2:2" x14ac:dyDescent="0.3">
      <c r="B278" s="4" t="s">
        <v>89</v>
      </c>
    </row>
    <row r="279" spans="2:2" x14ac:dyDescent="0.3">
      <c r="B279" s="4" t="s">
        <v>185</v>
      </c>
    </row>
    <row r="280" spans="2:2" x14ac:dyDescent="0.3">
      <c r="B280" s="4" t="s">
        <v>141</v>
      </c>
    </row>
    <row r="281" spans="2:2" x14ac:dyDescent="0.3">
      <c r="B281" s="4" t="s">
        <v>169</v>
      </c>
    </row>
    <row r="282" spans="2:2" x14ac:dyDescent="0.3">
      <c r="B282" s="4" t="s">
        <v>302</v>
      </c>
    </row>
    <row r="283" spans="2:2" x14ac:dyDescent="0.3">
      <c r="B283" s="4" t="s">
        <v>314</v>
      </c>
    </row>
    <row r="284" spans="2:2" x14ac:dyDescent="0.3">
      <c r="B284" s="4" t="s">
        <v>95</v>
      </c>
    </row>
    <row r="285" spans="2:2" x14ac:dyDescent="0.3">
      <c r="B285" s="4" t="s">
        <v>277</v>
      </c>
    </row>
    <row r="286" spans="2:2" x14ac:dyDescent="0.3">
      <c r="B286" s="4" t="s">
        <v>182</v>
      </c>
    </row>
    <row r="287" spans="2:2" x14ac:dyDescent="0.3">
      <c r="B287" s="4" t="s">
        <v>199</v>
      </c>
    </row>
    <row r="288" spans="2:2" x14ac:dyDescent="0.3">
      <c r="B288" s="4" t="s">
        <v>83</v>
      </c>
    </row>
    <row r="289" spans="2:2" x14ac:dyDescent="0.3">
      <c r="B289" s="4" t="s">
        <v>251</v>
      </c>
    </row>
    <row r="290" spans="2:2" x14ac:dyDescent="0.3">
      <c r="B290" s="4" t="s">
        <v>160</v>
      </c>
    </row>
    <row r="291" spans="2:2" x14ac:dyDescent="0.3">
      <c r="B291" s="4" t="s">
        <v>300</v>
      </c>
    </row>
    <row r="292" spans="2:2" x14ac:dyDescent="0.3">
      <c r="B292" s="4" t="s">
        <v>225</v>
      </c>
    </row>
    <row r="293" spans="2:2" x14ac:dyDescent="0.3">
      <c r="B293" s="4" t="s">
        <v>172</v>
      </c>
    </row>
    <row r="294" spans="2:2" x14ac:dyDescent="0.3">
      <c r="B294" s="4" t="s">
        <v>246</v>
      </c>
    </row>
    <row r="295" spans="2:2" x14ac:dyDescent="0.3">
      <c r="B295" s="4" t="s">
        <v>222</v>
      </c>
    </row>
    <row r="296" spans="2:2" x14ac:dyDescent="0.3">
      <c r="B296" s="4" t="s">
        <v>153</v>
      </c>
    </row>
    <row r="297" spans="2:2" x14ac:dyDescent="0.3">
      <c r="B297" s="4" t="s">
        <v>240</v>
      </c>
    </row>
    <row r="298" spans="2:2" x14ac:dyDescent="0.3">
      <c r="B298" s="4" t="s">
        <v>206</v>
      </c>
    </row>
    <row r="299" spans="2:2" x14ac:dyDescent="0.3">
      <c r="B299" s="4" t="s">
        <v>126</v>
      </c>
    </row>
    <row r="300" spans="2:2" x14ac:dyDescent="0.3">
      <c r="B300" s="4" t="s">
        <v>150</v>
      </c>
    </row>
    <row r="301" spans="2:2" x14ac:dyDescent="0.3">
      <c r="B301" s="4" t="s">
        <v>213</v>
      </c>
    </row>
    <row r="302" spans="2:2" x14ac:dyDescent="0.3">
      <c r="B302" s="4" t="s">
        <v>144</v>
      </c>
    </row>
    <row r="303" spans="2:2" x14ac:dyDescent="0.3">
      <c r="B303" s="4" t="s">
        <v>237</v>
      </c>
    </row>
    <row r="304" spans="2:2" x14ac:dyDescent="0.3">
      <c r="B304" s="4" t="s">
        <v>216</v>
      </c>
    </row>
    <row r="305" spans="2:2" x14ac:dyDescent="0.3">
      <c r="B305" s="4" t="s">
        <v>132</v>
      </c>
    </row>
    <row r="306" spans="2:2" x14ac:dyDescent="0.3">
      <c r="B306" s="4" t="s">
        <v>73</v>
      </c>
    </row>
    <row r="307" spans="2:2" x14ac:dyDescent="0.3">
      <c r="B307" s="4" t="s">
        <v>135</v>
      </c>
    </row>
    <row r="308" spans="2:2" x14ac:dyDescent="0.3">
      <c r="B308" s="4" t="s">
        <v>308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11E5A-499B-48C3-BDA5-A66F4947DF33}">
  <dimension ref="A3:N124"/>
  <sheetViews>
    <sheetView zoomScale="85" zoomScaleNormal="85" workbookViewId="0">
      <selection activeCell="G31" sqref="G31"/>
    </sheetView>
  </sheetViews>
  <sheetFormatPr baseColWidth="10" defaultRowHeight="14.4" x14ac:dyDescent="0.3"/>
  <cols>
    <col min="1" max="1" width="17.88671875" bestFit="1" customWidth="1"/>
    <col min="2" max="2" width="23" bestFit="1" customWidth="1"/>
    <col min="3" max="13" width="5.109375" bestFit="1" customWidth="1"/>
    <col min="14" max="14" width="12.6640625" bestFit="1" customWidth="1"/>
    <col min="15" max="15" width="36.33203125" bestFit="1" customWidth="1"/>
    <col min="16" max="16" width="22.21875" bestFit="1" customWidth="1"/>
    <col min="17" max="17" width="23.5546875" bestFit="1" customWidth="1"/>
    <col min="18" max="18" width="26.88671875" bestFit="1" customWidth="1"/>
    <col min="19" max="19" width="36.33203125" bestFit="1" customWidth="1"/>
    <col min="20" max="20" width="22.21875" bestFit="1" customWidth="1"/>
    <col min="21" max="21" width="23.5546875" bestFit="1" customWidth="1"/>
    <col min="22" max="22" width="26.88671875" bestFit="1" customWidth="1"/>
    <col min="23" max="23" width="36.33203125" bestFit="1" customWidth="1"/>
    <col min="24" max="24" width="22.21875" bestFit="1" customWidth="1"/>
    <col min="25" max="25" width="23.5546875" bestFit="1" customWidth="1"/>
    <col min="26" max="26" width="26.88671875" bestFit="1" customWidth="1"/>
    <col min="27" max="27" width="36.33203125" bestFit="1" customWidth="1"/>
    <col min="28" max="28" width="22.21875" bestFit="1" customWidth="1"/>
    <col min="29" max="29" width="23.5546875" bestFit="1" customWidth="1"/>
    <col min="30" max="30" width="26.88671875" bestFit="1" customWidth="1"/>
    <col min="31" max="31" width="36.33203125" bestFit="1" customWidth="1"/>
    <col min="32" max="32" width="22.21875" bestFit="1" customWidth="1"/>
    <col min="33" max="33" width="23.5546875" bestFit="1" customWidth="1"/>
    <col min="34" max="34" width="26.88671875" bestFit="1" customWidth="1"/>
    <col min="35" max="35" width="36.33203125" bestFit="1" customWidth="1"/>
    <col min="36" max="36" width="22.21875" bestFit="1" customWidth="1"/>
    <col min="37" max="37" width="23.5546875" bestFit="1" customWidth="1"/>
    <col min="38" max="38" width="26.88671875" bestFit="1" customWidth="1"/>
    <col min="39" max="39" width="36.33203125" bestFit="1" customWidth="1"/>
    <col min="40" max="40" width="22.21875" bestFit="1" customWidth="1"/>
    <col min="41" max="41" width="23.5546875" bestFit="1" customWidth="1"/>
    <col min="42" max="42" width="26.88671875" bestFit="1" customWidth="1"/>
    <col min="43" max="43" width="36.33203125" bestFit="1" customWidth="1"/>
    <col min="44" max="44" width="22.21875" bestFit="1" customWidth="1"/>
    <col min="45" max="45" width="23.5546875" bestFit="1" customWidth="1"/>
    <col min="46" max="46" width="26.88671875" bestFit="1" customWidth="1"/>
    <col min="47" max="47" width="36.33203125" bestFit="1" customWidth="1"/>
    <col min="48" max="48" width="22.21875" bestFit="1" customWidth="1"/>
    <col min="49" max="49" width="23.5546875" bestFit="1" customWidth="1"/>
    <col min="50" max="50" width="32.109375" bestFit="1" customWidth="1"/>
    <col min="51" max="51" width="41.5546875" bestFit="1" customWidth="1"/>
    <col min="52" max="52" width="27.44140625" bestFit="1" customWidth="1"/>
    <col min="53" max="53" width="28.77734375" bestFit="1" customWidth="1"/>
    <col min="54" max="61" width="12.44140625" bestFit="1" customWidth="1"/>
    <col min="62" max="62" width="40.6640625" bestFit="1" customWidth="1"/>
    <col min="63" max="63" width="48" bestFit="1" customWidth="1"/>
    <col min="64" max="64" width="49.109375" bestFit="1" customWidth="1"/>
    <col min="65" max="65" width="21.77734375" bestFit="1" customWidth="1"/>
    <col min="66" max="66" width="32.109375" bestFit="1" customWidth="1"/>
    <col min="67" max="73" width="12.44140625" bestFit="1" customWidth="1"/>
    <col min="74" max="74" width="39.44140625" bestFit="1" customWidth="1"/>
    <col min="75" max="75" width="40.6640625" bestFit="1" customWidth="1"/>
    <col min="76" max="76" width="48" bestFit="1" customWidth="1"/>
    <col min="77" max="77" width="49.109375" bestFit="1" customWidth="1"/>
    <col min="78" max="78" width="21.77734375" bestFit="1" customWidth="1"/>
    <col min="79" max="79" width="32.109375" bestFit="1" customWidth="1"/>
    <col min="80" max="85" width="12.44140625" bestFit="1" customWidth="1"/>
    <col min="86" max="86" width="39.5546875" bestFit="1" customWidth="1"/>
    <col min="87" max="87" width="39.44140625" bestFit="1" customWidth="1"/>
    <col min="88" max="88" width="40.6640625" bestFit="1" customWidth="1"/>
    <col min="89" max="89" width="48" bestFit="1" customWidth="1"/>
    <col min="90" max="90" width="49.109375" bestFit="1" customWidth="1"/>
    <col min="91" max="91" width="21.77734375" bestFit="1" customWidth="1"/>
    <col min="92" max="92" width="32.109375" bestFit="1" customWidth="1"/>
    <col min="93" max="97" width="12.44140625" bestFit="1" customWidth="1"/>
    <col min="98" max="98" width="27.77734375" bestFit="1" customWidth="1"/>
    <col min="99" max="99" width="39.5546875" bestFit="1" customWidth="1"/>
    <col min="100" max="100" width="39.44140625" bestFit="1" customWidth="1"/>
    <col min="101" max="101" width="40.6640625" bestFit="1" customWidth="1"/>
    <col min="102" max="102" width="48" bestFit="1" customWidth="1"/>
    <col min="103" max="103" width="49.109375" bestFit="1" customWidth="1"/>
    <col min="104" max="104" width="21.77734375" bestFit="1" customWidth="1"/>
    <col min="105" max="105" width="32.109375" bestFit="1" customWidth="1"/>
    <col min="106" max="109" width="12.44140625" bestFit="1" customWidth="1"/>
    <col min="110" max="110" width="38.33203125" bestFit="1" customWidth="1"/>
    <col min="111" max="111" width="27.77734375" bestFit="1" customWidth="1"/>
    <col min="112" max="112" width="39.5546875" bestFit="1" customWidth="1"/>
    <col min="113" max="113" width="39.44140625" bestFit="1" customWidth="1"/>
    <col min="114" max="114" width="40.6640625" bestFit="1" customWidth="1"/>
    <col min="115" max="115" width="48" bestFit="1" customWidth="1"/>
    <col min="116" max="116" width="49.109375" bestFit="1" customWidth="1"/>
    <col min="117" max="117" width="21.77734375" bestFit="1" customWidth="1"/>
    <col min="118" max="118" width="32.109375" bestFit="1" customWidth="1"/>
    <col min="119" max="121" width="12.44140625" bestFit="1" customWidth="1"/>
    <col min="122" max="122" width="46.109375" bestFit="1" customWidth="1"/>
    <col min="123" max="123" width="38.33203125" bestFit="1" customWidth="1"/>
    <col min="124" max="124" width="27.77734375" bestFit="1" customWidth="1"/>
    <col min="125" max="125" width="39.5546875" bestFit="1" customWidth="1"/>
    <col min="126" max="126" width="39.44140625" bestFit="1" customWidth="1"/>
    <col min="127" max="127" width="40.6640625" bestFit="1" customWidth="1"/>
    <col min="128" max="128" width="48" bestFit="1" customWidth="1"/>
    <col min="129" max="129" width="49.109375" bestFit="1" customWidth="1"/>
    <col min="130" max="130" width="21.77734375" bestFit="1" customWidth="1"/>
    <col min="131" max="131" width="32.109375" bestFit="1" customWidth="1"/>
    <col min="132" max="133" width="12.44140625" bestFit="1" customWidth="1"/>
    <col min="134" max="134" width="35.6640625" bestFit="1" customWidth="1"/>
    <col min="135" max="135" width="46.109375" bestFit="1" customWidth="1"/>
    <col min="136" max="136" width="38.33203125" bestFit="1" customWidth="1"/>
    <col min="137" max="137" width="27.77734375" bestFit="1" customWidth="1"/>
    <col min="138" max="138" width="39.5546875" bestFit="1" customWidth="1"/>
    <col min="139" max="139" width="39.44140625" bestFit="1" customWidth="1"/>
    <col min="140" max="140" width="40.6640625" bestFit="1" customWidth="1"/>
    <col min="141" max="141" width="48" bestFit="1" customWidth="1"/>
    <col min="142" max="142" width="49.109375" bestFit="1" customWidth="1"/>
    <col min="143" max="143" width="21.77734375" bestFit="1" customWidth="1"/>
    <col min="144" max="144" width="32.109375" bestFit="1" customWidth="1"/>
    <col min="145" max="145" width="12.44140625" bestFit="1" customWidth="1"/>
    <col min="146" max="146" width="32.5546875" bestFit="1" customWidth="1"/>
    <col min="147" max="147" width="35.6640625" bestFit="1" customWidth="1"/>
    <col min="148" max="148" width="46.109375" bestFit="1" customWidth="1"/>
    <col min="149" max="149" width="38.33203125" bestFit="1" customWidth="1"/>
    <col min="150" max="150" width="27.77734375" bestFit="1" customWidth="1"/>
    <col min="151" max="151" width="39.5546875" bestFit="1" customWidth="1"/>
    <col min="152" max="152" width="39.44140625" bestFit="1" customWidth="1"/>
    <col min="153" max="153" width="40.6640625" bestFit="1" customWidth="1"/>
    <col min="154" max="154" width="48" bestFit="1" customWidth="1"/>
    <col min="155" max="155" width="49.109375" bestFit="1" customWidth="1"/>
    <col min="156" max="156" width="21.77734375" bestFit="1" customWidth="1"/>
    <col min="157" max="157" width="32.109375" bestFit="1" customWidth="1"/>
    <col min="158" max="158" width="41.5546875" bestFit="1" customWidth="1"/>
    <col min="159" max="159" width="32.5546875" bestFit="1" customWidth="1"/>
    <col min="160" max="160" width="35.6640625" bestFit="1" customWidth="1"/>
    <col min="161" max="161" width="46.109375" bestFit="1" customWidth="1"/>
    <col min="162" max="162" width="38.33203125" bestFit="1" customWidth="1"/>
    <col min="163" max="163" width="27.77734375" bestFit="1" customWidth="1"/>
    <col min="164" max="164" width="39.5546875" bestFit="1" customWidth="1"/>
    <col min="165" max="165" width="39.44140625" bestFit="1" customWidth="1"/>
    <col min="166" max="166" width="40.6640625" bestFit="1" customWidth="1"/>
    <col min="167" max="167" width="48" bestFit="1" customWidth="1"/>
    <col min="168" max="168" width="49.109375" bestFit="1" customWidth="1"/>
    <col min="169" max="169" width="21.77734375" bestFit="1" customWidth="1"/>
    <col min="170" max="170" width="32.109375" bestFit="1" customWidth="1"/>
    <col min="171" max="171" width="41.5546875" bestFit="1" customWidth="1"/>
    <col min="172" max="172" width="32.5546875" bestFit="1" customWidth="1"/>
    <col min="173" max="173" width="35.6640625" bestFit="1" customWidth="1"/>
    <col min="174" max="174" width="46.109375" bestFit="1" customWidth="1"/>
    <col min="175" max="175" width="38.33203125" bestFit="1" customWidth="1"/>
    <col min="176" max="176" width="27.77734375" bestFit="1" customWidth="1"/>
    <col min="177" max="177" width="39.5546875" bestFit="1" customWidth="1"/>
    <col min="178" max="178" width="39.44140625" bestFit="1" customWidth="1"/>
    <col min="179" max="179" width="40.6640625" bestFit="1" customWidth="1"/>
    <col min="180" max="180" width="48" bestFit="1" customWidth="1"/>
    <col min="181" max="181" width="49.109375" bestFit="1" customWidth="1"/>
    <col min="182" max="182" width="21.77734375" bestFit="1" customWidth="1"/>
    <col min="183" max="183" width="32.109375" bestFit="1" customWidth="1"/>
    <col min="184" max="184" width="41.5546875" bestFit="1" customWidth="1"/>
    <col min="185" max="185" width="32.5546875" bestFit="1" customWidth="1"/>
    <col min="186" max="186" width="35.6640625" bestFit="1" customWidth="1"/>
    <col min="187" max="187" width="46.109375" bestFit="1" customWidth="1"/>
    <col min="188" max="188" width="38.33203125" bestFit="1" customWidth="1"/>
    <col min="189" max="189" width="27.77734375" bestFit="1" customWidth="1"/>
    <col min="190" max="190" width="39.5546875" bestFit="1" customWidth="1"/>
    <col min="191" max="191" width="39.44140625" bestFit="1" customWidth="1"/>
    <col min="192" max="192" width="40.6640625" bestFit="1" customWidth="1"/>
    <col min="193" max="193" width="48" bestFit="1" customWidth="1"/>
    <col min="194" max="194" width="49.109375" bestFit="1" customWidth="1"/>
    <col min="195" max="195" width="21.77734375" bestFit="1" customWidth="1"/>
    <col min="196" max="196" width="32.109375" bestFit="1" customWidth="1"/>
    <col min="197" max="197" width="41.5546875" bestFit="1" customWidth="1"/>
    <col min="198" max="198" width="32.5546875" bestFit="1" customWidth="1"/>
    <col min="199" max="199" width="35.6640625" bestFit="1" customWidth="1"/>
    <col min="200" max="200" width="46.109375" bestFit="1" customWidth="1"/>
    <col min="201" max="201" width="38.33203125" bestFit="1" customWidth="1"/>
    <col min="202" max="202" width="27.77734375" bestFit="1" customWidth="1"/>
    <col min="203" max="203" width="39.5546875" bestFit="1" customWidth="1"/>
    <col min="204" max="204" width="39.44140625" bestFit="1" customWidth="1"/>
    <col min="205" max="205" width="40.6640625" bestFit="1" customWidth="1"/>
    <col min="206" max="206" width="48" bestFit="1" customWidth="1"/>
    <col min="207" max="207" width="49.109375" bestFit="1" customWidth="1"/>
    <col min="208" max="208" width="21.77734375" bestFit="1" customWidth="1"/>
    <col min="209" max="209" width="32.109375" bestFit="1" customWidth="1"/>
    <col min="210" max="210" width="41.5546875" bestFit="1" customWidth="1"/>
    <col min="211" max="211" width="32.5546875" bestFit="1" customWidth="1"/>
    <col min="212" max="212" width="35.6640625" bestFit="1" customWidth="1"/>
    <col min="213" max="213" width="46.109375" bestFit="1" customWidth="1"/>
    <col min="214" max="214" width="38.33203125" bestFit="1" customWidth="1"/>
    <col min="215" max="215" width="27.77734375" bestFit="1" customWidth="1"/>
    <col min="216" max="216" width="39.5546875" bestFit="1" customWidth="1"/>
    <col min="217" max="217" width="39.44140625" bestFit="1" customWidth="1"/>
    <col min="218" max="218" width="40.6640625" bestFit="1" customWidth="1"/>
    <col min="219" max="219" width="48" bestFit="1" customWidth="1"/>
    <col min="220" max="220" width="49.109375" bestFit="1" customWidth="1"/>
    <col min="221" max="221" width="21.77734375" bestFit="1" customWidth="1"/>
    <col min="222" max="222" width="32.109375" bestFit="1" customWidth="1"/>
    <col min="223" max="223" width="41.5546875" bestFit="1" customWidth="1"/>
    <col min="224" max="224" width="32.5546875" bestFit="1" customWidth="1"/>
    <col min="225" max="225" width="35.6640625" bestFit="1" customWidth="1"/>
    <col min="226" max="226" width="46.109375" bestFit="1" customWidth="1"/>
    <col min="227" max="227" width="38.33203125" bestFit="1" customWidth="1"/>
    <col min="228" max="228" width="27.77734375" bestFit="1" customWidth="1"/>
    <col min="229" max="229" width="39.5546875" bestFit="1" customWidth="1"/>
    <col min="230" max="230" width="39.44140625" bestFit="1" customWidth="1"/>
    <col min="231" max="231" width="40.6640625" bestFit="1" customWidth="1"/>
    <col min="232" max="232" width="48" bestFit="1" customWidth="1"/>
    <col min="233" max="233" width="49.109375" bestFit="1" customWidth="1"/>
    <col min="234" max="234" width="21.77734375" bestFit="1" customWidth="1"/>
    <col min="235" max="235" width="32.109375" bestFit="1" customWidth="1"/>
    <col min="236" max="236" width="41.5546875" bestFit="1" customWidth="1"/>
    <col min="237" max="237" width="32.5546875" bestFit="1" customWidth="1"/>
    <col min="238" max="238" width="35.6640625" bestFit="1" customWidth="1"/>
    <col min="239" max="239" width="46.109375" bestFit="1" customWidth="1"/>
    <col min="240" max="240" width="38.33203125" bestFit="1" customWidth="1"/>
    <col min="241" max="241" width="27.77734375" bestFit="1" customWidth="1"/>
    <col min="242" max="242" width="39.5546875" bestFit="1" customWidth="1"/>
    <col min="243" max="243" width="39.44140625" bestFit="1" customWidth="1"/>
    <col min="244" max="244" width="40.6640625" bestFit="1" customWidth="1"/>
    <col min="245" max="245" width="48" bestFit="1" customWidth="1"/>
    <col min="246" max="246" width="49.109375" bestFit="1" customWidth="1"/>
    <col min="247" max="247" width="21.77734375" bestFit="1" customWidth="1"/>
    <col min="248" max="248" width="32.109375" bestFit="1" customWidth="1"/>
    <col min="249" max="249" width="41.5546875" bestFit="1" customWidth="1"/>
    <col min="250" max="250" width="32.5546875" bestFit="1" customWidth="1"/>
    <col min="251" max="251" width="35.6640625" bestFit="1" customWidth="1"/>
    <col min="252" max="252" width="46.109375" bestFit="1" customWidth="1"/>
    <col min="253" max="253" width="38.33203125" bestFit="1" customWidth="1"/>
    <col min="254" max="254" width="27.77734375" bestFit="1" customWidth="1"/>
    <col min="255" max="255" width="39.5546875" bestFit="1" customWidth="1"/>
    <col min="256" max="256" width="39.44140625" bestFit="1" customWidth="1"/>
    <col min="257" max="257" width="40.6640625" bestFit="1" customWidth="1"/>
    <col min="258" max="258" width="48" bestFit="1" customWidth="1"/>
    <col min="259" max="259" width="49.109375" bestFit="1" customWidth="1"/>
    <col min="260" max="260" width="21.77734375" bestFit="1" customWidth="1"/>
    <col min="261" max="261" width="32.109375" bestFit="1" customWidth="1"/>
    <col min="262" max="262" width="41.5546875" bestFit="1" customWidth="1"/>
    <col min="263" max="263" width="32.5546875" bestFit="1" customWidth="1"/>
    <col min="264" max="264" width="35.6640625" bestFit="1" customWidth="1"/>
    <col min="265" max="265" width="46.109375" bestFit="1" customWidth="1"/>
    <col min="266" max="266" width="38.33203125" bestFit="1" customWidth="1"/>
    <col min="267" max="267" width="27.77734375" bestFit="1" customWidth="1"/>
    <col min="268" max="268" width="39.5546875" bestFit="1" customWidth="1"/>
    <col min="269" max="269" width="39.44140625" bestFit="1" customWidth="1"/>
    <col min="270" max="270" width="40.6640625" bestFit="1" customWidth="1"/>
    <col min="271" max="271" width="48" bestFit="1" customWidth="1"/>
    <col min="272" max="272" width="49.109375" bestFit="1" customWidth="1"/>
    <col min="273" max="273" width="21.77734375" bestFit="1" customWidth="1"/>
    <col min="274" max="274" width="32.109375" bestFit="1" customWidth="1"/>
    <col min="275" max="275" width="41.5546875" bestFit="1" customWidth="1"/>
    <col min="276" max="276" width="32.5546875" bestFit="1" customWidth="1"/>
    <col min="277" max="277" width="35.6640625" bestFit="1" customWidth="1"/>
    <col min="278" max="278" width="46.109375" bestFit="1" customWidth="1"/>
    <col min="279" max="279" width="38.33203125" bestFit="1" customWidth="1"/>
    <col min="280" max="280" width="27.77734375" bestFit="1" customWidth="1"/>
    <col min="281" max="281" width="39.5546875" bestFit="1" customWidth="1"/>
    <col min="282" max="282" width="39.44140625" bestFit="1" customWidth="1"/>
    <col min="283" max="283" width="40.6640625" bestFit="1" customWidth="1"/>
    <col min="284" max="284" width="48" bestFit="1" customWidth="1"/>
    <col min="285" max="285" width="49.109375" bestFit="1" customWidth="1"/>
    <col min="286" max="286" width="21.77734375" bestFit="1" customWidth="1"/>
    <col min="287" max="287" width="32.109375" bestFit="1" customWidth="1"/>
  </cols>
  <sheetData>
    <row r="3" spans="1:14" x14ac:dyDescent="0.3">
      <c r="B3" s="1" t="s">
        <v>333</v>
      </c>
    </row>
    <row r="4" spans="1:14" x14ac:dyDescent="0.3">
      <c r="A4" s="1" t="s">
        <v>331</v>
      </c>
      <c r="B4">
        <v>2011</v>
      </c>
      <c r="C4">
        <v>2012</v>
      </c>
      <c r="D4">
        <v>2013</v>
      </c>
      <c r="E4">
        <v>2014</v>
      </c>
      <c r="F4">
        <v>2015</v>
      </c>
      <c r="G4">
        <v>2016</v>
      </c>
      <c r="H4">
        <v>2017</v>
      </c>
      <c r="I4">
        <v>2018</v>
      </c>
      <c r="J4">
        <v>2019</v>
      </c>
      <c r="K4">
        <v>2020</v>
      </c>
      <c r="L4">
        <v>2021</v>
      </c>
      <c r="M4">
        <v>2022</v>
      </c>
      <c r="N4" t="s">
        <v>332</v>
      </c>
    </row>
    <row r="5" spans="1:14" x14ac:dyDescent="0.3">
      <c r="A5" s="2" t="s">
        <v>298</v>
      </c>
    </row>
    <row r="6" spans="1:14" x14ac:dyDescent="0.3">
      <c r="A6" s="2" t="s">
        <v>278</v>
      </c>
    </row>
    <row r="7" spans="1:14" x14ac:dyDescent="0.3">
      <c r="A7" s="2" t="s">
        <v>282</v>
      </c>
    </row>
    <row r="8" spans="1:14" x14ac:dyDescent="0.3">
      <c r="A8" s="2" t="s">
        <v>307</v>
      </c>
    </row>
    <row r="9" spans="1:14" x14ac:dyDescent="0.3">
      <c r="A9" s="2" t="s">
        <v>81</v>
      </c>
    </row>
    <row r="10" spans="1:14" x14ac:dyDescent="0.3">
      <c r="A10" s="2" t="s">
        <v>87</v>
      </c>
    </row>
    <row r="11" spans="1:14" x14ac:dyDescent="0.3">
      <c r="A11" s="2" t="s">
        <v>148</v>
      </c>
    </row>
    <row r="12" spans="1:14" x14ac:dyDescent="0.3">
      <c r="A12" s="2" t="s">
        <v>178</v>
      </c>
    </row>
    <row r="13" spans="1:14" x14ac:dyDescent="0.3">
      <c r="A13" s="2" t="s">
        <v>290</v>
      </c>
    </row>
    <row r="14" spans="1:14" x14ac:dyDescent="0.3">
      <c r="A14" s="2" t="s">
        <v>235</v>
      </c>
    </row>
    <row r="15" spans="1:14" x14ac:dyDescent="0.3">
      <c r="A15" s="2" t="s">
        <v>65</v>
      </c>
    </row>
    <row r="16" spans="1:14" x14ac:dyDescent="0.3">
      <c r="A16" s="2" t="s">
        <v>67</v>
      </c>
    </row>
    <row r="17" spans="1:1" x14ac:dyDescent="0.3">
      <c r="A17" s="2" t="s">
        <v>272</v>
      </c>
    </row>
    <row r="18" spans="1:1" x14ac:dyDescent="0.3">
      <c r="A18" s="2" t="s">
        <v>281</v>
      </c>
    </row>
    <row r="19" spans="1:1" x14ac:dyDescent="0.3">
      <c r="A19" s="2" t="s">
        <v>261</v>
      </c>
    </row>
    <row r="20" spans="1:1" x14ac:dyDescent="0.3">
      <c r="A20" s="2" t="s">
        <v>220</v>
      </c>
    </row>
    <row r="21" spans="1:1" x14ac:dyDescent="0.3">
      <c r="A21" s="2" t="s">
        <v>259</v>
      </c>
    </row>
    <row r="22" spans="1:1" x14ac:dyDescent="0.3">
      <c r="A22" s="2" t="s">
        <v>196</v>
      </c>
    </row>
    <row r="23" spans="1:1" x14ac:dyDescent="0.3">
      <c r="A23" s="2" t="s">
        <v>203</v>
      </c>
    </row>
    <row r="24" spans="1:1" x14ac:dyDescent="0.3">
      <c r="A24" s="2" t="s">
        <v>45</v>
      </c>
    </row>
    <row r="25" spans="1:1" x14ac:dyDescent="0.3">
      <c r="A25" s="2" t="s">
        <v>122</v>
      </c>
    </row>
    <row r="26" spans="1:1" x14ac:dyDescent="0.3">
      <c r="A26" s="2" t="s">
        <v>69</v>
      </c>
    </row>
    <row r="27" spans="1:1" x14ac:dyDescent="0.3">
      <c r="A27" s="2" t="s">
        <v>93</v>
      </c>
    </row>
    <row r="28" spans="1:1" x14ac:dyDescent="0.3">
      <c r="A28" s="2" t="s">
        <v>110</v>
      </c>
    </row>
    <row r="29" spans="1:1" x14ac:dyDescent="0.3">
      <c r="A29" s="2" t="s">
        <v>56</v>
      </c>
    </row>
    <row r="30" spans="1:1" x14ac:dyDescent="0.3">
      <c r="A30" s="2" t="s">
        <v>31</v>
      </c>
    </row>
    <row r="31" spans="1:1" x14ac:dyDescent="0.3">
      <c r="A31" s="2" t="s">
        <v>114</v>
      </c>
    </row>
    <row r="32" spans="1:1" x14ac:dyDescent="0.3">
      <c r="A32" s="2" t="s">
        <v>256</v>
      </c>
    </row>
    <row r="33" spans="1:1" x14ac:dyDescent="0.3">
      <c r="A33" s="2" t="s">
        <v>164</v>
      </c>
    </row>
    <row r="34" spans="1:1" x14ac:dyDescent="0.3">
      <c r="A34" s="2" t="s">
        <v>51</v>
      </c>
    </row>
    <row r="35" spans="1:1" x14ac:dyDescent="0.3">
      <c r="A35" s="2" t="s">
        <v>106</v>
      </c>
    </row>
    <row r="36" spans="1:1" x14ac:dyDescent="0.3">
      <c r="A36" s="2" t="s">
        <v>104</v>
      </c>
    </row>
    <row r="37" spans="1:1" x14ac:dyDescent="0.3">
      <c r="A37" s="2" t="s">
        <v>108</v>
      </c>
    </row>
    <row r="38" spans="1:1" x14ac:dyDescent="0.3">
      <c r="A38" s="2" t="s">
        <v>41</v>
      </c>
    </row>
    <row r="39" spans="1:1" x14ac:dyDescent="0.3">
      <c r="A39" s="2" t="s">
        <v>53</v>
      </c>
    </row>
    <row r="40" spans="1:1" x14ac:dyDescent="0.3">
      <c r="A40" s="2" t="s">
        <v>158</v>
      </c>
    </row>
    <row r="41" spans="1:1" x14ac:dyDescent="0.3">
      <c r="A41" s="2" t="s">
        <v>294</v>
      </c>
    </row>
    <row r="42" spans="1:1" x14ac:dyDescent="0.3">
      <c r="A42" s="2" t="s">
        <v>232</v>
      </c>
    </row>
    <row r="43" spans="1:1" x14ac:dyDescent="0.3">
      <c r="A43" s="2" t="s">
        <v>48</v>
      </c>
    </row>
    <row r="44" spans="1:1" x14ac:dyDescent="0.3">
      <c r="A44" s="2" t="s">
        <v>78</v>
      </c>
    </row>
    <row r="45" spans="1:1" x14ac:dyDescent="0.3">
      <c r="A45" s="2" t="s">
        <v>88</v>
      </c>
    </row>
    <row r="46" spans="1:1" x14ac:dyDescent="0.3">
      <c r="A46" s="2" t="s">
        <v>291</v>
      </c>
    </row>
    <row r="47" spans="1:1" x14ac:dyDescent="0.3">
      <c r="A47" s="2" t="s">
        <v>244</v>
      </c>
    </row>
    <row r="48" spans="1:1" x14ac:dyDescent="0.3">
      <c r="A48" s="2" t="s">
        <v>91</v>
      </c>
    </row>
    <row r="49" spans="1:1" x14ac:dyDescent="0.3">
      <c r="A49" s="2" t="s">
        <v>109</v>
      </c>
    </row>
    <row r="50" spans="1:1" x14ac:dyDescent="0.3">
      <c r="A50" s="2" t="s">
        <v>38</v>
      </c>
    </row>
    <row r="51" spans="1:1" x14ac:dyDescent="0.3">
      <c r="A51" s="2" t="s">
        <v>59</v>
      </c>
    </row>
    <row r="52" spans="1:1" x14ac:dyDescent="0.3">
      <c r="A52" s="2" t="s">
        <v>72</v>
      </c>
    </row>
    <row r="53" spans="1:1" x14ac:dyDescent="0.3">
      <c r="A53" s="2" t="s">
        <v>275</v>
      </c>
    </row>
    <row r="54" spans="1:1" x14ac:dyDescent="0.3">
      <c r="A54" s="2" t="s">
        <v>265</v>
      </c>
    </row>
    <row r="55" spans="1:1" x14ac:dyDescent="0.3">
      <c r="A55" s="2" t="s">
        <v>189</v>
      </c>
    </row>
    <row r="56" spans="1:1" x14ac:dyDescent="0.3">
      <c r="A56" s="2" t="s">
        <v>209</v>
      </c>
    </row>
    <row r="57" spans="1:1" x14ac:dyDescent="0.3">
      <c r="A57" s="2" t="s">
        <v>130</v>
      </c>
    </row>
    <row r="58" spans="1:1" x14ac:dyDescent="0.3">
      <c r="A58" s="2" t="s">
        <v>179</v>
      </c>
    </row>
    <row r="59" spans="1:1" x14ac:dyDescent="0.3">
      <c r="A59" s="2" t="s">
        <v>186</v>
      </c>
    </row>
    <row r="60" spans="1:1" x14ac:dyDescent="0.3">
      <c r="A60" s="2" t="s">
        <v>205</v>
      </c>
    </row>
    <row r="61" spans="1:1" x14ac:dyDescent="0.3">
      <c r="A61" s="2" t="s">
        <v>100</v>
      </c>
    </row>
    <row r="62" spans="1:1" x14ac:dyDescent="0.3">
      <c r="A62" s="2" t="s">
        <v>142</v>
      </c>
    </row>
    <row r="63" spans="1:1" x14ac:dyDescent="0.3">
      <c r="A63" s="2" t="s">
        <v>180</v>
      </c>
    </row>
    <row r="64" spans="1:1" x14ac:dyDescent="0.3">
      <c r="A64" s="2" t="s">
        <v>296</v>
      </c>
    </row>
    <row r="65" spans="1:1" x14ac:dyDescent="0.3">
      <c r="A65" s="2" t="s">
        <v>170</v>
      </c>
    </row>
    <row r="66" spans="1:1" x14ac:dyDescent="0.3">
      <c r="A66" s="2" t="s">
        <v>35</v>
      </c>
    </row>
    <row r="67" spans="1:1" x14ac:dyDescent="0.3">
      <c r="A67" s="2" t="s">
        <v>183</v>
      </c>
    </row>
    <row r="68" spans="1:1" x14ac:dyDescent="0.3">
      <c r="A68" s="2" t="s">
        <v>204</v>
      </c>
    </row>
    <row r="69" spans="1:1" x14ac:dyDescent="0.3">
      <c r="A69" s="2" t="s">
        <v>124</v>
      </c>
    </row>
    <row r="70" spans="1:1" x14ac:dyDescent="0.3">
      <c r="A70" s="2" t="s">
        <v>96</v>
      </c>
    </row>
    <row r="71" spans="1:1" x14ac:dyDescent="0.3">
      <c r="A71" s="2" t="s">
        <v>111</v>
      </c>
    </row>
    <row r="72" spans="1:1" x14ac:dyDescent="0.3">
      <c r="A72" s="2" t="s">
        <v>202</v>
      </c>
    </row>
    <row r="73" spans="1:1" x14ac:dyDescent="0.3">
      <c r="A73" s="2" t="s">
        <v>211</v>
      </c>
    </row>
    <row r="74" spans="1:1" x14ac:dyDescent="0.3">
      <c r="A74" s="2" t="s">
        <v>193</v>
      </c>
    </row>
    <row r="75" spans="1:1" x14ac:dyDescent="0.3">
      <c r="A75" s="2" t="s">
        <v>212</v>
      </c>
    </row>
    <row r="76" spans="1:1" x14ac:dyDescent="0.3">
      <c r="A76" s="2" t="s">
        <v>252</v>
      </c>
    </row>
    <row r="77" spans="1:1" x14ac:dyDescent="0.3">
      <c r="A77" s="2" t="s">
        <v>253</v>
      </c>
    </row>
    <row r="78" spans="1:1" x14ac:dyDescent="0.3">
      <c r="A78" s="2" t="s">
        <v>84</v>
      </c>
    </row>
    <row r="79" spans="1:1" x14ac:dyDescent="0.3">
      <c r="A79" s="2" t="s">
        <v>86</v>
      </c>
    </row>
    <row r="80" spans="1:1" x14ac:dyDescent="0.3">
      <c r="A80" s="2" t="s">
        <v>161</v>
      </c>
    </row>
    <row r="81" spans="1:1" x14ac:dyDescent="0.3">
      <c r="A81" s="2" t="s">
        <v>284</v>
      </c>
    </row>
    <row r="82" spans="1:1" x14ac:dyDescent="0.3">
      <c r="A82" s="2" t="s">
        <v>288</v>
      </c>
    </row>
    <row r="83" spans="1:1" x14ac:dyDescent="0.3">
      <c r="A83" s="2" t="s">
        <v>306</v>
      </c>
    </row>
    <row r="84" spans="1:1" x14ac:dyDescent="0.3">
      <c r="A84" s="2" t="s">
        <v>173</v>
      </c>
    </row>
    <row r="85" spans="1:1" x14ac:dyDescent="0.3">
      <c r="A85" s="2" t="s">
        <v>226</v>
      </c>
    </row>
    <row r="86" spans="1:1" x14ac:dyDescent="0.3">
      <c r="A86" s="2" t="s">
        <v>167</v>
      </c>
    </row>
    <row r="87" spans="1:1" x14ac:dyDescent="0.3">
      <c r="A87" s="2" t="s">
        <v>120</v>
      </c>
    </row>
    <row r="88" spans="1:1" x14ac:dyDescent="0.3">
      <c r="A88" s="2" t="s">
        <v>254</v>
      </c>
    </row>
    <row r="89" spans="1:1" x14ac:dyDescent="0.3">
      <c r="A89" s="2" t="s">
        <v>258</v>
      </c>
    </row>
    <row r="90" spans="1:1" x14ac:dyDescent="0.3">
      <c r="A90" s="2" t="s">
        <v>249</v>
      </c>
    </row>
    <row r="91" spans="1:1" x14ac:dyDescent="0.3">
      <c r="A91" s="2" t="s">
        <v>223</v>
      </c>
    </row>
    <row r="92" spans="1:1" x14ac:dyDescent="0.3">
      <c r="A92" s="2" t="s">
        <v>127</v>
      </c>
    </row>
    <row r="93" spans="1:1" x14ac:dyDescent="0.3">
      <c r="A93" s="2" t="s">
        <v>207</v>
      </c>
    </row>
    <row r="94" spans="1:1" x14ac:dyDescent="0.3">
      <c r="A94" s="2" t="s">
        <v>154</v>
      </c>
    </row>
    <row r="95" spans="1:1" x14ac:dyDescent="0.3">
      <c r="A95" s="2" t="s">
        <v>241</v>
      </c>
    </row>
    <row r="96" spans="1:1" x14ac:dyDescent="0.3">
      <c r="A96" s="2" t="s">
        <v>257</v>
      </c>
    </row>
    <row r="97" spans="1:1" x14ac:dyDescent="0.3">
      <c r="A97" s="2" t="s">
        <v>214</v>
      </c>
    </row>
    <row r="98" spans="1:1" x14ac:dyDescent="0.3">
      <c r="A98" s="2" t="s">
        <v>151</v>
      </c>
    </row>
    <row r="99" spans="1:1" x14ac:dyDescent="0.3">
      <c r="A99" s="2" t="s">
        <v>177</v>
      </c>
    </row>
    <row r="100" spans="1:1" x14ac:dyDescent="0.3">
      <c r="A100" s="2" t="s">
        <v>191</v>
      </c>
    </row>
    <row r="101" spans="1:1" x14ac:dyDescent="0.3">
      <c r="A101" s="2" t="s">
        <v>304</v>
      </c>
    </row>
    <row r="102" spans="1:1" x14ac:dyDescent="0.3">
      <c r="A102" s="2" t="s">
        <v>247</v>
      </c>
    </row>
    <row r="103" spans="1:1" x14ac:dyDescent="0.3">
      <c r="A103" s="2" t="s">
        <v>62</v>
      </c>
    </row>
    <row r="104" spans="1:1" x14ac:dyDescent="0.3">
      <c r="A104" s="2" t="s">
        <v>112</v>
      </c>
    </row>
    <row r="105" spans="1:1" x14ac:dyDescent="0.3">
      <c r="A105" s="2" t="s">
        <v>269</v>
      </c>
    </row>
    <row r="106" spans="1:1" x14ac:dyDescent="0.3">
      <c r="A106" s="2" t="s">
        <v>280</v>
      </c>
    </row>
    <row r="107" spans="1:1" x14ac:dyDescent="0.3">
      <c r="A107" s="2" t="s">
        <v>289</v>
      </c>
    </row>
    <row r="108" spans="1:1" x14ac:dyDescent="0.3">
      <c r="A108" s="2" t="s">
        <v>238</v>
      </c>
    </row>
    <row r="109" spans="1:1" x14ac:dyDescent="0.3">
      <c r="A109" s="2" t="s">
        <v>145</v>
      </c>
    </row>
    <row r="110" spans="1:1" x14ac:dyDescent="0.3">
      <c r="A110" s="2" t="s">
        <v>156</v>
      </c>
    </row>
    <row r="111" spans="1:1" x14ac:dyDescent="0.3">
      <c r="A111" s="2" t="s">
        <v>305</v>
      </c>
    </row>
    <row r="112" spans="1:1" x14ac:dyDescent="0.3">
      <c r="A112" s="2" t="s">
        <v>217</v>
      </c>
    </row>
    <row r="113" spans="1:1" x14ac:dyDescent="0.3">
      <c r="A113" s="2" t="s">
        <v>175</v>
      </c>
    </row>
    <row r="114" spans="1:1" x14ac:dyDescent="0.3">
      <c r="A114" s="2" t="s">
        <v>133</v>
      </c>
    </row>
    <row r="115" spans="1:1" x14ac:dyDescent="0.3">
      <c r="A115" s="2" t="s">
        <v>117</v>
      </c>
    </row>
    <row r="116" spans="1:1" x14ac:dyDescent="0.3">
      <c r="A116" s="2" t="s">
        <v>229</v>
      </c>
    </row>
    <row r="117" spans="1:1" x14ac:dyDescent="0.3">
      <c r="A117" s="2" t="s">
        <v>136</v>
      </c>
    </row>
    <row r="118" spans="1:1" x14ac:dyDescent="0.3">
      <c r="A118" s="2" t="s">
        <v>181</v>
      </c>
    </row>
    <row r="119" spans="1:1" x14ac:dyDescent="0.3">
      <c r="A119" s="2" t="s">
        <v>74</v>
      </c>
    </row>
    <row r="120" spans="1:1" x14ac:dyDescent="0.3">
      <c r="A120" s="2" t="s">
        <v>76</v>
      </c>
    </row>
    <row r="121" spans="1:1" x14ac:dyDescent="0.3">
      <c r="A121" s="2" t="s">
        <v>276</v>
      </c>
    </row>
    <row r="122" spans="1:1" x14ac:dyDescent="0.3">
      <c r="A122" s="2" t="s">
        <v>139</v>
      </c>
    </row>
    <row r="123" spans="1:1" x14ac:dyDescent="0.3">
      <c r="A123" s="2" t="s">
        <v>334</v>
      </c>
    </row>
    <row r="124" spans="1:1" x14ac:dyDescent="0.3">
      <c r="A124" s="2" t="s">
        <v>332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064CF-F621-4D14-9406-0AB4E6B39A5A}">
  <dimension ref="A4:Y76"/>
  <sheetViews>
    <sheetView workbookViewId="0">
      <selection activeCell="L11" sqref="L11"/>
    </sheetView>
  </sheetViews>
  <sheetFormatPr baseColWidth="10" defaultRowHeight="14.4" x14ac:dyDescent="0.3"/>
  <cols>
    <col min="1" max="1" width="16.5546875" bestFit="1" customWidth="1"/>
    <col min="2" max="2" width="27.33203125" bestFit="1" customWidth="1"/>
    <col min="3" max="3" width="5" bestFit="1" customWidth="1"/>
    <col min="4" max="4" width="6.6640625" bestFit="1" customWidth="1"/>
    <col min="5" max="5" width="7" bestFit="1" customWidth="1"/>
    <col min="6" max="6" width="6.6640625" bestFit="1" customWidth="1"/>
    <col min="7" max="7" width="6" bestFit="1" customWidth="1"/>
    <col min="8" max="13" width="6.6640625" bestFit="1" customWidth="1"/>
    <col min="14" max="14" width="28.88671875" bestFit="1" customWidth="1"/>
    <col min="15" max="25" width="12" bestFit="1" customWidth="1"/>
  </cols>
  <sheetData>
    <row r="4" spans="1:25" x14ac:dyDescent="0.3">
      <c r="B4" t="s">
        <v>809</v>
      </c>
      <c r="N4" t="s">
        <v>810</v>
      </c>
    </row>
    <row r="5" spans="1:25" x14ac:dyDescent="0.3">
      <c r="A5" t="s">
        <v>331</v>
      </c>
      <c r="B5">
        <v>2011</v>
      </c>
      <c r="C5">
        <v>2012</v>
      </c>
      <c r="D5">
        <v>2013</v>
      </c>
      <c r="E5">
        <v>2014</v>
      </c>
      <c r="F5">
        <v>2015</v>
      </c>
      <c r="G5">
        <v>2016</v>
      </c>
      <c r="H5">
        <v>2017</v>
      </c>
      <c r="I5">
        <v>2018</v>
      </c>
      <c r="J5">
        <v>2019</v>
      </c>
      <c r="K5">
        <v>2020</v>
      </c>
      <c r="L5">
        <v>2021</v>
      </c>
      <c r="M5">
        <v>2022</v>
      </c>
      <c r="N5">
        <v>2011</v>
      </c>
      <c r="O5">
        <v>2012</v>
      </c>
      <c r="P5">
        <v>2013</v>
      </c>
      <c r="Q5">
        <v>2014</v>
      </c>
      <c r="R5">
        <v>2015</v>
      </c>
      <c r="S5">
        <v>2016</v>
      </c>
      <c r="T5">
        <v>2017</v>
      </c>
      <c r="U5">
        <v>2018</v>
      </c>
      <c r="V5">
        <v>2019</v>
      </c>
      <c r="W5">
        <v>2020</v>
      </c>
      <c r="X5">
        <v>2021</v>
      </c>
      <c r="Y5">
        <v>2022</v>
      </c>
    </row>
    <row r="6" spans="1:25" x14ac:dyDescent="0.3">
      <c r="A6" t="s">
        <v>278</v>
      </c>
      <c r="G6">
        <v>0.219</v>
      </c>
      <c r="S6">
        <v>3.3818699831727503</v>
      </c>
    </row>
    <row r="7" spans="1:25" x14ac:dyDescent="0.3">
      <c r="A7" t="s">
        <v>282</v>
      </c>
      <c r="B7">
        <v>0.219</v>
      </c>
      <c r="N7">
        <v>3.3818699831727503</v>
      </c>
    </row>
    <row r="8" spans="1:25" x14ac:dyDescent="0.3">
      <c r="A8" t="s">
        <v>645</v>
      </c>
      <c r="D8">
        <v>0.107</v>
      </c>
      <c r="P8">
        <v>2.9905223708439901</v>
      </c>
    </row>
    <row r="9" spans="1:25" x14ac:dyDescent="0.3">
      <c r="A9" t="s">
        <v>622</v>
      </c>
      <c r="F9">
        <v>9.2999999999999999E-2</v>
      </c>
      <c r="G9">
        <v>0.105</v>
      </c>
      <c r="H9">
        <v>8.2000000000000003E-2</v>
      </c>
      <c r="I9">
        <v>8.2000000000000003E-2</v>
      </c>
      <c r="J9">
        <v>8.2000000000000003E-2</v>
      </c>
      <c r="K9">
        <v>7.1999999999999995E-2</v>
      </c>
      <c r="L9">
        <v>8.6999999999999994E-2</v>
      </c>
      <c r="M9">
        <v>2.1000000000000001E-2</v>
      </c>
      <c r="R9">
        <v>2.9348534290666</v>
      </c>
      <c r="S9">
        <v>2.6916434254427202</v>
      </c>
      <c r="T9">
        <v>2.79895590012082</v>
      </c>
      <c r="U9">
        <v>2.79895590012082</v>
      </c>
      <c r="V9">
        <v>2.79895590012082</v>
      </c>
      <c r="W9">
        <v>2.63082870045158</v>
      </c>
      <c r="X9">
        <v>2.3852735259200601</v>
      </c>
      <c r="Y9">
        <v>2.3510718648940001</v>
      </c>
    </row>
    <row r="10" spans="1:25" x14ac:dyDescent="0.3">
      <c r="A10" t="s">
        <v>652</v>
      </c>
      <c r="B10">
        <v>0.105</v>
      </c>
      <c r="N10">
        <v>2.6916434254427202</v>
      </c>
    </row>
    <row r="11" spans="1:25" x14ac:dyDescent="0.3">
      <c r="A11" t="s">
        <v>604</v>
      </c>
      <c r="F11">
        <v>0.153</v>
      </c>
      <c r="R11">
        <v>4.0500150318471304</v>
      </c>
    </row>
    <row r="12" spans="1:25" x14ac:dyDescent="0.3">
      <c r="A12" t="s">
        <v>559</v>
      </c>
      <c r="C12">
        <v>0</v>
      </c>
      <c r="D12">
        <v>0.14399999999999999</v>
      </c>
      <c r="O12">
        <v>0</v>
      </c>
      <c r="P12">
        <v>3.8919120337647199</v>
      </c>
    </row>
    <row r="13" spans="1:25" x14ac:dyDescent="0.3">
      <c r="A13" t="s">
        <v>594</v>
      </c>
      <c r="G13">
        <v>0.153</v>
      </c>
      <c r="H13">
        <v>0.128</v>
      </c>
      <c r="I13">
        <v>0.128</v>
      </c>
      <c r="J13">
        <v>0.128</v>
      </c>
      <c r="K13">
        <v>5.8000000000000003E-2</v>
      </c>
      <c r="L13">
        <v>0.17299999999999999</v>
      </c>
      <c r="M13">
        <v>0.20300000000000001</v>
      </c>
      <c r="S13">
        <v>4.0084451735315003</v>
      </c>
      <c r="T13">
        <v>3.6401372495327</v>
      </c>
      <c r="U13">
        <v>3.6401372495327</v>
      </c>
      <c r="V13">
        <v>3.6401372495327</v>
      </c>
      <c r="W13">
        <v>3.57522522899521</v>
      </c>
      <c r="X13">
        <v>3.0839770622148199</v>
      </c>
      <c r="Y13">
        <v>2.83442203332344</v>
      </c>
    </row>
    <row r="14" spans="1:25" x14ac:dyDescent="0.3">
      <c r="A14" t="s">
        <v>609</v>
      </c>
      <c r="B14">
        <v>0.153</v>
      </c>
      <c r="N14">
        <v>4.0084451735315003</v>
      </c>
    </row>
    <row r="15" spans="1:25" x14ac:dyDescent="0.3">
      <c r="A15" t="s">
        <v>441</v>
      </c>
      <c r="F15">
        <v>0.128</v>
      </c>
      <c r="G15">
        <v>0.12</v>
      </c>
      <c r="H15">
        <v>0.112</v>
      </c>
      <c r="I15">
        <v>0.112</v>
      </c>
      <c r="J15">
        <v>0.112</v>
      </c>
      <c r="K15">
        <v>-0.01</v>
      </c>
      <c r="L15">
        <v>0.157</v>
      </c>
      <c r="M15">
        <v>0.10199999999999999</v>
      </c>
      <c r="R15">
        <v>1.7195841811757699</v>
      </c>
      <c r="S15">
        <v>1.56804161717118</v>
      </c>
      <c r="T15">
        <v>1.49324571298785</v>
      </c>
      <c r="U15">
        <v>1.49324571298785</v>
      </c>
      <c r="V15">
        <v>1.49324571298785</v>
      </c>
      <c r="W15">
        <v>1.86005499541705</v>
      </c>
      <c r="X15">
        <v>1.73803089566792</v>
      </c>
      <c r="Y15">
        <v>1.6772852708433501</v>
      </c>
    </row>
    <row r="16" spans="1:25" x14ac:dyDescent="0.3">
      <c r="A16" t="s">
        <v>491</v>
      </c>
      <c r="B16">
        <v>0.12</v>
      </c>
      <c r="C16">
        <v>0</v>
      </c>
      <c r="D16">
        <v>0.122</v>
      </c>
      <c r="N16">
        <v>1.56804161717118</v>
      </c>
      <c r="O16">
        <v>0</v>
      </c>
      <c r="P16">
        <v>2.0053452368789499</v>
      </c>
    </row>
    <row r="17" spans="1:25" x14ac:dyDescent="0.3">
      <c r="A17" t="s">
        <v>614</v>
      </c>
      <c r="L17">
        <v>3.2000000000000001E-2</v>
      </c>
      <c r="M17">
        <v>0.154</v>
      </c>
      <c r="X17">
        <v>3.15622622325778</v>
      </c>
      <c r="Y17">
        <v>4.4623355590627698</v>
      </c>
    </row>
    <row r="18" spans="1:25" x14ac:dyDescent="0.3">
      <c r="A18" t="s">
        <v>419</v>
      </c>
      <c r="F18">
        <v>0.218</v>
      </c>
      <c r="G18">
        <v>0.20599999999999999</v>
      </c>
      <c r="H18">
        <v>0.16800000000000001</v>
      </c>
      <c r="I18">
        <v>0.16800000000000001</v>
      </c>
      <c r="J18">
        <v>0.16800000000000001</v>
      </c>
      <c r="K18">
        <v>-7.2999999999999995E-2</v>
      </c>
      <c r="L18">
        <v>0.124</v>
      </c>
      <c r="M18">
        <v>5.0000000000000001E-3</v>
      </c>
      <c r="R18">
        <v>2.5699774575262802</v>
      </c>
      <c r="S18">
        <v>2.5359383692039601</v>
      </c>
      <c r="T18">
        <v>2.2713680577896098</v>
      </c>
      <c r="U18">
        <v>2.2713680577896098</v>
      </c>
      <c r="V18">
        <v>2.2713680577896098</v>
      </c>
      <c r="W18">
        <v>3.2309826642335802</v>
      </c>
      <c r="X18">
        <v>2.9373504621287001</v>
      </c>
      <c r="Y18">
        <v>2.8905571428571402</v>
      </c>
    </row>
    <row r="19" spans="1:25" x14ac:dyDescent="0.3">
      <c r="A19" t="s">
        <v>524</v>
      </c>
      <c r="B19">
        <v>0.20599999999999999</v>
      </c>
      <c r="C19">
        <v>0</v>
      </c>
      <c r="D19">
        <v>0.20599999999999999</v>
      </c>
      <c r="N19">
        <v>2.5359383692039601</v>
      </c>
      <c r="O19">
        <v>0</v>
      </c>
      <c r="P19">
        <v>2.9820463455934201</v>
      </c>
    </row>
    <row r="20" spans="1:25" x14ac:dyDescent="0.3">
      <c r="A20" t="s">
        <v>567</v>
      </c>
      <c r="C20">
        <v>0</v>
      </c>
      <c r="O20">
        <v>0</v>
      </c>
    </row>
    <row r="21" spans="1:25" x14ac:dyDescent="0.3">
      <c r="A21" t="s">
        <v>603</v>
      </c>
      <c r="F21">
        <v>0.161</v>
      </c>
      <c r="G21">
        <v>0.154</v>
      </c>
      <c r="R21">
        <v>4.0641658408689603</v>
      </c>
      <c r="S21">
        <v>4.1856953035509701</v>
      </c>
    </row>
    <row r="22" spans="1:25" x14ac:dyDescent="0.3">
      <c r="A22" t="s">
        <v>607</v>
      </c>
      <c r="B22">
        <v>0.154</v>
      </c>
      <c r="D22">
        <v>0.154</v>
      </c>
      <c r="N22">
        <v>4.1856953035509701</v>
      </c>
      <c r="P22">
        <v>3.9370225138607502</v>
      </c>
    </row>
    <row r="23" spans="1:25" x14ac:dyDescent="0.3">
      <c r="A23" t="s">
        <v>601</v>
      </c>
      <c r="H23">
        <v>0.11600000000000001</v>
      </c>
      <c r="I23">
        <v>0.11600000000000001</v>
      </c>
      <c r="J23">
        <v>0.11600000000000001</v>
      </c>
      <c r="K23">
        <v>5.6000000000000001E-2</v>
      </c>
      <c r="L23">
        <v>0.33200000000000002</v>
      </c>
      <c r="T23">
        <v>4.3646169491525404</v>
      </c>
      <c r="U23">
        <v>4.3646169491525404</v>
      </c>
      <c r="V23">
        <v>4.3646169491525404</v>
      </c>
      <c r="W23">
        <v>4.73827777777778</v>
      </c>
      <c r="X23">
        <v>3.6058509161495298</v>
      </c>
    </row>
    <row r="24" spans="1:25" x14ac:dyDescent="0.3">
      <c r="A24" t="s">
        <v>627</v>
      </c>
      <c r="F24">
        <v>7.2999999999999995E-2</v>
      </c>
      <c r="G24">
        <v>0.08</v>
      </c>
      <c r="H24">
        <v>7.0999999999999994E-2</v>
      </c>
      <c r="I24">
        <v>7.0999999999999994E-2</v>
      </c>
      <c r="J24">
        <v>7.0999999999999994E-2</v>
      </c>
      <c r="K24">
        <v>3.4000000000000002E-2</v>
      </c>
      <c r="L24">
        <v>6.6000000000000003E-2</v>
      </c>
      <c r="M24">
        <v>7.0000000000000007E-2</v>
      </c>
      <c r="R24">
        <v>1.61003283200629</v>
      </c>
      <c r="S24">
        <v>1.5556022880215301</v>
      </c>
      <c r="T24">
        <v>1.6187944328280199</v>
      </c>
      <c r="U24">
        <v>1.6187944328280199</v>
      </c>
      <c r="V24">
        <v>1.6187944328280199</v>
      </c>
      <c r="W24">
        <v>1.7635673476307501</v>
      </c>
      <c r="X24">
        <v>1.7198517793291299</v>
      </c>
      <c r="Y24">
        <v>1.68076188427619</v>
      </c>
    </row>
    <row r="25" spans="1:25" x14ac:dyDescent="0.3">
      <c r="A25" t="s">
        <v>531</v>
      </c>
      <c r="B25">
        <v>0.08</v>
      </c>
      <c r="C25">
        <v>0</v>
      </c>
      <c r="D25">
        <v>0.122</v>
      </c>
      <c r="N25">
        <v>1.5556022880215301</v>
      </c>
      <c r="O25">
        <v>0</v>
      </c>
      <c r="P25">
        <v>1.83509991644299</v>
      </c>
    </row>
    <row r="26" spans="1:25" x14ac:dyDescent="0.3">
      <c r="A26" t="s">
        <v>399</v>
      </c>
      <c r="M26">
        <v>0.13100000000000001</v>
      </c>
      <c r="Y26">
        <v>3.1900502693638702</v>
      </c>
    </row>
    <row r="27" spans="1:25" x14ac:dyDescent="0.3">
      <c r="A27" t="s">
        <v>684</v>
      </c>
      <c r="D27">
        <v>0.28899999999999998</v>
      </c>
      <c r="P27">
        <v>19.0876271038656</v>
      </c>
    </row>
    <row r="28" spans="1:25" x14ac:dyDescent="0.3">
      <c r="A28" t="s">
        <v>368</v>
      </c>
      <c r="F28">
        <v>0.25700000000000001</v>
      </c>
      <c r="G28">
        <v>0.158</v>
      </c>
      <c r="H28">
        <v>0.10199999999999999</v>
      </c>
      <c r="I28">
        <v>0.10199999999999999</v>
      </c>
      <c r="J28">
        <v>0.10199999999999999</v>
      </c>
      <c r="K28">
        <v>-4.2000000000000003E-2</v>
      </c>
      <c r="L28">
        <v>0.37</v>
      </c>
      <c r="M28">
        <v>-4.5999999999999999E-2</v>
      </c>
      <c r="R28">
        <v>7.8401905601519104</v>
      </c>
      <c r="S28">
        <v>8.1802127937336806</v>
      </c>
      <c r="T28">
        <v>7.1164209953766697</v>
      </c>
      <c r="U28">
        <v>7.1164209953766697</v>
      </c>
      <c r="V28">
        <v>7.1164209953766697</v>
      </c>
      <c r="W28">
        <v>8.7763580922595796</v>
      </c>
      <c r="X28">
        <v>5.3020544126665596</v>
      </c>
      <c r="Y28">
        <v>5.9417788995456799</v>
      </c>
    </row>
    <row r="29" spans="1:25" x14ac:dyDescent="0.3">
      <c r="A29" t="s">
        <v>374</v>
      </c>
      <c r="B29">
        <v>0.158</v>
      </c>
      <c r="C29">
        <v>0.36</v>
      </c>
      <c r="D29">
        <v>0.27100000000000002</v>
      </c>
      <c r="N29">
        <v>8.1802127937336806</v>
      </c>
      <c r="O29">
        <v>12.1093451015004</v>
      </c>
      <c r="P29">
        <v>7.6523947580712797</v>
      </c>
    </row>
    <row r="30" spans="1:25" x14ac:dyDescent="0.3">
      <c r="A30" t="s">
        <v>479</v>
      </c>
      <c r="F30">
        <v>0.3</v>
      </c>
      <c r="G30">
        <v>0.19600000000000001</v>
      </c>
      <c r="H30">
        <v>9.0999999999999998E-2</v>
      </c>
      <c r="I30">
        <v>9.0999999999999998E-2</v>
      </c>
      <c r="J30">
        <v>9.0999999999999998E-2</v>
      </c>
      <c r="K30">
        <v>4.4999999999999998E-2</v>
      </c>
      <c r="R30">
        <v>1.90269712966018</v>
      </c>
      <c r="S30">
        <v>1.86494097781871</v>
      </c>
      <c r="T30">
        <v>1.8397618333208301</v>
      </c>
      <c r="U30">
        <v>1.8397618333208301</v>
      </c>
      <c r="V30">
        <v>1.8397618333208301</v>
      </c>
      <c r="W30">
        <v>1.9234148538173801</v>
      </c>
    </row>
    <row r="31" spans="1:25" x14ac:dyDescent="0.3">
      <c r="A31" t="s">
        <v>489</v>
      </c>
      <c r="B31">
        <v>0.19600000000000001</v>
      </c>
      <c r="D31">
        <v>0.26700000000000002</v>
      </c>
      <c r="N31">
        <v>1.86494097781871</v>
      </c>
      <c r="P31">
        <v>2.3743509702288601</v>
      </c>
    </row>
    <row r="32" spans="1:25" x14ac:dyDescent="0.3">
      <c r="A32" t="s">
        <v>350</v>
      </c>
      <c r="F32">
        <v>0.24299999999999999</v>
      </c>
      <c r="G32">
        <v>0.215</v>
      </c>
      <c r="H32">
        <v>0.20599999999999999</v>
      </c>
      <c r="I32">
        <v>0.20599999999999999</v>
      </c>
      <c r="J32">
        <v>0.20599999999999999</v>
      </c>
      <c r="K32">
        <v>0.14299999999999999</v>
      </c>
      <c r="L32">
        <v>0.16800000000000001</v>
      </c>
      <c r="M32">
        <v>0.14699999999999999</v>
      </c>
      <c r="R32">
        <v>4.8795664292350596</v>
      </c>
      <c r="S32">
        <v>5.0560464622891699</v>
      </c>
      <c r="T32">
        <v>5.8437526828050901</v>
      </c>
      <c r="U32">
        <v>5.8437526828050901</v>
      </c>
      <c r="V32">
        <v>5.8437526828050901</v>
      </c>
      <c r="W32">
        <v>5.2330390539909803</v>
      </c>
      <c r="X32">
        <v>4.1034658149515897</v>
      </c>
      <c r="Y32">
        <v>3.9071309643648102</v>
      </c>
    </row>
    <row r="33" spans="1:25" x14ac:dyDescent="0.3">
      <c r="A33" t="s">
        <v>355</v>
      </c>
      <c r="B33">
        <v>0.215</v>
      </c>
      <c r="C33">
        <v>0.17</v>
      </c>
      <c r="D33">
        <v>0.125</v>
      </c>
      <c r="N33">
        <v>5.0560464622891699</v>
      </c>
      <c r="O33">
        <v>4.1050000000000004</v>
      </c>
      <c r="P33">
        <v>3.8900412525252501</v>
      </c>
    </row>
    <row r="34" spans="1:25" x14ac:dyDescent="0.3">
      <c r="A34" t="s">
        <v>473</v>
      </c>
      <c r="F34">
        <v>4.8000000000000001E-2</v>
      </c>
      <c r="G34">
        <v>8.6999999999999994E-2</v>
      </c>
      <c r="H34">
        <v>7.3999999999999996E-2</v>
      </c>
      <c r="I34">
        <v>7.3999999999999996E-2</v>
      </c>
      <c r="J34">
        <v>7.3999999999999996E-2</v>
      </c>
      <c r="K34">
        <v>7.5999999999999998E-2</v>
      </c>
      <c r="L34">
        <v>7.2999999999999995E-2</v>
      </c>
      <c r="M34">
        <v>5.7000000000000002E-2</v>
      </c>
      <c r="R34">
        <v>2.7130344611310502</v>
      </c>
      <c r="S34">
        <v>2.6016888037537602</v>
      </c>
      <c r="T34">
        <v>2.48035105184755</v>
      </c>
      <c r="U34">
        <v>2.48035105184755</v>
      </c>
      <c r="V34">
        <v>2.48035105184755</v>
      </c>
      <c r="W34">
        <v>2.4289338235294098</v>
      </c>
      <c r="X34">
        <v>2.2900928791585899</v>
      </c>
      <c r="Y34">
        <v>2.2012202343847398</v>
      </c>
    </row>
    <row r="35" spans="1:25" x14ac:dyDescent="0.3">
      <c r="A35" t="s">
        <v>493</v>
      </c>
      <c r="B35">
        <v>8.6999999999999994E-2</v>
      </c>
      <c r="C35">
        <v>0</v>
      </c>
      <c r="D35">
        <v>0.1</v>
      </c>
      <c r="N35">
        <v>2.6016888037537602</v>
      </c>
      <c r="O35">
        <v>0</v>
      </c>
      <c r="P35">
        <v>2.6479003566056498</v>
      </c>
    </row>
    <row r="36" spans="1:25" x14ac:dyDescent="0.3">
      <c r="A36" t="s">
        <v>660</v>
      </c>
      <c r="F36">
        <v>0.107</v>
      </c>
      <c r="G36">
        <v>8.4000000000000005E-2</v>
      </c>
      <c r="H36">
        <v>2.3E-2</v>
      </c>
      <c r="I36">
        <v>2.3E-2</v>
      </c>
      <c r="J36">
        <v>2.3E-2</v>
      </c>
      <c r="K36">
        <v>1.9E-2</v>
      </c>
      <c r="L36">
        <v>6.8000000000000005E-2</v>
      </c>
      <c r="M36">
        <v>8.6999999999999994E-2</v>
      </c>
      <c r="R36">
        <v>2.6597331406720799</v>
      </c>
      <c r="S36">
        <v>2.67004249839021</v>
      </c>
      <c r="T36">
        <v>2.7168020134228201</v>
      </c>
      <c r="U36">
        <v>2.7168020134228201</v>
      </c>
      <c r="V36">
        <v>2.7168020134228201</v>
      </c>
      <c r="W36">
        <v>3.03063610766046</v>
      </c>
      <c r="X36">
        <v>3.0994327259255798</v>
      </c>
      <c r="Y36">
        <v>3.1003256498799301</v>
      </c>
    </row>
    <row r="37" spans="1:25" x14ac:dyDescent="0.3">
      <c r="A37" t="s">
        <v>552</v>
      </c>
      <c r="B37">
        <v>8.4000000000000005E-2</v>
      </c>
      <c r="C37">
        <v>0</v>
      </c>
      <c r="D37">
        <v>0.159</v>
      </c>
      <c r="N37">
        <v>2.67004249839021</v>
      </c>
      <c r="O37">
        <v>0</v>
      </c>
      <c r="P37">
        <v>2.5764562398897999</v>
      </c>
    </row>
    <row r="38" spans="1:25" x14ac:dyDescent="0.3">
      <c r="A38" t="s">
        <v>382</v>
      </c>
      <c r="F38">
        <v>0.151</v>
      </c>
      <c r="R38">
        <v>2.8666813819577701</v>
      </c>
    </row>
    <row r="39" spans="1:25" x14ac:dyDescent="0.3">
      <c r="A39" t="s">
        <v>388</v>
      </c>
      <c r="C39">
        <v>0.11</v>
      </c>
      <c r="D39">
        <v>9.6000000000000002E-2</v>
      </c>
      <c r="O39">
        <v>2.7709951060358899</v>
      </c>
      <c r="P39">
        <v>2.5690380662139201</v>
      </c>
    </row>
    <row r="40" spans="1:25" x14ac:dyDescent="0.3">
      <c r="A40" t="s">
        <v>426</v>
      </c>
      <c r="G40">
        <v>0.115</v>
      </c>
      <c r="H40">
        <v>6.6000000000000003E-2</v>
      </c>
      <c r="I40">
        <v>6.6000000000000003E-2</v>
      </c>
      <c r="J40">
        <v>6.6000000000000003E-2</v>
      </c>
      <c r="K40">
        <v>-1.2999999999999999E-2</v>
      </c>
      <c r="L40">
        <v>6.3E-2</v>
      </c>
      <c r="M40">
        <v>1.2E-2</v>
      </c>
      <c r="S40">
        <v>3.2861146624051099</v>
      </c>
      <c r="T40">
        <v>3.2869676674364898</v>
      </c>
      <c r="U40">
        <v>3.2869676674364898</v>
      </c>
      <c r="V40">
        <v>3.2869676674364898</v>
      </c>
      <c r="W40">
        <v>3.0858832487309602</v>
      </c>
      <c r="X40">
        <v>3.0642248803827798</v>
      </c>
      <c r="Y40">
        <v>3.02196610169492</v>
      </c>
    </row>
    <row r="41" spans="1:25" x14ac:dyDescent="0.3">
      <c r="A41" t="s">
        <v>617</v>
      </c>
      <c r="B41">
        <v>0.115</v>
      </c>
      <c r="N41">
        <v>3.2861146624051099</v>
      </c>
    </row>
    <row r="42" spans="1:25" x14ac:dyDescent="0.3">
      <c r="A42" t="s">
        <v>597</v>
      </c>
      <c r="M42">
        <v>0.16700000000000001</v>
      </c>
      <c r="Y42">
        <v>3.0378328831073498</v>
      </c>
    </row>
    <row r="43" spans="1:25" x14ac:dyDescent="0.3">
      <c r="A43" t="s">
        <v>655</v>
      </c>
      <c r="F43">
        <v>0.22500000000000001</v>
      </c>
      <c r="G43">
        <v>0.20799999999999999</v>
      </c>
      <c r="H43">
        <v>0.215</v>
      </c>
      <c r="I43">
        <v>0.215</v>
      </c>
      <c r="J43">
        <v>0.215</v>
      </c>
      <c r="K43">
        <v>6.7000000000000004E-2</v>
      </c>
      <c r="L43">
        <v>0.128</v>
      </c>
      <c r="M43">
        <v>5.3999999999999999E-2</v>
      </c>
      <c r="R43">
        <v>2.2026080476900201</v>
      </c>
      <c r="S43">
        <v>2.3110428360413602</v>
      </c>
      <c r="T43">
        <v>2.429518728223</v>
      </c>
      <c r="U43">
        <v>2.429518728223</v>
      </c>
      <c r="V43">
        <v>2.429518728223</v>
      </c>
      <c r="W43">
        <v>2.5317503302509898</v>
      </c>
      <c r="X43">
        <v>2.4590541611624799</v>
      </c>
      <c r="Y43">
        <v>2.5348074324324301</v>
      </c>
    </row>
    <row r="44" spans="1:25" x14ac:dyDescent="0.3">
      <c r="A44" t="s">
        <v>511</v>
      </c>
      <c r="B44">
        <v>0.20799999999999999</v>
      </c>
      <c r="C44">
        <v>0</v>
      </c>
      <c r="D44">
        <v>0.16200000000000001</v>
      </c>
      <c r="N44">
        <v>2.3110428360413602</v>
      </c>
      <c r="O44">
        <v>0</v>
      </c>
      <c r="P44">
        <v>1.8672144843049301</v>
      </c>
    </row>
    <row r="45" spans="1:25" x14ac:dyDescent="0.3">
      <c r="A45" t="s">
        <v>503</v>
      </c>
      <c r="C45">
        <v>0</v>
      </c>
      <c r="O45">
        <v>0</v>
      </c>
    </row>
    <row r="46" spans="1:25" x14ac:dyDescent="0.3">
      <c r="A46" t="s">
        <v>581</v>
      </c>
      <c r="F46">
        <v>0.126</v>
      </c>
      <c r="G46">
        <v>0.16600000000000001</v>
      </c>
      <c r="H46">
        <v>0.14299999999999999</v>
      </c>
      <c r="I46">
        <v>0.14299999999999999</v>
      </c>
      <c r="J46">
        <v>0.14299999999999999</v>
      </c>
      <c r="R46">
        <v>2.52394844087681</v>
      </c>
      <c r="S46">
        <v>2.3918634941189199</v>
      </c>
      <c r="T46">
        <v>2.43204047294225</v>
      </c>
      <c r="U46">
        <v>2.43204047294225</v>
      </c>
      <c r="V46">
        <v>2.43204047294225</v>
      </c>
    </row>
    <row r="47" spans="1:25" x14ac:dyDescent="0.3">
      <c r="A47" t="s">
        <v>589</v>
      </c>
      <c r="B47">
        <v>0.16600000000000001</v>
      </c>
      <c r="D47">
        <v>0.11700000000000001</v>
      </c>
      <c r="N47">
        <v>2.3918634941189199</v>
      </c>
      <c r="P47">
        <v>2.2286715133672002</v>
      </c>
    </row>
    <row r="48" spans="1:25" x14ac:dyDescent="0.3">
      <c r="A48" t="s">
        <v>639</v>
      </c>
      <c r="F48">
        <v>0.14499999999999999</v>
      </c>
      <c r="G48">
        <v>0.10199999999999999</v>
      </c>
      <c r="H48">
        <v>5.6000000000000001E-2</v>
      </c>
      <c r="I48">
        <v>5.6000000000000001E-2</v>
      </c>
      <c r="J48">
        <v>5.6000000000000001E-2</v>
      </c>
      <c r="K48">
        <v>-3.1E-2</v>
      </c>
      <c r="R48">
        <v>2.9365964097526098</v>
      </c>
      <c r="S48">
        <v>2.6705025996533802</v>
      </c>
      <c r="T48">
        <v>2.5375776419213998</v>
      </c>
      <c r="U48">
        <v>2.5375776419213998</v>
      </c>
      <c r="V48">
        <v>2.5375776419213998</v>
      </c>
      <c r="W48">
        <v>2.7385167448091101</v>
      </c>
    </row>
    <row r="49" spans="1:25" x14ac:dyDescent="0.3">
      <c r="A49" t="s">
        <v>465</v>
      </c>
      <c r="B49">
        <v>0.10199999999999999</v>
      </c>
      <c r="C49">
        <v>0</v>
      </c>
      <c r="D49">
        <v>0.23699999999999999</v>
      </c>
      <c r="N49">
        <v>2.6705025996533802</v>
      </c>
      <c r="O49">
        <v>0</v>
      </c>
      <c r="P49">
        <v>3.81688958102621</v>
      </c>
    </row>
    <row r="50" spans="1:25" x14ac:dyDescent="0.3">
      <c r="A50" t="s">
        <v>434</v>
      </c>
      <c r="F50">
        <v>9.0999999999999998E-2</v>
      </c>
      <c r="G50">
        <v>0.121</v>
      </c>
      <c r="H50">
        <v>5.0999999999999997E-2</v>
      </c>
      <c r="I50">
        <v>5.0999999999999997E-2</v>
      </c>
      <c r="J50">
        <v>5.0999999999999997E-2</v>
      </c>
      <c r="K50">
        <v>-9.5000000000000001E-2</v>
      </c>
      <c r="L50">
        <v>4.4999999999999998E-2</v>
      </c>
      <c r="M50">
        <v>4.1000000000000002E-2</v>
      </c>
      <c r="R50">
        <v>3.2240986134983398</v>
      </c>
      <c r="S50">
        <v>3.2672470032988201</v>
      </c>
      <c r="T50">
        <v>3.0342554891606399</v>
      </c>
      <c r="U50">
        <v>3.0342554891606399</v>
      </c>
      <c r="V50">
        <v>3.0342554891606399</v>
      </c>
      <c r="W50">
        <v>3.3386551137571798</v>
      </c>
      <c r="X50">
        <v>3.1625616302705</v>
      </c>
      <c r="Y50">
        <v>3.31569555935098</v>
      </c>
    </row>
    <row r="51" spans="1:25" x14ac:dyDescent="0.3">
      <c r="A51" t="s">
        <v>562</v>
      </c>
      <c r="B51">
        <v>0.121</v>
      </c>
      <c r="C51">
        <v>0</v>
      </c>
      <c r="D51">
        <v>8.4000000000000005E-2</v>
      </c>
      <c r="N51">
        <v>3.2672470032988201</v>
      </c>
      <c r="O51">
        <v>0</v>
      </c>
      <c r="P51">
        <v>3.0894686140396099</v>
      </c>
    </row>
    <row r="52" spans="1:25" x14ac:dyDescent="0.3">
      <c r="A52" t="s">
        <v>545</v>
      </c>
      <c r="C52">
        <v>0</v>
      </c>
      <c r="O52">
        <v>0</v>
      </c>
    </row>
    <row r="53" spans="1:25" x14ac:dyDescent="0.3">
      <c r="A53" t="s">
        <v>456</v>
      </c>
      <c r="F53">
        <v>8.6999999999999994E-2</v>
      </c>
      <c r="G53">
        <v>0.14299999999999999</v>
      </c>
      <c r="H53">
        <v>0.17100000000000001</v>
      </c>
      <c r="I53">
        <v>0.17100000000000001</v>
      </c>
      <c r="J53">
        <v>0.17100000000000001</v>
      </c>
      <c r="R53">
        <v>4.6538980144404301</v>
      </c>
      <c r="S53">
        <v>3.5594674089174601</v>
      </c>
      <c r="T53">
        <v>3.62937928243863</v>
      </c>
      <c r="U53">
        <v>3.62937928243863</v>
      </c>
      <c r="V53">
        <v>3.62937928243863</v>
      </c>
    </row>
    <row r="54" spans="1:25" x14ac:dyDescent="0.3">
      <c r="A54" t="s">
        <v>459</v>
      </c>
      <c r="B54">
        <v>0.14299999999999999</v>
      </c>
      <c r="D54">
        <v>-0.32400000000000001</v>
      </c>
      <c r="N54">
        <v>3.5594674089174601</v>
      </c>
      <c r="P54">
        <v>8.6588213930754208</v>
      </c>
    </row>
    <row r="55" spans="1:25" x14ac:dyDescent="0.3">
      <c r="A55" t="s">
        <v>413</v>
      </c>
      <c r="F55">
        <v>0.10299999999999999</v>
      </c>
      <c r="G55">
        <v>0.11700000000000001</v>
      </c>
      <c r="H55">
        <v>9.6000000000000002E-2</v>
      </c>
      <c r="I55">
        <v>9.6000000000000002E-2</v>
      </c>
      <c r="J55">
        <v>9.6000000000000002E-2</v>
      </c>
      <c r="K55">
        <v>-0.30099999999999999</v>
      </c>
      <c r="L55">
        <v>3.4000000000000002E-2</v>
      </c>
      <c r="M55">
        <v>-1.2E-2</v>
      </c>
      <c r="R55">
        <v>3.2370286763531899</v>
      </c>
      <c r="S55">
        <v>3.33218686027136</v>
      </c>
      <c r="T55">
        <v>3.2380298185737399</v>
      </c>
      <c r="U55">
        <v>3.2380298185737399</v>
      </c>
      <c r="V55">
        <v>3.2380298185737399</v>
      </c>
      <c r="W55">
        <v>4.6722970508619497</v>
      </c>
      <c r="X55">
        <v>4.18798133155539</v>
      </c>
      <c r="Y55">
        <v>4.2614818565400796</v>
      </c>
    </row>
    <row r="56" spans="1:25" x14ac:dyDescent="0.3">
      <c r="A56" t="s">
        <v>590</v>
      </c>
      <c r="B56">
        <v>0.11700000000000001</v>
      </c>
      <c r="N56">
        <v>3.33218686027136</v>
      </c>
    </row>
    <row r="57" spans="1:25" x14ac:dyDescent="0.3">
      <c r="A57" t="s">
        <v>542</v>
      </c>
      <c r="C57">
        <v>0</v>
      </c>
      <c r="D57">
        <v>2.5000000000000001E-2</v>
      </c>
      <c r="O57">
        <v>0</v>
      </c>
      <c r="P57">
        <v>3.32270328534704</v>
      </c>
    </row>
    <row r="58" spans="1:25" x14ac:dyDescent="0.3">
      <c r="A58" t="s">
        <v>636</v>
      </c>
      <c r="F58">
        <v>6.8000000000000005E-2</v>
      </c>
      <c r="G58">
        <v>8.4000000000000005E-2</v>
      </c>
      <c r="H58">
        <v>0.08</v>
      </c>
      <c r="I58">
        <v>0.08</v>
      </c>
      <c r="J58">
        <v>0.08</v>
      </c>
      <c r="K58">
        <v>3.7999999999999999E-2</v>
      </c>
      <c r="L58">
        <v>6.5000000000000002E-2</v>
      </c>
      <c r="R58">
        <v>2.1895372031662301</v>
      </c>
      <c r="S58">
        <v>2.20531520096706</v>
      </c>
      <c r="T58">
        <v>2.0727948910593499</v>
      </c>
      <c r="U58">
        <v>2.0727948910593499</v>
      </c>
      <c r="V58">
        <v>2.0727948910593499</v>
      </c>
      <c r="W58">
        <v>2.18619040451552</v>
      </c>
      <c r="X58">
        <v>2.37768225825265</v>
      </c>
    </row>
    <row r="59" spans="1:25" x14ac:dyDescent="0.3">
      <c r="A59" t="s">
        <v>214</v>
      </c>
      <c r="B59">
        <v>8.4000000000000005E-2</v>
      </c>
      <c r="N59">
        <v>2.20531520096706</v>
      </c>
    </row>
    <row r="60" spans="1:25" x14ac:dyDescent="0.3">
      <c r="A60" t="s">
        <v>666</v>
      </c>
      <c r="L60">
        <v>0.26400000000000001</v>
      </c>
      <c r="M60">
        <v>0.23</v>
      </c>
      <c r="X60">
        <v>3.0709594677499101</v>
      </c>
      <c r="Y60">
        <v>2.58564988538925</v>
      </c>
    </row>
    <row r="61" spans="1:25" x14ac:dyDescent="0.3">
      <c r="A61" t="s">
        <v>518</v>
      </c>
      <c r="C61">
        <v>0</v>
      </c>
      <c r="O61">
        <v>0</v>
      </c>
    </row>
    <row r="62" spans="1:25" x14ac:dyDescent="0.3">
      <c r="A62" t="s">
        <v>625</v>
      </c>
      <c r="F62">
        <v>0.109</v>
      </c>
      <c r="G62">
        <v>0.14299999999999999</v>
      </c>
      <c r="H62">
        <v>0.12</v>
      </c>
      <c r="I62">
        <v>0.12</v>
      </c>
      <c r="J62">
        <v>0.12</v>
      </c>
      <c r="K62">
        <v>8.5999999999999993E-2</v>
      </c>
      <c r="L62">
        <v>9.0999999999999998E-2</v>
      </c>
      <c r="M62">
        <v>0.105</v>
      </c>
      <c r="R62">
        <v>2.6967910063799101</v>
      </c>
      <c r="S62">
        <v>2.7093278688524598</v>
      </c>
      <c r="T62">
        <v>2.2878967934007299</v>
      </c>
      <c r="U62">
        <v>2.2878967934007299</v>
      </c>
      <c r="V62">
        <v>2.2878967934007299</v>
      </c>
      <c r="W62">
        <v>2.2723563567912</v>
      </c>
      <c r="X62">
        <v>2.1818642987249501</v>
      </c>
      <c r="Y62">
        <v>2.2167502295684098</v>
      </c>
    </row>
    <row r="63" spans="1:25" x14ac:dyDescent="0.3">
      <c r="A63" t="s">
        <v>647</v>
      </c>
      <c r="B63">
        <v>0.14299999999999999</v>
      </c>
      <c r="D63">
        <v>8.5999999999999993E-2</v>
      </c>
      <c r="N63">
        <v>2.7093278688524598</v>
      </c>
      <c r="P63">
        <v>2.2378088584210998</v>
      </c>
    </row>
    <row r="64" spans="1:25" x14ac:dyDescent="0.3">
      <c r="A64" t="s">
        <v>630</v>
      </c>
      <c r="F64">
        <v>0.129</v>
      </c>
      <c r="G64">
        <v>0.107</v>
      </c>
      <c r="H64">
        <v>9.7000000000000003E-2</v>
      </c>
      <c r="I64">
        <v>9.7000000000000003E-2</v>
      </c>
      <c r="J64">
        <v>9.7000000000000003E-2</v>
      </c>
      <c r="K64">
        <v>0.1</v>
      </c>
      <c r="L64">
        <v>0.11700000000000001</v>
      </c>
      <c r="M64">
        <v>8.5000000000000006E-2</v>
      </c>
      <c r="R64">
        <v>2.8260563739994402</v>
      </c>
      <c r="S64">
        <v>2.7705574905469499</v>
      </c>
      <c r="T64">
        <v>2.6805837474973502</v>
      </c>
      <c r="U64">
        <v>2.6805837474973502</v>
      </c>
      <c r="V64">
        <v>2.6805837474973502</v>
      </c>
      <c r="W64">
        <v>2.6581272043097099</v>
      </c>
      <c r="X64">
        <v>2.5710089864966101</v>
      </c>
      <c r="Y64">
        <v>2.6272781888459402</v>
      </c>
    </row>
    <row r="65" spans="1:25" x14ac:dyDescent="0.3">
      <c r="A65" t="s">
        <v>577</v>
      </c>
      <c r="B65">
        <v>0.107</v>
      </c>
      <c r="C65">
        <v>0</v>
      </c>
      <c r="D65">
        <v>0.13</v>
      </c>
      <c r="N65">
        <v>2.7705574905469499</v>
      </c>
      <c r="O65">
        <v>0</v>
      </c>
      <c r="P65">
        <v>2.8751530389379201</v>
      </c>
    </row>
    <row r="66" spans="1:25" x14ac:dyDescent="0.3">
      <c r="A66" t="s">
        <v>362</v>
      </c>
      <c r="K66">
        <v>3.2000000000000001E-2</v>
      </c>
      <c r="L66">
        <v>0.183</v>
      </c>
      <c r="M66">
        <v>0.28100000000000003</v>
      </c>
      <c r="W66">
        <v>2.3144743411927902</v>
      </c>
      <c r="X66">
        <v>2.06015093314006</v>
      </c>
      <c r="Y66">
        <v>1.8427029308697001</v>
      </c>
    </row>
    <row r="67" spans="1:25" x14ac:dyDescent="0.3">
      <c r="A67" t="s">
        <v>406</v>
      </c>
      <c r="F67">
        <v>0.13800000000000001</v>
      </c>
      <c r="G67">
        <v>0.124</v>
      </c>
      <c r="H67">
        <v>-0.47399999999999998</v>
      </c>
      <c r="I67">
        <v>-0.47399999999999998</v>
      </c>
      <c r="J67">
        <v>-0.47399999999999998</v>
      </c>
      <c r="K67">
        <v>-0.24</v>
      </c>
      <c r="L67">
        <v>-0.26200000000000001</v>
      </c>
      <c r="R67">
        <v>3.3328979155531799</v>
      </c>
      <c r="S67">
        <v>4.70315401223462</v>
      </c>
      <c r="T67">
        <v>5.0998122270742403</v>
      </c>
      <c r="U67">
        <v>5.0998122270742403</v>
      </c>
      <c r="V67">
        <v>5.0998122270742403</v>
      </c>
      <c r="W67">
        <v>6.2126020745972204</v>
      </c>
      <c r="X67">
        <v>7.4318153886212697</v>
      </c>
    </row>
    <row r="68" spans="1:25" x14ac:dyDescent="0.3">
      <c r="A68" t="s">
        <v>521</v>
      </c>
      <c r="B68">
        <v>0.124</v>
      </c>
      <c r="C68">
        <v>0</v>
      </c>
      <c r="D68">
        <v>0.21099999999999999</v>
      </c>
      <c r="N68">
        <v>4.70315401223462</v>
      </c>
      <c r="O68">
        <v>0</v>
      </c>
      <c r="P68">
        <v>3.36023313736169</v>
      </c>
    </row>
    <row r="69" spans="1:25" x14ac:dyDescent="0.3">
      <c r="A69" t="s">
        <v>450</v>
      </c>
      <c r="F69">
        <v>-1.6E-2</v>
      </c>
      <c r="G69">
        <v>6.0999999999999999E-2</v>
      </c>
      <c r="R69">
        <v>4.3677852207672601</v>
      </c>
      <c r="S69">
        <v>4.4395687602108698</v>
      </c>
    </row>
    <row r="70" spans="1:25" x14ac:dyDescent="0.3">
      <c r="A70" t="s">
        <v>468</v>
      </c>
      <c r="B70">
        <v>6.0999999999999999E-2</v>
      </c>
      <c r="C70">
        <v>0</v>
      </c>
      <c r="D70">
        <v>0.1</v>
      </c>
      <c r="N70">
        <v>4.4395687602108698</v>
      </c>
      <c r="O70">
        <v>0</v>
      </c>
      <c r="P70">
        <v>3.7025299634676698</v>
      </c>
    </row>
    <row r="71" spans="1:25" x14ac:dyDescent="0.3">
      <c r="A71" t="s">
        <v>658</v>
      </c>
      <c r="F71">
        <v>0.18</v>
      </c>
      <c r="G71">
        <v>0.14499999999999999</v>
      </c>
      <c r="H71">
        <v>0.20599999999999999</v>
      </c>
      <c r="I71">
        <v>0.20599999999999999</v>
      </c>
      <c r="J71">
        <v>0.20599999999999999</v>
      </c>
      <c r="K71">
        <v>0.11799999999999999</v>
      </c>
      <c r="L71">
        <v>0.245</v>
      </c>
      <c r="M71">
        <v>0.20699999999999999</v>
      </c>
      <c r="R71">
        <v>4.4749913199305604</v>
      </c>
      <c r="S71">
        <v>4.1470396536007303</v>
      </c>
      <c r="T71">
        <v>3.8524639826809599</v>
      </c>
      <c r="U71">
        <v>3.8524639826809599</v>
      </c>
      <c r="V71">
        <v>3.8524639826809599</v>
      </c>
      <c r="W71">
        <v>3.5022809476142802</v>
      </c>
      <c r="X71">
        <v>3.6534161019388298</v>
      </c>
      <c r="Y71">
        <v>3.8612858820257698</v>
      </c>
    </row>
    <row r="72" spans="1:25" x14ac:dyDescent="0.3">
      <c r="A72" t="s">
        <v>688</v>
      </c>
      <c r="B72">
        <v>0.14499999999999999</v>
      </c>
      <c r="N72">
        <v>4.1470396536007303</v>
      </c>
    </row>
    <row r="73" spans="1:25" x14ac:dyDescent="0.3">
      <c r="A73" t="s">
        <v>539</v>
      </c>
      <c r="C73">
        <v>0</v>
      </c>
      <c r="D73">
        <v>4.5999999999999999E-2</v>
      </c>
      <c r="O73">
        <v>0</v>
      </c>
      <c r="P73">
        <v>4.4924062288258799</v>
      </c>
    </row>
    <row r="74" spans="1:25" x14ac:dyDescent="0.3">
      <c r="A74" t="s">
        <v>599</v>
      </c>
      <c r="H74">
        <v>0.107</v>
      </c>
      <c r="I74">
        <v>0.107</v>
      </c>
      <c r="J74">
        <v>0.107</v>
      </c>
      <c r="K74">
        <v>6.5000000000000002E-2</v>
      </c>
      <c r="L74">
        <v>0.111</v>
      </c>
      <c r="M74">
        <v>8.5999999999999993E-2</v>
      </c>
      <c r="T74">
        <v>3.9122315308081701</v>
      </c>
      <c r="U74">
        <v>3.9122315308081701</v>
      </c>
      <c r="V74">
        <v>3.9122315308081701</v>
      </c>
      <c r="W74">
        <v>3.9138839511060501</v>
      </c>
      <c r="X74">
        <v>3.6683136155191201</v>
      </c>
      <c r="Y74">
        <v>3.4043175022334302</v>
      </c>
    </row>
    <row r="75" spans="1:25" x14ac:dyDescent="0.3">
      <c r="A75" t="s">
        <v>334</v>
      </c>
      <c r="B75">
        <v>1.127</v>
      </c>
      <c r="C75">
        <v>0</v>
      </c>
      <c r="D75">
        <v>1.1800000000000002</v>
      </c>
      <c r="E75">
        <v>4.5426999999999991</v>
      </c>
      <c r="F75">
        <v>1.367</v>
      </c>
      <c r="G75">
        <v>1.127</v>
      </c>
      <c r="H75">
        <v>1.177</v>
      </c>
      <c r="I75">
        <v>1.177</v>
      </c>
      <c r="J75">
        <v>1.177</v>
      </c>
      <c r="K75">
        <v>0.35199999999999998</v>
      </c>
      <c r="L75">
        <v>0.83299999999999996</v>
      </c>
      <c r="M75">
        <v>0.90300000000000025</v>
      </c>
      <c r="N75">
        <v>38.103165366928756</v>
      </c>
      <c r="O75">
        <v>0</v>
      </c>
      <c r="P75">
        <v>40.72939545149265</v>
      </c>
      <c r="Q75">
        <v>143.62240980423064</v>
      </c>
      <c r="R75">
        <v>45.227772332393613</v>
      </c>
      <c r="S75">
        <v>38.103165366928756</v>
      </c>
      <c r="T75">
        <v>38.948543904333789</v>
      </c>
      <c r="U75">
        <v>38.948543904333789</v>
      </c>
      <c r="V75">
        <v>38.948543904333789</v>
      </c>
      <c r="W75">
        <v>46.232922306643289</v>
      </c>
      <c r="X75">
        <v>41.497602678548049</v>
      </c>
      <c r="Y75">
        <v>50.85861342397687</v>
      </c>
    </row>
    <row r="76" spans="1:25" x14ac:dyDescent="0.3">
      <c r="A76" t="s">
        <v>332</v>
      </c>
      <c r="B76">
        <v>4.54</v>
      </c>
      <c r="C76">
        <v>0.64</v>
      </c>
      <c r="D76">
        <v>4.2159999999999993</v>
      </c>
      <c r="E76">
        <v>4.5426999999999991</v>
      </c>
      <c r="F76">
        <v>4.6840000000000011</v>
      </c>
      <c r="G76">
        <v>4.54</v>
      </c>
      <c r="H76">
        <v>3.2840000000000007</v>
      </c>
      <c r="I76">
        <v>3.2840000000000007</v>
      </c>
      <c r="J76">
        <v>3.2840000000000007</v>
      </c>
      <c r="K76">
        <v>0.55600000000000005</v>
      </c>
      <c r="L76">
        <v>3.5670000000000002</v>
      </c>
      <c r="M76">
        <v>3.09</v>
      </c>
      <c r="N76">
        <v>120.19672091412801</v>
      </c>
      <c r="O76">
        <v>18.985340207536289</v>
      </c>
      <c r="P76">
        <v>138.82105271445252</v>
      </c>
      <c r="Q76">
        <v>143.62240980423064</v>
      </c>
      <c r="R76">
        <v>123.70454145010068</v>
      </c>
      <c r="S76">
        <v>120.19672091412801</v>
      </c>
      <c r="T76">
        <v>115.62630305673525</v>
      </c>
      <c r="U76">
        <v>115.62630305673525</v>
      </c>
      <c r="V76">
        <v>115.62630305673525</v>
      </c>
      <c r="W76">
        <v>124.851258720944</v>
      </c>
      <c r="X76">
        <v>114.80824242973286</v>
      </c>
      <c r="Y76">
        <v>117.80532164883104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1B756-EF4B-4DE4-B0AD-E485D1A8097D}">
  <dimension ref="A1:N188"/>
  <sheetViews>
    <sheetView topLeftCell="A167" workbookViewId="0">
      <selection activeCell="N120" sqref="N120:N188"/>
    </sheetView>
  </sheetViews>
  <sheetFormatPr baseColWidth="10" defaultRowHeight="14.4" x14ac:dyDescent="0.3"/>
  <sheetData>
    <row r="1" spans="1:14" x14ac:dyDescent="0.3">
      <c r="B1">
        <v>2011</v>
      </c>
      <c r="C1">
        <v>2012</v>
      </c>
      <c r="D1">
        <v>2013</v>
      </c>
      <c r="E1">
        <v>2014</v>
      </c>
      <c r="F1">
        <v>2015</v>
      </c>
      <c r="G1">
        <v>2016</v>
      </c>
      <c r="H1">
        <v>2017</v>
      </c>
      <c r="I1">
        <v>2018</v>
      </c>
      <c r="J1">
        <v>2019</v>
      </c>
      <c r="K1">
        <v>2020</v>
      </c>
      <c r="L1">
        <v>2021</v>
      </c>
      <c r="M1">
        <v>2022</v>
      </c>
    </row>
    <row r="2" spans="1:14" x14ac:dyDescent="0.3">
      <c r="A2" s="2" t="s">
        <v>298</v>
      </c>
      <c r="G2">
        <v>4.8128632080548899</v>
      </c>
      <c r="N2" t="str">
        <f>VLOOKUP(A2,Tabla1[[#All],[EMISORA]:[Columna1]],2,FALSE)</f>
        <v>Computers, Office Equipment</v>
      </c>
    </row>
    <row r="3" spans="1:14" x14ac:dyDescent="0.3">
      <c r="A3" s="2" t="s">
        <v>278</v>
      </c>
      <c r="F3">
        <v>1.6139989540491899</v>
      </c>
      <c r="G3">
        <v>4.0225396496408097</v>
      </c>
      <c r="H3">
        <v>0.72848349236418497</v>
      </c>
      <c r="I3">
        <v>0.72848349236418497</v>
      </c>
      <c r="J3">
        <v>0.72848349236418497</v>
      </c>
      <c r="N3" t="str">
        <f>VLOOKUP(A3,Tabla1[[#All],[EMISORA]:[Columna1]],2,FALSE)</f>
        <v>Computers, Office Equipment</v>
      </c>
    </row>
    <row r="4" spans="1:14" x14ac:dyDescent="0.3">
      <c r="A4" s="2" t="s">
        <v>282</v>
      </c>
      <c r="B4">
        <v>4.0225396496408097</v>
      </c>
      <c r="N4" t="str">
        <f>VLOOKUP(A4,Tabla1[[#All],[EMISORA]:[Columna1]],2,FALSE)</f>
        <v>Internet Services and Retailing</v>
      </c>
    </row>
    <row r="5" spans="1:14" x14ac:dyDescent="0.3">
      <c r="A5" s="2" t="s">
        <v>307</v>
      </c>
      <c r="B5">
        <v>4.8128632080548899</v>
      </c>
      <c r="N5" t="str">
        <f>VLOOKUP(A5,Tabla1[[#All],[EMISORA]:[Columna1]],2,FALSE)</f>
        <v>Telecommunications</v>
      </c>
    </row>
    <row r="6" spans="1:14" x14ac:dyDescent="0.3">
      <c r="A6" s="2" t="s">
        <v>81</v>
      </c>
      <c r="F6">
        <v>0.80458484090071902</v>
      </c>
      <c r="G6">
        <v>0.67034002101428103</v>
      </c>
      <c r="H6">
        <v>0.72621505229339001</v>
      </c>
      <c r="I6">
        <v>0.72621505229339001</v>
      </c>
      <c r="J6">
        <v>0.72621505229339001</v>
      </c>
      <c r="K6">
        <v>0.84756150274168895</v>
      </c>
      <c r="L6">
        <v>1.04220773670805</v>
      </c>
      <c r="M6">
        <v>1.11785233377273</v>
      </c>
      <c r="N6" t="str">
        <f>VLOOKUP(A6,Tabla1[[#All],[EMISORA]:[Columna1]],2,FALSE)</f>
        <v>Computers, Office Equipment</v>
      </c>
    </row>
    <row r="7" spans="1:14" x14ac:dyDescent="0.3">
      <c r="A7" s="2" t="s">
        <v>87</v>
      </c>
      <c r="B7">
        <v>0.67034002101428103</v>
      </c>
      <c r="C7">
        <v>0.88892675390766995</v>
      </c>
      <c r="D7">
        <v>0.82565217391304302</v>
      </c>
      <c r="N7" t="str">
        <f>VLOOKUP(A7,Tabla1[[#All],[EMISORA]:[Columna1]],2,FALSE)</f>
        <v>Computers, Office Equipment</v>
      </c>
    </row>
    <row r="8" spans="1:14" x14ac:dyDescent="0.3">
      <c r="A8" s="2" t="s">
        <v>148</v>
      </c>
      <c r="G8">
        <v>0.27065085631541502</v>
      </c>
      <c r="N8" t="str">
        <f>VLOOKUP(A8,Tabla1[[#All],[EMISORA]:[Columna1]],2,FALSE)</f>
        <v>Telecommunications</v>
      </c>
    </row>
    <row r="9" spans="1:14" x14ac:dyDescent="0.3">
      <c r="A9" s="2" t="s">
        <v>178</v>
      </c>
      <c r="B9">
        <v>0.27065085631541502</v>
      </c>
      <c r="N9" t="str">
        <f>VLOOKUP(A9,Tabla1[[#All],[EMISORA]:[Columna1]],2,FALSE)</f>
        <v>Telecommunications</v>
      </c>
    </row>
    <row r="10" spans="1:14" x14ac:dyDescent="0.3">
      <c r="A10" s="2" t="s">
        <v>290</v>
      </c>
      <c r="F10">
        <v>0.75067260870954999</v>
      </c>
      <c r="G10">
        <v>0.70968952357905102</v>
      </c>
      <c r="H10">
        <v>0.74369798842656398</v>
      </c>
      <c r="I10">
        <v>0.74369798842656398</v>
      </c>
      <c r="J10">
        <v>0.74369798842656398</v>
      </c>
      <c r="K10">
        <v>0.58003946513708604</v>
      </c>
      <c r="L10">
        <v>0.60180899046465897</v>
      </c>
      <c r="M10">
        <v>0.51440787041886504</v>
      </c>
      <c r="N10" t="str">
        <f>VLOOKUP(A10,Tabla1[[#All],[EMISORA]:[Columna1]],2,FALSE)</f>
        <v>Telecommunications</v>
      </c>
    </row>
    <row r="11" spans="1:14" x14ac:dyDescent="0.3">
      <c r="A11" s="2" t="s">
        <v>235</v>
      </c>
      <c r="B11">
        <v>0.70968952357905102</v>
      </c>
      <c r="C11">
        <v>0.76210987066506797</v>
      </c>
      <c r="D11">
        <v>0.78611250865127003</v>
      </c>
      <c r="N11" t="str">
        <f>VLOOKUP(A11,Tabla1[[#All],[EMISORA]:[Columna1]],2,FALSE)</f>
        <v>Telecommunications</v>
      </c>
    </row>
    <row r="12" spans="1:14" x14ac:dyDescent="0.3">
      <c r="A12" s="2" t="s">
        <v>65</v>
      </c>
      <c r="F12">
        <v>1.6350773180123499</v>
      </c>
      <c r="G12">
        <v>1.6305004676146899</v>
      </c>
      <c r="H12">
        <v>1.4318466873247799</v>
      </c>
      <c r="I12">
        <v>1.4318466873247799</v>
      </c>
      <c r="J12">
        <v>1.4318466873247799</v>
      </c>
      <c r="K12">
        <v>1.20196142530239</v>
      </c>
      <c r="L12">
        <v>1.11716351721203</v>
      </c>
      <c r="M12">
        <v>1.11089425622737</v>
      </c>
      <c r="N12" t="str">
        <f>VLOOKUP(A12,Tabla1[[#All],[EMISORA]:[Columna1]],2,FALSE)</f>
        <v>Internet Services and Retailing</v>
      </c>
    </row>
    <row r="13" spans="1:14" x14ac:dyDescent="0.3">
      <c r="A13" s="2" t="s">
        <v>67</v>
      </c>
      <c r="B13">
        <v>1.6305004676146899</v>
      </c>
      <c r="C13">
        <v>1.8766088158501</v>
      </c>
      <c r="D13">
        <v>1.85393062576259</v>
      </c>
      <c r="N13" t="str">
        <f>VLOOKUP(A13,Tabla1[[#All],[EMISORA]:[Columna1]],2,FALSE)</f>
        <v>Internet Services and Retailing</v>
      </c>
    </row>
    <row r="14" spans="1:14" x14ac:dyDescent="0.3">
      <c r="A14" s="2" t="s">
        <v>272</v>
      </c>
      <c r="G14">
        <v>0.31979618811396499</v>
      </c>
      <c r="H14">
        <v>0.39097488862056601</v>
      </c>
      <c r="I14">
        <v>0.39097488862056601</v>
      </c>
      <c r="J14">
        <v>0.39097488862056601</v>
      </c>
      <c r="K14">
        <v>0.41036764030379402</v>
      </c>
      <c r="L14">
        <v>0.49701738794594802</v>
      </c>
      <c r="M14">
        <v>0.49679154440714102</v>
      </c>
      <c r="N14" t="str">
        <f>VLOOKUP(A14,Tabla1[[#All],[EMISORA]:[Columna1]],2,FALSE)</f>
        <v>Internet Services and Retailing</v>
      </c>
    </row>
    <row r="15" spans="1:14" x14ac:dyDescent="0.3">
      <c r="A15" s="2" t="s">
        <v>281</v>
      </c>
      <c r="B15">
        <v>0.31979618811396499</v>
      </c>
      <c r="N15" t="str">
        <f>VLOOKUP(A15,Tabla1[[#All],[EMISORA]:[Columna1]],2,FALSE)</f>
        <v>Internet Services and Retailing</v>
      </c>
    </row>
    <row r="16" spans="1:14" x14ac:dyDescent="0.3">
      <c r="A16" s="2" t="s">
        <v>261</v>
      </c>
      <c r="F16">
        <v>0.46839920338382202</v>
      </c>
      <c r="G16">
        <v>0.59151318819895904</v>
      </c>
      <c r="H16">
        <v>0.50981133514751398</v>
      </c>
      <c r="I16">
        <v>0.50981133514751398</v>
      </c>
      <c r="J16">
        <v>0.50981133514751398</v>
      </c>
      <c r="N16" t="str">
        <f>VLOOKUP(A16,Tabla1[[#All],[EMISORA]:[Columna1]],2,FALSE)</f>
        <v>Telecommunications</v>
      </c>
    </row>
    <row r="17" spans="1:14" x14ac:dyDescent="0.3">
      <c r="A17" s="2" t="s">
        <v>220</v>
      </c>
      <c r="B17">
        <v>0.59151318819895904</v>
      </c>
      <c r="C17">
        <v>0.77160739490804098</v>
      </c>
      <c r="D17">
        <v>0.69998433829287399</v>
      </c>
      <c r="N17" t="str">
        <f>VLOOKUP(A17,Tabla1[[#All],[EMISORA]:[Columna1]],2,FALSE)</f>
        <v>Telecommunications</v>
      </c>
    </row>
    <row r="18" spans="1:14" x14ac:dyDescent="0.3">
      <c r="A18" s="2" t="s">
        <v>259</v>
      </c>
      <c r="K18">
        <v>0.39708506247719799</v>
      </c>
      <c r="N18" t="str">
        <f>VLOOKUP(A18,Tabla1[[#All],[EMISORA]:[Columna1]],2,FALSE)</f>
        <v>Telecommunications</v>
      </c>
    </row>
    <row r="19" spans="1:14" x14ac:dyDescent="0.3">
      <c r="A19" s="2" t="s">
        <v>196</v>
      </c>
      <c r="F19">
        <v>0.85300253720234098</v>
      </c>
      <c r="G19">
        <v>0.70970128590946402</v>
      </c>
      <c r="H19">
        <v>0.80149969549330102</v>
      </c>
      <c r="I19">
        <v>0.80149969549330102</v>
      </c>
      <c r="J19">
        <v>0.80149969549330102</v>
      </c>
      <c r="K19">
        <v>0.66049512197298998</v>
      </c>
      <c r="L19">
        <v>0.77559408123997298</v>
      </c>
      <c r="N19" t="str">
        <f>VLOOKUP(A19,Tabla1[[#All],[EMISORA]:[Columna1]],2,FALSE)</f>
        <v>Computers, Office Equipment</v>
      </c>
    </row>
    <row r="20" spans="1:14" x14ac:dyDescent="0.3">
      <c r="A20" s="2" t="s">
        <v>203</v>
      </c>
      <c r="B20">
        <v>0.70970128590946402</v>
      </c>
      <c r="C20">
        <v>0.95304973467264598</v>
      </c>
      <c r="D20">
        <v>0.94736477080763504</v>
      </c>
      <c r="N20" t="str">
        <f>VLOOKUP(A20,Tabla1[[#All],[EMISORA]:[Columna1]],2,FALSE)</f>
        <v>Computers, Office Equipment</v>
      </c>
    </row>
    <row r="21" spans="1:14" x14ac:dyDescent="0.3">
      <c r="A21" s="2" t="s">
        <v>45</v>
      </c>
      <c r="G21">
        <v>0.19456351841789299</v>
      </c>
      <c r="H21">
        <v>0.29859713953329198</v>
      </c>
      <c r="I21">
        <v>0.29859713953329198</v>
      </c>
      <c r="J21">
        <v>0.29859713953329198</v>
      </c>
      <c r="K21">
        <v>0.33352981151963201</v>
      </c>
      <c r="L21">
        <v>0.36270360935076601</v>
      </c>
      <c r="M21">
        <v>0.37379517447049898</v>
      </c>
      <c r="N21" t="str">
        <f>VLOOKUP(A21,Tabla1[[#All],[EMISORA]:[Columna1]],2,FALSE)</f>
        <v>Telecommunications</v>
      </c>
    </row>
    <row r="22" spans="1:14" x14ac:dyDescent="0.3">
      <c r="A22" s="2" t="s">
        <v>122</v>
      </c>
      <c r="B22">
        <v>0.19456351841789299</v>
      </c>
      <c r="N22" t="str">
        <f>VLOOKUP(A22,Tabla1[[#All],[EMISORA]:[Columna1]],2,FALSE)</f>
        <v>Telecommunications</v>
      </c>
    </row>
    <row r="23" spans="1:14" x14ac:dyDescent="0.3">
      <c r="A23" s="2" t="s">
        <v>69</v>
      </c>
      <c r="C23">
        <v>0.37927878233144002</v>
      </c>
      <c r="N23" t="str">
        <f>VLOOKUP(A23,Tabla1[[#All],[EMISORA]:[Columna1]],2,FALSE)</f>
        <v>Telecommunications</v>
      </c>
    </row>
    <row r="24" spans="1:14" x14ac:dyDescent="0.3">
      <c r="A24" s="2" t="s">
        <v>93</v>
      </c>
      <c r="F24">
        <v>0.44730870363922298</v>
      </c>
      <c r="G24">
        <v>0.44544598337950098</v>
      </c>
      <c r="H24">
        <v>0.37549864115319198</v>
      </c>
      <c r="I24">
        <v>0.37549864115319198</v>
      </c>
      <c r="J24">
        <v>0.37549864115319198</v>
      </c>
      <c r="K24">
        <v>0.37815159802679399</v>
      </c>
      <c r="L24">
        <v>0.42182997770971897</v>
      </c>
      <c r="M24">
        <v>0.47197356913808203</v>
      </c>
      <c r="N24" t="str">
        <f>VLOOKUP(A24,Tabla1[[#All],[EMISORA]:[Columna1]],2,FALSE)</f>
        <v>Telecommunications</v>
      </c>
    </row>
    <row r="25" spans="1:14" x14ac:dyDescent="0.3">
      <c r="A25" s="2" t="s">
        <v>110</v>
      </c>
      <c r="B25">
        <v>0.44544598337950098</v>
      </c>
      <c r="D25">
        <v>0.40712662061670002</v>
      </c>
      <c r="N25" t="str">
        <f>VLOOKUP(A25,Tabla1[[#All],[EMISORA]:[Columna1]],2,FALSE)</f>
        <v>Telecommunications</v>
      </c>
    </row>
    <row r="26" spans="1:14" x14ac:dyDescent="0.3">
      <c r="A26" s="2" t="s">
        <v>56</v>
      </c>
      <c r="M26">
        <v>0.31717063399730899</v>
      </c>
      <c r="N26" t="str">
        <f>VLOOKUP(A26,Tabla1[[#All],[EMISORA]:[Columna1]],2,FALSE)</f>
        <v>Computer Software</v>
      </c>
    </row>
    <row r="27" spans="1:14" x14ac:dyDescent="0.3">
      <c r="A27" s="2" t="s">
        <v>31</v>
      </c>
      <c r="H27">
        <v>0.81041852978000395</v>
      </c>
      <c r="I27">
        <v>0.81041852978000395</v>
      </c>
      <c r="J27">
        <v>0.81041852978000395</v>
      </c>
      <c r="K27">
        <v>0.76347283555483503</v>
      </c>
      <c r="L27">
        <v>1.1537714994338699</v>
      </c>
      <c r="M27">
        <v>1.1416120788742501</v>
      </c>
      <c r="N27" t="str">
        <f>VLOOKUP(A27,Tabla1[[#All],[EMISORA]:[Columna1]],2,FALSE)</f>
        <v>Computers, Office Equipment</v>
      </c>
    </row>
    <row r="28" spans="1:14" x14ac:dyDescent="0.3">
      <c r="A28" s="2" t="s">
        <v>114</v>
      </c>
      <c r="C28">
        <v>1.19772822885991</v>
      </c>
      <c r="N28" t="str">
        <f>VLOOKUP(A28,Tabla1[[#All],[EMISORA]:[Columna1]],2,FALSE)</f>
        <v>Computers, Office Equipment</v>
      </c>
    </row>
    <row r="29" spans="1:14" x14ac:dyDescent="0.3">
      <c r="A29" s="2" t="s">
        <v>256</v>
      </c>
      <c r="F29">
        <v>0.49123657692039502</v>
      </c>
      <c r="G29">
        <v>0.51617818255429404</v>
      </c>
      <c r="H29">
        <v>0.53734271525171595</v>
      </c>
      <c r="I29">
        <v>0.53734271525171595</v>
      </c>
      <c r="J29">
        <v>0.53734271525171595</v>
      </c>
      <c r="K29">
        <v>0.35497002825986201</v>
      </c>
      <c r="L29">
        <v>0.40170775481957299</v>
      </c>
      <c r="M29">
        <v>0.37699120044068402</v>
      </c>
      <c r="N29" t="str">
        <f>VLOOKUP(A29,Tabla1[[#All],[EMISORA]:[Columna1]],2,FALSE)</f>
        <v>Telecommunications</v>
      </c>
    </row>
    <row r="30" spans="1:14" x14ac:dyDescent="0.3">
      <c r="A30" s="2" t="s">
        <v>164</v>
      </c>
      <c r="B30">
        <v>0.51617818255429404</v>
      </c>
      <c r="C30">
        <v>0.525371233636308</v>
      </c>
      <c r="D30">
        <v>0.49039741547557097</v>
      </c>
      <c r="N30" t="str">
        <f>VLOOKUP(A30,Tabla1[[#All],[EMISORA]:[Columna1]],2,FALSE)</f>
        <v>Telecommunications</v>
      </c>
    </row>
    <row r="31" spans="1:14" x14ac:dyDescent="0.3">
      <c r="A31" s="2" t="s">
        <v>51</v>
      </c>
      <c r="C31">
        <v>1.44684991486256</v>
      </c>
      <c r="D31">
        <v>1.4496233736589801</v>
      </c>
      <c r="N31" t="str">
        <f>VLOOKUP(A31,Tabla1[[#All],[EMISORA]:[Columna1]],2,FALSE)</f>
        <v>Telecommunications</v>
      </c>
    </row>
    <row r="32" spans="1:14" x14ac:dyDescent="0.3">
      <c r="A32" s="2" t="s">
        <v>106</v>
      </c>
      <c r="F32">
        <v>0.52999227666695303</v>
      </c>
      <c r="N32" t="str">
        <f>VLOOKUP(A32,Tabla1[[#All],[EMISORA]:[Columna1]],2,FALSE)</f>
        <v>Computers, Office Equipment</v>
      </c>
    </row>
    <row r="33" spans="1:14" x14ac:dyDescent="0.3">
      <c r="A33" s="2" t="s">
        <v>104</v>
      </c>
      <c r="F33">
        <v>1.00977906555596</v>
      </c>
      <c r="N33" t="str">
        <f>VLOOKUP(A33,Tabla1[[#All],[EMISORA]:[Columna1]],2,FALSE)</f>
        <v>Electronics, Electrical Equip.</v>
      </c>
    </row>
    <row r="34" spans="1:14" x14ac:dyDescent="0.3">
      <c r="A34" s="2" t="s">
        <v>108</v>
      </c>
      <c r="C34">
        <v>1.0289277017381799</v>
      </c>
      <c r="D34">
        <v>0.99830035206992795</v>
      </c>
      <c r="N34" t="str">
        <f>VLOOKUP(A34,Tabla1[[#All],[EMISORA]:[Columna1]],2,FALSE)</f>
        <v>Electronics, Electrical Equip.</v>
      </c>
    </row>
    <row r="35" spans="1:14" x14ac:dyDescent="0.3">
      <c r="A35" s="2" t="s">
        <v>41</v>
      </c>
      <c r="G35">
        <v>0.42545527316389797</v>
      </c>
      <c r="H35">
        <v>0.57367415291676105</v>
      </c>
      <c r="I35">
        <v>0.57367415291676105</v>
      </c>
      <c r="J35">
        <v>0.57367415291676105</v>
      </c>
      <c r="K35">
        <v>0.53958798865148505</v>
      </c>
      <c r="N35" t="str">
        <f>VLOOKUP(A35,Tabla1[[#All],[EMISORA]:[Columna1]],2,FALSE)</f>
        <v>Internet Services and Retailing</v>
      </c>
    </row>
    <row r="36" spans="1:14" x14ac:dyDescent="0.3">
      <c r="A36" s="2" t="s">
        <v>53</v>
      </c>
      <c r="B36">
        <v>0.42545527316389797</v>
      </c>
      <c r="N36" t="str">
        <f>VLOOKUP(A36,Tabla1[[#All],[EMISORA]:[Columna1]],2,FALSE)</f>
        <v>Internet Services and Retailing</v>
      </c>
    </row>
    <row r="37" spans="1:14" x14ac:dyDescent="0.3">
      <c r="A37" s="2" t="s">
        <v>158</v>
      </c>
      <c r="C37">
        <v>1.6267283663258001</v>
      </c>
      <c r="D37">
        <v>1.58953559522655</v>
      </c>
      <c r="N37" t="str">
        <f>VLOOKUP(A37,Tabla1[[#All],[EMISORA]:[Columna1]],2,FALSE)</f>
        <v>Computers, Office Equipment</v>
      </c>
    </row>
    <row r="38" spans="1:14" x14ac:dyDescent="0.3">
      <c r="A38" s="2" t="s">
        <v>294</v>
      </c>
      <c r="K38">
        <v>1.52336448598131</v>
      </c>
      <c r="N38" t="str">
        <f>VLOOKUP(A38,Tabla1[[#All],[EMISORA]:[Columna1]],2,FALSE)</f>
        <v>Electronics, Electrical Equip.</v>
      </c>
    </row>
    <row r="39" spans="1:14" x14ac:dyDescent="0.3">
      <c r="A39" s="2" t="s">
        <v>232</v>
      </c>
      <c r="C39">
        <v>0.47147412226122898</v>
      </c>
      <c r="N39" t="str">
        <f>VLOOKUP(A39,Tabla1[[#All],[EMISORA]:[Columna1]],2,FALSE)</f>
        <v>Telecommunications</v>
      </c>
    </row>
    <row r="40" spans="1:14" x14ac:dyDescent="0.3">
      <c r="A40" s="2" t="s">
        <v>48</v>
      </c>
      <c r="C40">
        <v>0.55654704791146903</v>
      </c>
      <c r="D40">
        <v>0.54660115398485398</v>
      </c>
      <c r="N40" t="str">
        <f>VLOOKUP(A40,Tabla1[[#All],[EMISORA]:[Columna1]],2,FALSE)</f>
        <v>Internet Services and Retailing</v>
      </c>
    </row>
    <row r="41" spans="1:14" x14ac:dyDescent="0.3">
      <c r="A41" s="2" t="s">
        <v>78</v>
      </c>
      <c r="F41">
        <v>0.50853445995890401</v>
      </c>
      <c r="G41">
        <v>0.53894696621432003</v>
      </c>
      <c r="H41">
        <v>0.58773067803017298</v>
      </c>
      <c r="I41">
        <v>0.58773067803017298</v>
      </c>
      <c r="J41">
        <v>0.58773067803017298</v>
      </c>
      <c r="K41">
        <v>0.57108217360833002</v>
      </c>
      <c r="L41">
        <v>0.71711647015598401</v>
      </c>
      <c r="M41">
        <v>0.77433308511104304</v>
      </c>
      <c r="N41" t="str">
        <f>VLOOKUP(A41,Tabla1[[#All],[EMISORA]:[Columna1]],2,FALSE)</f>
        <v>Internet Services and Retailing</v>
      </c>
    </row>
    <row r="42" spans="1:14" x14ac:dyDescent="0.3">
      <c r="A42" s="2" t="s">
        <v>88</v>
      </c>
      <c r="B42">
        <v>0.53894696621432003</v>
      </c>
      <c r="N42" t="str">
        <f>VLOOKUP(A42,Tabla1[[#All],[EMISORA]:[Columna1]],2,FALSE)</f>
        <v>Internet Services and Retailing</v>
      </c>
    </row>
    <row r="43" spans="1:14" x14ac:dyDescent="0.3">
      <c r="A43" s="2" t="s">
        <v>291</v>
      </c>
      <c r="F43">
        <v>2.0090870030389598</v>
      </c>
      <c r="G43">
        <v>1.6799584264717899</v>
      </c>
      <c r="H43">
        <v>1.59633097573103</v>
      </c>
      <c r="I43">
        <v>1.59633097573103</v>
      </c>
      <c r="J43">
        <v>1.59633097573103</v>
      </c>
      <c r="K43">
        <v>1.3905351039698699</v>
      </c>
      <c r="L43">
        <v>1.5216525398192799</v>
      </c>
      <c r="M43">
        <v>1.6530909382644301</v>
      </c>
      <c r="N43" t="str">
        <f>VLOOKUP(A43,Tabla1[[#All],[EMISORA]:[Columna1]],2,FALSE)</f>
        <v>Electronics, Electrical Equip.</v>
      </c>
    </row>
    <row r="44" spans="1:14" x14ac:dyDescent="0.3">
      <c r="A44" s="2" t="s">
        <v>244</v>
      </c>
      <c r="B44">
        <v>1.6799584264717899</v>
      </c>
      <c r="C44">
        <v>1.8759637181767099</v>
      </c>
      <c r="D44">
        <v>1.7160145568135801</v>
      </c>
      <c r="N44" t="str">
        <f>VLOOKUP(A44,Tabla1[[#All],[EMISORA]:[Columna1]],2,FALSE)</f>
        <v>Electronics, Electrical Equip.</v>
      </c>
    </row>
    <row r="45" spans="1:14" x14ac:dyDescent="0.3">
      <c r="A45" s="2" t="s">
        <v>91</v>
      </c>
      <c r="F45">
        <v>0.78232216724795201</v>
      </c>
      <c r="G45">
        <v>0.72585232519484399</v>
      </c>
      <c r="H45">
        <v>0.72355598636041096</v>
      </c>
      <c r="I45">
        <v>0.72355598636041096</v>
      </c>
      <c r="J45">
        <v>0.72355598636041096</v>
      </c>
      <c r="K45">
        <v>0.50532623169107904</v>
      </c>
      <c r="L45">
        <v>0.53345742205677105</v>
      </c>
      <c r="M45">
        <v>0.56950622240064197</v>
      </c>
      <c r="N45" t="str">
        <f>VLOOKUP(A45,Tabla1[[#All],[EMISORA]:[Columna1]],2,FALSE)</f>
        <v>Electronics, Electrical Equip.</v>
      </c>
    </row>
    <row r="46" spans="1:14" x14ac:dyDescent="0.3">
      <c r="A46" s="2" t="s">
        <v>109</v>
      </c>
      <c r="B46">
        <v>0.72585232519484399</v>
      </c>
      <c r="D46">
        <v>0.85957961923627202</v>
      </c>
      <c r="N46" t="str">
        <f>VLOOKUP(A46,Tabla1[[#All],[EMISORA]:[Columna1]],2,FALSE)</f>
        <v>Electronics, Electrical Equip.</v>
      </c>
    </row>
    <row r="47" spans="1:14" x14ac:dyDescent="0.3">
      <c r="A47" s="2" t="s">
        <v>38</v>
      </c>
      <c r="H47">
        <v>0.55596201322689398</v>
      </c>
      <c r="I47">
        <v>0.55596201322689398</v>
      </c>
      <c r="J47">
        <v>0.55596201322689398</v>
      </c>
      <c r="K47">
        <v>0.49952790891419102</v>
      </c>
      <c r="N47" t="str">
        <f>VLOOKUP(A47,Tabla1[[#All],[EMISORA]:[Columna1]],2,FALSE)</f>
        <v>Computers, Office Equipment</v>
      </c>
    </row>
    <row r="48" spans="1:14" x14ac:dyDescent="0.3">
      <c r="A48" s="2" t="s">
        <v>59</v>
      </c>
      <c r="F48">
        <v>0.96700099174790899</v>
      </c>
      <c r="G48">
        <v>1.6628059289899999</v>
      </c>
      <c r="H48">
        <v>1.6888683496043</v>
      </c>
      <c r="I48">
        <v>1.6888683496043</v>
      </c>
      <c r="J48">
        <v>1.6888683496043</v>
      </c>
      <c r="K48">
        <v>1.6331420662610701</v>
      </c>
      <c r="L48">
        <v>1.6443149443149401</v>
      </c>
      <c r="M48">
        <v>1.6322336538212401</v>
      </c>
      <c r="N48" t="str">
        <f>VLOOKUP(A48,Tabla1[[#All],[EMISORA]:[Columna1]],2,FALSE)</f>
        <v>Computers, Office Equipment</v>
      </c>
    </row>
    <row r="49" spans="1:14" x14ac:dyDescent="0.3">
      <c r="A49" s="2" t="s">
        <v>72</v>
      </c>
      <c r="B49">
        <v>1.6628059289899999</v>
      </c>
      <c r="C49">
        <v>1.1065478817299199</v>
      </c>
      <c r="D49">
        <v>1.06266323479314</v>
      </c>
      <c r="N49" t="str">
        <f>VLOOKUP(A49,Tabla1[[#All],[EMISORA]:[Columna1]],2,FALSE)</f>
        <v>Computers, Office Equipment</v>
      </c>
    </row>
    <row r="50" spans="1:14" x14ac:dyDescent="0.3">
      <c r="A50" s="2" t="s">
        <v>275</v>
      </c>
      <c r="K50">
        <v>0.97477671054952497</v>
      </c>
      <c r="N50" t="str">
        <f>VLOOKUP(A50,Tabla1[[#All],[EMISORA]:[Columna1]],2,FALSE)</f>
        <v>Electronics, Electrical Equip.</v>
      </c>
    </row>
    <row r="51" spans="1:14" x14ac:dyDescent="0.3">
      <c r="A51" s="2" t="s">
        <v>265</v>
      </c>
      <c r="L51">
        <v>1.0304928098427599</v>
      </c>
      <c r="M51">
        <v>1.0586888304639099</v>
      </c>
      <c r="N51" t="str">
        <f>VLOOKUP(A51,Tabla1[[#All],[EMISORA]:[Columna1]],2,FALSE)</f>
        <v>Electronics, Electrical Equip.</v>
      </c>
    </row>
    <row r="52" spans="1:14" x14ac:dyDescent="0.3">
      <c r="A52" s="2" t="s">
        <v>189</v>
      </c>
      <c r="F52">
        <v>0.74839546719482497</v>
      </c>
      <c r="G52">
        <v>0.97482762079225804</v>
      </c>
      <c r="H52">
        <v>0.98302115199569595</v>
      </c>
      <c r="I52">
        <v>0.98302115199569595</v>
      </c>
      <c r="J52">
        <v>0.98302115199569595</v>
      </c>
      <c r="K52">
        <v>0.76836427053794598</v>
      </c>
      <c r="L52">
        <v>0.79883236642502697</v>
      </c>
      <c r="M52">
        <v>0.853566108195291</v>
      </c>
      <c r="N52" t="str">
        <f>VLOOKUP(A52,Tabla1[[#All],[EMISORA]:[Columna1]],2,FALSE)</f>
        <v>Electronics, Electrical Equip.</v>
      </c>
    </row>
    <row r="53" spans="1:14" x14ac:dyDescent="0.3">
      <c r="A53" s="2" t="s">
        <v>209</v>
      </c>
      <c r="B53">
        <v>0.97482762079225804</v>
      </c>
      <c r="C53">
        <v>1.0433238942632499</v>
      </c>
      <c r="D53">
        <v>0.89715808934176</v>
      </c>
      <c r="N53" t="str">
        <f>VLOOKUP(A53,Tabla1[[#All],[EMISORA]:[Columna1]],2,FALSE)</f>
        <v>Electronics, Electrical Equip.</v>
      </c>
    </row>
    <row r="54" spans="1:14" x14ac:dyDescent="0.3">
      <c r="A54" s="2" t="s">
        <v>130</v>
      </c>
      <c r="F54">
        <v>2.1994830504597598</v>
      </c>
      <c r="G54">
        <v>1.6967240109199599</v>
      </c>
      <c r="H54">
        <v>2.2927011803631698</v>
      </c>
      <c r="I54">
        <v>2.2927011803631698</v>
      </c>
      <c r="J54">
        <v>2.2927011803631698</v>
      </c>
      <c r="K54">
        <v>1.6701123637172699</v>
      </c>
      <c r="L54">
        <v>1.8873883440245001</v>
      </c>
      <c r="M54">
        <v>1.8021751246479001</v>
      </c>
      <c r="N54" t="str">
        <f>VLOOKUP(A54,Tabla1[[#All],[EMISORA]:[Columna1]],2,FALSE)</f>
        <v>Internet Services and Retailing</v>
      </c>
    </row>
    <row r="55" spans="1:14" x14ac:dyDescent="0.3">
      <c r="A55" s="2" t="s">
        <v>179</v>
      </c>
      <c r="B55">
        <v>1.6967240109199599</v>
      </c>
      <c r="N55" t="str">
        <f>VLOOKUP(A55,Tabla1[[#All],[EMISORA]:[Columna1]],2,FALSE)</f>
        <v>Internet Services and Retailing</v>
      </c>
    </row>
    <row r="56" spans="1:14" x14ac:dyDescent="0.3">
      <c r="A56" s="2" t="s">
        <v>186</v>
      </c>
      <c r="F56">
        <v>0.71991926479097301</v>
      </c>
      <c r="G56">
        <v>0.77942201795699995</v>
      </c>
      <c r="H56">
        <v>0.69177359379316905</v>
      </c>
      <c r="I56">
        <v>0.69177359379316905</v>
      </c>
      <c r="J56">
        <v>0.69177359379316905</v>
      </c>
      <c r="K56">
        <v>0.52610803927517502</v>
      </c>
      <c r="L56">
        <v>0.53108039576284505</v>
      </c>
      <c r="M56">
        <v>0.46671211012464697</v>
      </c>
      <c r="N56" t="str">
        <f>VLOOKUP(A56,Tabla1[[#All],[EMISORA]:[Columna1]],2,FALSE)</f>
        <v>Telecommunications</v>
      </c>
    </row>
    <row r="57" spans="1:14" x14ac:dyDescent="0.3">
      <c r="A57" s="2" t="s">
        <v>205</v>
      </c>
      <c r="B57">
        <v>0.77942201795699995</v>
      </c>
      <c r="C57">
        <v>1.0148352179375699</v>
      </c>
      <c r="D57">
        <v>0.90062667860340195</v>
      </c>
      <c r="N57" t="str">
        <f>VLOOKUP(A57,Tabla1[[#All],[EMISORA]:[Columna1]],2,FALSE)</f>
        <v>Telecommunications</v>
      </c>
    </row>
    <row r="58" spans="1:14" x14ac:dyDescent="0.3">
      <c r="A58" s="2" t="s">
        <v>100</v>
      </c>
      <c r="L58">
        <v>1.26041544063208</v>
      </c>
      <c r="N58" t="str">
        <f>VLOOKUP(A58,Tabla1[[#All],[EMISORA]:[Columna1]],2,FALSE)</f>
        <v>Automotive Retailing, Services</v>
      </c>
    </row>
    <row r="59" spans="1:14" x14ac:dyDescent="0.3">
      <c r="A59" s="2" t="s">
        <v>142</v>
      </c>
      <c r="F59">
        <v>1.8012826168914</v>
      </c>
      <c r="G59">
        <v>1.5829728536746901</v>
      </c>
      <c r="H59">
        <v>1.7019157343648399</v>
      </c>
      <c r="I59">
        <v>1.7019157343648399</v>
      </c>
      <c r="J59">
        <v>1.7019157343648399</v>
      </c>
      <c r="K59">
        <v>1.59887709064874</v>
      </c>
      <c r="L59">
        <v>1.6090217117797201</v>
      </c>
      <c r="M59">
        <v>1.59164287861542</v>
      </c>
      <c r="N59" t="str">
        <f>VLOOKUP(A59,Tabla1[[#All],[EMISORA]:[Columna1]],2,FALSE)</f>
        <v>Computers, Office Equipment</v>
      </c>
    </row>
    <row r="60" spans="1:14" x14ac:dyDescent="0.3">
      <c r="A60" s="2" t="s">
        <v>180</v>
      </c>
      <c r="B60">
        <v>1.5829728536746901</v>
      </c>
      <c r="C60">
        <v>2.0064802748489501</v>
      </c>
      <c r="D60">
        <v>2.1085628993686401</v>
      </c>
      <c r="N60" t="str">
        <f>VLOOKUP(A60,Tabla1[[#All],[EMISORA]:[Columna1]],2,FALSE)</f>
        <v>Computers, Office Equipment</v>
      </c>
    </row>
    <row r="61" spans="1:14" x14ac:dyDescent="0.3">
      <c r="A61" s="2" t="s">
        <v>296</v>
      </c>
      <c r="F61">
        <v>1.30330392701556</v>
      </c>
      <c r="G61">
        <v>1.10837895022906</v>
      </c>
      <c r="N61" t="str">
        <f>VLOOKUP(A61,Tabla1[[#All],[EMISORA]:[Columna1]],2,FALSE)</f>
        <v>Electronics, Electrical Equip.</v>
      </c>
    </row>
    <row r="62" spans="1:14" x14ac:dyDescent="0.3">
      <c r="A62" s="2" t="s">
        <v>170</v>
      </c>
      <c r="B62">
        <v>1.10837895022906</v>
      </c>
      <c r="C62">
        <v>1.14374069859056</v>
      </c>
      <c r="D62">
        <v>1.20013314349856</v>
      </c>
      <c r="N62" t="str">
        <f>VLOOKUP(A62,Tabla1[[#All],[EMISORA]:[Columna1]],2,FALSE)</f>
        <v>Electronics, Electrical Equip.</v>
      </c>
    </row>
    <row r="63" spans="1:14" x14ac:dyDescent="0.3">
      <c r="A63" s="2" t="s">
        <v>35</v>
      </c>
      <c r="L63">
        <v>0.71047130196943098</v>
      </c>
      <c r="M63">
        <v>0.62785163169598401</v>
      </c>
      <c r="N63" t="str">
        <f>VLOOKUP(A63,Tabla1[[#All],[EMISORA]:[Columna1]],2,FALSE)</f>
        <v>Internet Services and Retailing</v>
      </c>
    </row>
    <row r="64" spans="1:14" x14ac:dyDescent="0.3">
      <c r="A64" s="2" t="s">
        <v>183</v>
      </c>
      <c r="F64">
        <v>1.01320622583172</v>
      </c>
      <c r="G64">
        <v>1.0426260617868699</v>
      </c>
      <c r="H64">
        <v>1.0356661975194501</v>
      </c>
      <c r="I64">
        <v>1.0356661975194501</v>
      </c>
      <c r="J64">
        <v>1.0356661975194501</v>
      </c>
      <c r="K64">
        <v>0.91143547375797596</v>
      </c>
      <c r="L64">
        <v>0.94722393224963797</v>
      </c>
      <c r="M64">
        <v>0.87898754042229399</v>
      </c>
      <c r="N64" t="str">
        <f>VLOOKUP(A64,Tabla1[[#All],[EMISORA]:[Columna1]],2,FALSE)</f>
        <v>Electronics, Electrical Equip.</v>
      </c>
    </row>
    <row r="65" spans="1:14" x14ac:dyDescent="0.3">
      <c r="A65" s="2" t="s">
        <v>204</v>
      </c>
      <c r="B65">
        <v>1.0426260617868699</v>
      </c>
      <c r="C65">
        <v>1.1840026460130599</v>
      </c>
      <c r="D65">
        <v>1.1534074715853999</v>
      </c>
      <c r="N65" t="str">
        <f>VLOOKUP(A65,Tabla1[[#All],[EMISORA]:[Columna1]],2,FALSE)</f>
        <v>Electronics, Electrical Equip.</v>
      </c>
    </row>
    <row r="66" spans="1:14" x14ac:dyDescent="0.3">
      <c r="A66" s="2" t="s">
        <v>124</v>
      </c>
      <c r="M66">
        <v>0.92247731786584797</v>
      </c>
      <c r="N66" t="str">
        <f>VLOOKUP(A66,Tabla1[[#All],[EMISORA]:[Columna1]],2,FALSE)</f>
        <v>Internet Services and Retailing</v>
      </c>
    </row>
    <row r="67" spans="1:14" x14ac:dyDescent="0.3">
      <c r="A67" s="2" t="s">
        <v>96</v>
      </c>
      <c r="F67">
        <v>0.53103170414758605</v>
      </c>
      <c r="G67">
        <v>0.44048860573894899</v>
      </c>
      <c r="H67">
        <v>0.42635059957967603</v>
      </c>
      <c r="I67">
        <v>0.42635059957967603</v>
      </c>
      <c r="J67">
        <v>0.42635059957967603</v>
      </c>
      <c r="K67">
        <v>0.47464247903329099</v>
      </c>
      <c r="L67">
        <v>0.50359069923512301</v>
      </c>
      <c r="M67">
        <v>0.54344370134853603</v>
      </c>
      <c r="N67" t="str">
        <f>VLOOKUP(A67,Tabla1[[#All],[EMISORA]:[Columna1]],2,FALSE)</f>
        <v>Computer Software</v>
      </c>
    </row>
    <row r="68" spans="1:14" x14ac:dyDescent="0.3">
      <c r="A68" s="2" t="s">
        <v>111</v>
      </c>
      <c r="B68">
        <v>0.44048860573894899</v>
      </c>
      <c r="C68">
        <v>0.60791945312564399</v>
      </c>
      <c r="D68">
        <v>0.54657342853732704</v>
      </c>
      <c r="N68" t="str">
        <f>VLOOKUP(A68,Tabla1[[#All],[EMISORA]:[Columna1]],2,FALSE)</f>
        <v>Computer Software</v>
      </c>
    </row>
    <row r="69" spans="1:14" x14ac:dyDescent="0.3">
      <c r="A69" s="2" t="s">
        <v>202</v>
      </c>
      <c r="F69">
        <v>0.51357502202358396</v>
      </c>
      <c r="N69" t="str">
        <f>VLOOKUP(A69,Tabla1[[#All],[EMISORA]:[Columna1]],2,FALSE)</f>
        <v>Telecommunications</v>
      </c>
    </row>
    <row r="70" spans="1:14" x14ac:dyDescent="0.3">
      <c r="A70" s="2" t="s">
        <v>211</v>
      </c>
      <c r="C70">
        <v>0.61631667605693097</v>
      </c>
      <c r="D70">
        <v>0.55357906096794596</v>
      </c>
      <c r="N70" t="str">
        <f>VLOOKUP(A70,Tabla1[[#All],[EMISORA]:[Columna1]],2,FALSE)</f>
        <v>Telecommunications</v>
      </c>
    </row>
    <row r="71" spans="1:14" x14ac:dyDescent="0.3">
      <c r="A71" s="2" t="s">
        <v>193</v>
      </c>
      <c r="G71">
        <v>0.55115660182090997</v>
      </c>
      <c r="H71">
        <v>0.53186227669452502</v>
      </c>
      <c r="I71">
        <v>0.53186227669452502</v>
      </c>
      <c r="J71">
        <v>0.53186227669452502</v>
      </c>
      <c r="K71">
        <v>0.54261126944789295</v>
      </c>
      <c r="L71">
        <v>0.55059615574435306</v>
      </c>
      <c r="M71">
        <v>0.50900113707406902</v>
      </c>
      <c r="N71" t="str">
        <f>VLOOKUP(A71,Tabla1[[#All],[EMISORA]:[Columna1]],2,FALSE)</f>
        <v>Telecommunications</v>
      </c>
    </row>
    <row r="72" spans="1:14" x14ac:dyDescent="0.3">
      <c r="A72" s="2" t="s">
        <v>212</v>
      </c>
      <c r="B72">
        <v>0.55115660182090997</v>
      </c>
      <c r="N72" t="str">
        <f>VLOOKUP(A72,Tabla1[[#All],[EMISORA]:[Columna1]],2,FALSE)</f>
        <v>Telecommunications</v>
      </c>
    </row>
    <row r="73" spans="1:14" x14ac:dyDescent="0.3">
      <c r="A73" s="2" t="s">
        <v>252</v>
      </c>
      <c r="F73">
        <v>0.44960286453088899</v>
      </c>
      <c r="G73">
        <v>0.45321650605921299</v>
      </c>
      <c r="H73">
        <v>0.44234076991287502</v>
      </c>
      <c r="I73">
        <v>0.44234076991287502</v>
      </c>
      <c r="J73">
        <v>0.44234076991287502</v>
      </c>
      <c r="K73">
        <v>0.36531541917848098</v>
      </c>
      <c r="L73">
        <v>0.409151612958356</v>
      </c>
      <c r="M73">
        <v>0.39078913404321097</v>
      </c>
      <c r="N73" t="str">
        <f>VLOOKUP(A73,Tabla1[[#All],[EMISORA]:[Columna1]],2,FALSE)</f>
        <v>Telecommunications</v>
      </c>
    </row>
    <row r="74" spans="1:14" x14ac:dyDescent="0.3">
      <c r="A74" s="2" t="s">
        <v>253</v>
      </c>
      <c r="B74">
        <v>0.45321650605921299</v>
      </c>
      <c r="D74">
        <v>0.46004124785326</v>
      </c>
      <c r="N74" t="str">
        <f>VLOOKUP(A74,Tabla1[[#All],[EMISORA]:[Columna1]],2,FALSE)</f>
        <v>Telecommunications</v>
      </c>
    </row>
    <row r="75" spans="1:14" x14ac:dyDescent="0.3">
      <c r="A75" s="2" t="s">
        <v>84</v>
      </c>
      <c r="F75">
        <v>0.34467958486244699</v>
      </c>
      <c r="G75">
        <v>0.33024603316099099</v>
      </c>
      <c r="H75">
        <v>0.29017805105490202</v>
      </c>
      <c r="I75">
        <v>0.29017805105490202</v>
      </c>
      <c r="J75">
        <v>0.29017805105490202</v>
      </c>
      <c r="K75">
        <v>0.33843275178017601</v>
      </c>
      <c r="L75">
        <v>0.308747816668828</v>
      </c>
      <c r="M75">
        <v>0.388299770350513</v>
      </c>
      <c r="N75" t="str">
        <f>VLOOKUP(A75,Tabla1[[#All],[EMISORA]:[Columna1]],2,FALSE)</f>
        <v>Computer Software</v>
      </c>
    </row>
    <row r="76" spans="1:14" x14ac:dyDescent="0.3">
      <c r="A76" s="2" t="s">
        <v>86</v>
      </c>
      <c r="B76">
        <v>0.33024603316099099</v>
      </c>
      <c r="C76">
        <v>0.47392342359595002</v>
      </c>
      <c r="D76">
        <v>0.45445655894000903</v>
      </c>
      <c r="N76" t="str">
        <f>VLOOKUP(A76,Tabla1[[#All],[EMISORA]:[Columna1]],2,FALSE)</f>
        <v>Computer Software</v>
      </c>
    </row>
    <row r="77" spans="1:14" x14ac:dyDescent="0.3">
      <c r="A77" s="2" t="s">
        <v>161</v>
      </c>
      <c r="C77">
        <v>1.5315123599223299</v>
      </c>
      <c r="D77">
        <v>1.5254047797291099</v>
      </c>
      <c r="N77" t="str">
        <f>VLOOKUP(A77,Tabla1[[#All],[EMISORA]:[Columna1]],2,FALSE)</f>
        <v>Electronics, Electrical Equip.</v>
      </c>
    </row>
    <row r="78" spans="1:14" x14ac:dyDescent="0.3">
      <c r="A78" s="2" t="s">
        <v>284</v>
      </c>
      <c r="F78">
        <v>1.26336586746874</v>
      </c>
      <c r="G78">
        <v>1.26205071673041</v>
      </c>
      <c r="H78">
        <v>1.3282469438417699</v>
      </c>
      <c r="I78">
        <v>1.3282469438417699</v>
      </c>
      <c r="J78">
        <v>1.3282469438417699</v>
      </c>
      <c r="K78">
        <v>1.0207225513823699</v>
      </c>
      <c r="L78">
        <v>0.99527438955190695</v>
      </c>
      <c r="M78">
        <v>1.01953337308084</v>
      </c>
      <c r="N78" t="str">
        <f>VLOOKUP(A78,Tabla1[[#All],[EMISORA]:[Columna1]],2,FALSE)</f>
        <v>Electronics, Electrical Equip.</v>
      </c>
    </row>
    <row r="79" spans="1:14" x14ac:dyDescent="0.3">
      <c r="A79" s="2" t="s">
        <v>288</v>
      </c>
      <c r="B79">
        <v>1.26205071673041</v>
      </c>
      <c r="N79" t="str">
        <f>VLOOKUP(A79,Tabla1[[#All],[EMISORA]:[Columna1]],2,FALSE)</f>
        <v>Electronics, Electrical Equip.</v>
      </c>
    </row>
    <row r="80" spans="1:14" x14ac:dyDescent="0.3">
      <c r="A80" s="2" t="s">
        <v>306</v>
      </c>
      <c r="F80">
        <v>0.85267534721706195</v>
      </c>
      <c r="N80" t="str">
        <f>VLOOKUP(A80,Tabla1[[#All],[EMISORA]:[Columna1]],2,FALSE)</f>
        <v>Electronics, Electrical Equip.</v>
      </c>
    </row>
    <row r="81" spans="1:14" x14ac:dyDescent="0.3">
      <c r="A81" s="2" t="s">
        <v>173</v>
      </c>
      <c r="C81">
        <v>0.84992656247146603</v>
      </c>
      <c r="D81">
        <v>0.88677069384855001</v>
      </c>
      <c r="N81" t="str">
        <f>VLOOKUP(A81,Tabla1[[#All],[EMISORA]:[Columna1]],2,FALSE)</f>
        <v>Electronics, Electrical Equip.</v>
      </c>
    </row>
    <row r="82" spans="1:14" x14ac:dyDescent="0.3">
      <c r="A82" s="2" t="s">
        <v>226</v>
      </c>
      <c r="C82">
        <v>1.76042194222338</v>
      </c>
      <c r="D82">
        <v>1.58388910544274</v>
      </c>
      <c r="N82" t="str">
        <f>VLOOKUP(A82,Tabla1[[#All],[EMISORA]:[Columna1]],2,FALSE)</f>
        <v>Computers, Office Equipment</v>
      </c>
    </row>
    <row r="83" spans="1:14" x14ac:dyDescent="0.3">
      <c r="A83" s="2" t="s">
        <v>167</v>
      </c>
      <c r="C83">
        <v>0.92280738080258695</v>
      </c>
      <c r="N83" t="str">
        <f>VLOOKUP(A83,Tabla1[[#All],[EMISORA]:[Columna1]],2,FALSE)</f>
        <v>Computers, Office Equipment</v>
      </c>
    </row>
    <row r="84" spans="1:14" x14ac:dyDescent="0.3">
      <c r="A84" s="2" t="s">
        <v>120</v>
      </c>
      <c r="C84">
        <v>0.68537909637386096</v>
      </c>
      <c r="N84" t="str">
        <f>VLOOKUP(A84,Tabla1[[#All],[EMISORA]:[Columna1]],2,FALSE)</f>
        <v>Telecommunications</v>
      </c>
    </row>
    <row r="85" spans="1:14" x14ac:dyDescent="0.3">
      <c r="A85" s="2" t="s">
        <v>254</v>
      </c>
      <c r="F85">
        <v>0.51304111856007195</v>
      </c>
      <c r="G85">
        <v>0.52247097169338597</v>
      </c>
      <c r="H85">
        <v>0.49545486983087</v>
      </c>
      <c r="I85">
        <v>0.49545486983087</v>
      </c>
      <c r="J85">
        <v>0.49545486983087</v>
      </c>
      <c r="K85">
        <v>0.43531540847983502</v>
      </c>
      <c r="L85">
        <v>0.40680703714322403</v>
      </c>
      <c r="M85">
        <v>0.42170723059159398</v>
      </c>
      <c r="N85" t="str">
        <f>VLOOKUP(A85,Tabla1[[#All],[EMISORA]:[Columna1]],2,FALSE)</f>
        <v>Computer Software</v>
      </c>
    </row>
    <row r="86" spans="1:14" x14ac:dyDescent="0.3">
      <c r="A86" s="2" t="s">
        <v>258</v>
      </c>
      <c r="B86">
        <v>0.52247097169338597</v>
      </c>
      <c r="N86" t="str">
        <f>VLOOKUP(A86,Tabla1[[#All],[EMISORA]:[Columna1]],2,FALSE)</f>
        <v>Computer Software</v>
      </c>
    </row>
    <row r="87" spans="1:14" x14ac:dyDescent="0.3">
      <c r="A87" s="2" t="s">
        <v>249</v>
      </c>
      <c r="F87">
        <v>0.63898276864927706</v>
      </c>
      <c r="G87">
        <v>0.61867400135486295</v>
      </c>
      <c r="H87">
        <v>0.62841911308020404</v>
      </c>
      <c r="I87">
        <v>0.62841911308020404</v>
      </c>
      <c r="J87">
        <v>0.62841911308020404</v>
      </c>
      <c r="K87">
        <v>0.47340234922658497</v>
      </c>
      <c r="L87">
        <v>0.55103765081852796</v>
      </c>
      <c r="M87">
        <v>0.57716201526364597</v>
      </c>
      <c r="N87" t="str">
        <f>VLOOKUP(A87,Tabla1[[#All],[EMISORA]:[Columna1]],2,FALSE)</f>
        <v>Electronics, Electrical Equip.</v>
      </c>
    </row>
    <row r="88" spans="1:14" x14ac:dyDescent="0.3">
      <c r="A88" s="2" t="s">
        <v>223</v>
      </c>
      <c r="B88">
        <v>0.61867400135486295</v>
      </c>
      <c r="C88">
        <v>0.64568156640257801</v>
      </c>
      <c r="D88">
        <v>0.61350297574079604</v>
      </c>
      <c r="N88" t="str">
        <f>VLOOKUP(A88,Tabla1[[#All],[EMISORA]:[Columna1]],2,FALSE)</f>
        <v>Electronics, Electrical Equip.</v>
      </c>
    </row>
    <row r="89" spans="1:14" x14ac:dyDescent="0.3">
      <c r="A89" s="2" t="s">
        <v>127</v>
      </c>
      <c r="F89">
        <v>0.41500267284632397</v>
      </c>
      <c r="G89">
        <v>0.374886426900984</v>
      </c>
      <c r="H89">
        <v>0.26552566322626198</v>
      </c>
      <c r="I89">
        <v>0.26552566322626198</v>
      </c>
      <c r="J89">
        <v>0.26552566322626198</v>
      </c>
      <c r="K89">
        <v>0.135894264062802</v>
      </c>
      <c r="L89">
        <v>0.14142749235069499</v>
      </c>
      <c r="M89">
        <v>0.146653264679873</v>
      </c>
      <c r="N89" t="str">
        <f>VLOOKUP(A89,Tabla1[[#All],[EMISORA]:[Columna1]],2,FALSE)</f>
        <v>Telecommunications</v>
      </c>
    </row>
    <row r="90" spans="1:14" x14ac:dyDescent="0.3">
      <c r="A90" s="2" t="s">
        <v>207</v>
      </c>
      <c r="B90">
        <v>0.374886426900984</v>
      </c>
      <c r="D90">
        <v>0.410682712335108</v>
      </c>
      <c r="N90" t="str">
        <f>VLOOKUP(A90,Tabla1[[#All],[EMISORA]:[Columna1]],2,FALSE)</f>
        <v>Telecommunications</v>
      </c>
    </row>
    <row r="91" spans="1:14" x14ac:dyDescent="0.3">
      <c r="A91" s="2" t="s">
        <v>154</v>
      </c>
      <c r="C91">
        <v>1.34387353558275</v>
      </c>
      <c r="D91">
        <v>1.37906784660767</v>
      </c>
      <c r="N91" t="str">
        <f>VLOOKUP(A91,Tabla1[[#All],[EMISORA]:[Columna1]],2,FALSE)</f>
        <v>Electronics, Electrical Equip.</v>
      </c>
    </row>
    <row r="92" spans="1:14" x14ac:dyDescent="0.3">
      <c r="A92" s="2" t="s">
        <v>241</v>
      </c>
      <c r="C92">
        <v>0.78249622531376695</v>
      </c>
      <c r="D92">
        <v>0.76918003367391397</v>
      </c>
      <c r="N92" t="str">
        <f>VLOOKUP(A92,Tabla1[[#All],[EMISORA]:[Columna1]],2,FALSE)</f>
        <v>Electronics, Electrical Equip.</v>
      </c>
    </row>
    <row r="93" spans="1:14" x14ac:dyDescent="0.3">
      <c r="A93" s="2" t="s">
        <v>257</v>
      </c>
      <c r="F93">
        <v>0.65261914989767</v>
      </c>
      <c r="N93" t="str">
        <f>VLOOKUP(A93,Tabla1[[#All],[EMISORA]:[Columna1]],2,FALSE)</f>
        <v>Electronics, Electrical Equip.</v>
      </c>
    </row>
    <row r="94" spans="1:14" x14ac:dyDescent="0.3">
      <c r="A94" s="2" t="s">
        <v>214</v>
      </c>
      <c r="C94">
        <v>1.06416361865953</v>
      </c>
      <c r="D94">
        <v>1.03345652988759</v>
      </c>
      <c r="N94" t="str">
        <f>VLOOKUP(A94,Tabla1[[#All],[EMISORA]:[Columna1]],2,FALSE)</f>
        <v>Electronics, Electrical Equip.</v>
      </c>
    </row>
    <row r="95" spans="1:14" x14ac:dyDescent="0.3">
      <c r="A95" s="2" t="s">
        <v>151</v>
      </c>
      <c r="F95">
        <v>0.45508208742961698</v>
      </c>
      <c r="G95">
        <v>0.44266287993964099</v>
      </c>
      <c r="H95">
        <v>0.41225263981846799</v>
      </c>
      <c r="I95">
        <v>0.41225263981846799</v>
      </c>
      <c r="J95">
        <v>0.41225263981846799</v>
      </c>
      <c r="N95" t="str">
        <f>VLOOKUP(A95,Tabla1[[#All],[EMISORA]:[Columna1]],2,FALSE)</f>
        <v>Electronics, Electrical Equip.</v>
      </c>
    </row>
    <row r="96" spans="1:14" x14ac:dyDescent="0.3">
      <c r="A96" s="2" t="s">
        <v>177</v>
      </c>
      <c r="B96">
        <v>0.44266287993964099</v>
      </c>
      <c r="C96">
        <v>0.54189682050250498</v>
      </c>
      <c r="D96">
        <v>0.52064976882707903</v>
      </c>
      <c r="N96" t="str">
        <f>VLOOKUP(A96,Tabla1[[#All],[EMISORA]:[Columna1]],2,FALSE)</f>
        <v>Electronics, Electrical Equip.</v>
      </c>
    </row>
    <row r="97" spans="1:14" x14ac:dyDescent="0.3">
      <c r="A97" s="2" t="s">
        <v>191</v>
      </c>
      <c r="K97">
        <v>0.35626004816825901</v>
      </c>
      <c r="L97">
        <v>0.35179307100627299</v>
      </c>
      <c r="M97">
        <v>0.35319303365228699</v>
      </c>
      <c r="N97" t="str">
        <f>VLOOKUP(A97,Tabla1[[#All],[EMISORA]:[Columna1]],2,FALSE)</f>
        <v>Electronics, Electrical Equip.</v>
      </c>
    </row>
    <row r="98" spans="1:14" x14ac:dyDescent="0.3">
      <c r="A98" s="2" t="s">
        <v>304</v>
      </c>
      <c r="F98">
        <v>0.85892102524384595</v>
      </c>
      <c r="G98">
        <v>0.80126400483455795</v>
      </c>
      <c r="N98" t="str">
        <f>VLOOKUP(A98,Tabla1[[#All],[EMISORA]:[Columna1]],2,FALSE)</f>
        <v>Electronics, Electrical Equip.</v>
      </c>
    </row>
    <row r="99" spans="1:14" x14ac:dyDescent="0.3">
      <c r="A99" s="2" t="s">
        <v>247</v>
      </c>
      <c r="B99">
        <v>0.80126400483455795</v>
      </c>
      <c r="C99">
        <v>1.0555716486575</v>
      </c>
      <c r="D99">
        <v>1.02988127735042</v>
      </c>
      <c r="N99" t="str">
        <f>VLOOKUP(A99,Tabla1[[#All],[EMISORA]:[Columna1]],2,FALSE)</f>
        <v>Electronics, Electrical Equip.</v>
      </c>
    </row>
    <row r="100" spans="1:14" x14ac:dyDescent="0.3">
      <c r="A100" s="2" t="s">
        <v>62</v>
      </c>
      <c r="F100">
        <v>0.36456719116303099</v>
      </c>
      <c r="G100">
        <v>0.40559059583330198</v>
      </c>
      <c r="H100">
        <v>0.32105199825519298</v>
      </c>
      <c r="I100">
        <v>0.32105199825519298</v>
      </c>
      <c r="J100">
        <v>0.32105199825519298</v>
      </c>
      <c r="K100">
        <v>0.326688362202598</v>
      </c>
      <c r="L100">
        <v>0.306122670959461</v>
      </c>
      <c r="M100">
        <v>0.29971478430097298</v>
      </c>
      <c r="N100" t="str">
        <f>VLOOKUP(A100,Tabla1[[#All],[EMISORA]:[Columna1]],2,FALSE)</f>
        <v>Telecommunications</v>
      </c>
    </row>
    <row r="101" spans="1:14" x14ac:dyDescent="0.3">
      <c r="A101" s="2" t="s">
        <v>112</v>
      </c>
      <c r="B101">
        <v>0.40559059583330198</v>
      </c>
      <c r="C101">
        <v>0.467965407707985</v>
      </c>
      <c r="D101">
        <v>0.46349181207183898</v>
      </c>
      <c r="N101" t="str">
        <f>VLOOKUP(A101,Tabla1[[#All],[EMISORA]:[Columna1]],2,FALSE)</f>
        <v>Telecommunications</v>
      </c>
    </row>
    <row r="102" spans="1:14" x14ac:dyDescent="0.3">
      <c r="A102" s="2" t="s">
        <v>269</v>
      </c>
      <c r="G102">
        <v>0.40146573514955802</v>
      </c>
      <c r="H102">
        <v>0.448584198439961</v>
      </c>
      <c r="I102">
        <v>0.448584198439961</v>
      </c>
      <c r="J102">
        <v>0.448584198439961</v>
      </c>
      <c r="K102">
        <v>0.341874461418611</v>
      </c>
      <c r="L102">
        <v>0.34209925005397301</v>
      </c>
      <c r="M102">
        <v>0.360301126492794</v>
      </c>
      <c r="N102" t="str">
        <f>VLOOKUP(A102,Tabla1[[#All],[EMISORA]:[Columna1]],2,FALSE)</f>
        <v>Internet Services and Retailing</v>
      </c>
    </row>
    <row r="103" spans="1:14" x14ac:dyDescent="0.3">
      <c r="A103" s="2" t="s">
        <v>280</v>
      </c>
      <c r="B103">
        <v>0.40146573514955802</v>
      </c>
      <c r="N103" t="str">
        <f>VLOOKUP(A103,Tabla1[[#All],[EMISORA]:[Columna1]],2,FALSE)</f>
        <v>Internet Services and Retailing</v>
      </c>
    </row>
    <row r="104" spans="1:14" x14ac:dyDescent="0.3">
      <c r="A104" s="2" t="s">
        <v>289</v>
      </c>
      <c r="F104">
        <v>0.45605329767777197</v>
      </c>
      <c r="G104">
        <v>0.44130203879735103</v>
      </c>
      <c r="H104">
        <v>0.44083918079531598</v>
      </c>
      <c r="I104">
        <v>0.44083918079531598</v>
      </c>
      <c r="J104">
        <v>0.44083918079531598</v>
      </c>
      <c r="K104">
        <v>0.38178566817100601</v>
      </c>
      <c r="L104">
        <v>0.37397564086870799</v>
      </c>
      <c r="M104">
        <v>0.35954969740486198</v>
      </c>
      <c r="N104" t="str">
        <f>VLOOKUP(A104,Tabla1[[#All],[EMISORA]:[Columna1]],2,FALSE)</f>
        <v>Telecommunications</v>
      </c>
    </row>
    <row r="105" spans="1:14" x14ac:dyDescent="0.3">
      <c r="A105" s="2" t="s">
        <v>238</v>
      </c>
      <c r="B105">
        <v>0.44130203879735103</v>
      </c>
      <c r="C105">
        <v>0.46844534909482699</v>
      </c>
      <c r="D105">
        <v>0.462556505204616</v>
      </c>
      <c r="N105" t="str">
        <f>VLOOKUP(A105,Tabla1[[#All],[EMISORA]:[Columna1]],2,FALSE)</f>
        <v>Telecommunications</v>
      </c>
    </row>
    <row r="106" spans="1:14" x14ac:dyDescent="0.3">
      <c r="A106" s="2" t="s">
        <v>145</v>
      </c>
      <c r="F106">
        <v>0.34339724086946</v>
      </c>
      <c r="G106">
        <v>0.29532603355564702</v>
      </c>
      <c r="N106" t="str">
        <f>VLOOKUP(A106,Tabla1[[#All],[EMISORA]:[Columna1]],2,FALSE)</f>
        <v>Telecommunications</v>
      </c>
    </row>
    <row r="107" spans="1:14" x14ac:dyDescent="0.3">
      <c r="A107" s="2" t="s">
        <v>156</v>
      </c>
      <c r="B107">
        <v>0.29532603355564702</v>
      </c>
      <c r="C107">
        <v>0.37461619498224202</v>
      </c>
      <c r="D107">
        <v>0.37719627366042702</v>
      </c>
      <c r="N107" t="str">
        <f>VLOOKUP(A107,Tabla1[[#All],[EMISORA]:[Columna1]],2,FALSE)</f>
        <v>Telecommunications</v>
      </c>
    </row>
    <row r="108" spans="1:14" x14ac:dyDescent="0.3">
      <c r="A108" s="2" t="s">
        <v>305</v>
      </c>
      <c r="F108">
        <v>0.71196251999008897</v>
      </c>
      <c r="N108" t="str">
        <f>VLOOKUP(A108,Tabla1[[#All],[EMISORA]:[Columna1]],2,FALSE)</f>
        <v>Telecommunications</v>
      </c>
    </row>
    <row r="109" spans="1:14" x14ac:dyDescent="0.3">
      <c r="A109" s="2" t="s">
        <v>217</v>
      </c>
      <c r="C109">
        <v>0.64937094496509096</v>
      </c>
      <c r="D109">
        <v>0.75565930434733297</v>
      </c>
      <c r="N109" t="str">
        <f>VLOOKUP(A109,Tabla1[[#All],[EMISORA]:[Columna1]],2,FALSE)</f>
        <v>Telecommunications</v>
      </c>
    </row>
    <row r="110" spans="1:14" x14ac:dyDescent="0.3">
      <c r="A110" s="2" t="s">
        <v>175</v>
      </c>
      <c r="C110">
        <v>1.0751633182072899</v>
      </c>
      <c r="D110">
        <v>1.0708065045639801</v>
      </c>
      <c r="N110" t="str">
        <f>VLOOKUP(A110,Tabla1[[#All],[EMISORA]:[Columna1]],2,FALSE)</f>
        <v>Electronics, Electrical Equip.</v>
      </c>
    </row>
    <row r="111" spans="1:14" x14ac:dyDescent="0.3">
      <c r="A111" s="2" t="s">
        <v>133</v>
      </c>
      <c r="F111">
        <v>1.0761977252372901</v>
      </c>
      <c r="H111">
        <v>0.85790735585354705</v>
      </c>
      <c r="I111">
        <v>0.85790735585354705</v>
      </c>
      <c r="J111">
        <v>0.85790735585354705</v>
      </c>
      <c r="K111">
        <v>0.91031332046392999</v>
      </c>
      <c r="L111">
        <v>0.96572777279288402</v>
      </c>
      <c r="N111" t="str">
        <f>VLOOKUP(A111,Tabla1[[#All],[EMISORA]:[Columna1]],2,FALSE)</f>
        <v>Electronics, Electrical Equip.</v>
      </c>
    </row>
    <row r="112" spans="1:14" x14ac:dyDescent="0.3">
      <c r="A112" s="2" t="s">
        <v>117</v>
      </c>
      <c r="M112">
        <v>0.99277461147964696</v>
      </c>
      <c r="N112" t="str">
        <f>VLOOKUP(A112,Tabla1[[#All],[EMISORA]:[Columna1]],2,FALSE)</f>
        <v>Internet Services and Retailing</v>
      </c>
    </row>
    <row r="113" spans="1:14" x14ac:dyDescent="0.3">
      <c r="A113" s="2" t="s">
        <v>229</v>
      </c>
      <c r="C113">
        <v>0.47495707528109798</v>
      </c>
      <c r="D113">
        <v>0.52941697338555704</v>
      </c>
      <c r="N113" t="str">
        <f>VLOOKUP(A113,Tabla1[[#All],[EMISORA]:[Columna1]],2,FALSE)</f>
        <v>Telecommunications</v>
      </c>
    </row>
    <row r="114" spans="1:14" x14ac:dyDescent="0.3">
      <c r="A114" s="2" t="s">
        <v>136</v>
      </c>
      <c r="F114">
        <v>0.32103795348537101</v>
      </c>
      <c r="G114">
        <v>0.35431934648654301</v>
      </c>
      <c r="H114">
        <v>0.31505718518222903</v>
      </c>
      <c r="I114">
        <v>0.31505718518222903</v>
      </c>
      <c r="J114">
        <v>0.31505718518222903</v>
      </c>
      <c r="K114">
        <v>0.28045142932477901</v>
      </c>
      <c r="L114">
        <v>0.30999658563754001</v>
      </c>
      <c r="M114">
        <v>0.281277931610109</v>
      </c>
      <c r="N114" t="str">
        <f>VLOOKUP(A114,Tabla1[[#All],[EMISORA]:[Columna1]],2,FALSE)</f>
        <v>Telecommunications</v>
      </c>
    </row>
    <row r="115" spans="1:14" x14ac:dyDescent="0.3">
      <c r="A115" s="2" t="s">
        <v>181</v>
      </c>
      <c r="B115">
        <v>0.35431934648654301</v>
      </c>
      <c r="C115">
        <v>0.32397558945754801</v>
      </c>
      <c r="D115">
        <v>0.32490444131837698</v>
      </c>
      <c r="N115" t="str">
        <f>VLOOKUP(A115,Tabla1[[#All],[EMISORA]:[Columna1]],2,FALSE)</f>
        <v>Telecommunications</v>
      </c>
    </row>
    <row r="116" spans="1:14" x14ac:dyDescent="0.3">
      <c r="A116" s="2" t="s">
        <v>74</v>
      </c>
      <c r="F116">
        <v>0.53801504251144505</v>
      </c>
      <c r="G116">
        <v>0.51593087066917798</v>
      </c>
      <c r="H116">
        <v>0.49414150262999901</v>
      </c>
      <c r="I116">
        <v>0.49414150262999901</v>
      </c>
      <c r="J116">
        <v>0.49414150262999901</v>
      </c>
      <c r="K116">
        <v>0.405370306590285</v>
      </c>
      <c r="L116">
        <v>0.364469334089843</v>
      </c>
      <c r="M116">
        <v>0.360395596291614</v>
      </c>
      <c r="N116" t="str">
        <f>VLOOKUP(A116,Tabla1[[#All],[EMISORA]:[Columna1]],2,FALSE)</f>
        <v>Telecommunications</v>
      </c>
    </row>
    <row r="117" spans="1:14" x14ac:dyDescent="0.3">
      <c r="A117" s="2" t="s">
        <v>76</v>
      </c>
      <c r="B117">
        <v>0.51593087066917798</v>
      </c>
      <c r="C117">
        <v>0.51436360568683304</v>
      </c>
      <c r="D117">
        <v>0.43980620070193899</v>
      </c>
      <c r="N117" t="str">
        <f>VLOOKUP(A117,Tabla1[[#All],[EMISORA]:[Columna1]],2,FALSE)</f>
        <v>Telecommunications</v>
      </c>
    </row>
    <row r="118" spans="1:14" x14ac:dyDescent="0.3">
      <c r="A118" s="2" t="s">
        <v>276</v>
      </c>
      <c r="K118">
        <v>0.91652112628960802</v>
      </c>
      <c r="N118" t="str">
        <f>VLOOKUP(A118,Tabla1[[#All],[EMISORA]:[Columna1]],2,FALSE)</f>
        <v>Internet Services and Retailing</v>
      </c>
    </row>
    <row r="119" spans="1:14" x14ac:dyDescent="0.3">
      <c r="A119" s="2" t="s">
        <v>139</v>
      </c>
      <c r="H119">
        <v>1.25012409763293</v>
      </c>
      <c r="I119">
        <v>1.25012409763293</v>
      </c>
      <c r="J119">
        <v>1.25012409763293</v>
      </c>
      <c r="L119">
        <v>1.1038527852177999</v>
      </c>
      <c r="M119">
        <v>1.0498426420004601</v>
      </c>
      <c r="N119" t="str">
        <f>VLOOKUP(A119,Tabla1[[#All],[EMISORA]:[Columna1]],2,FALSE)</f>
        <v>Internet Services and Retailing</v>
      </c>
    </row>
    <row r="120" spans="1:14" x14ac:dyDescent="0.3">
      <c r="A120" t="s">
        <v>278</v>
      </c>
      <c r="G120">
        <v>2.0325066687051758</v>
      </c>
      <c r="N120" t="s">
        <v>347</v>
      </c>
    </row>
    <row r="121" spans="1:14" x14ac:dyDescent="0.3">
      <c r="A121" t="s">
        <v>282</v>
      </c>
      <c r="B121">
        <v>2.0325066687051758</v>
      </c>
      <c r="N121" t="s">
        <v>347</v>
      </c>
    </row>
    <row r="122" spans="1:14" x14ac:dyDescent="0.3">
      <c r="A122" t="s">
        <v>645</v>
      </c>
      <c r="D122">
        <v>1.12101918431828</v>
      </c>
      <c r="N122" t="s">
        <v>347</v>
      </c>
    </row>
    <row r="123" spans="1:14" x14ac:dyDescent="0.3">
      <c r="A123" t="s">
        <v>622</v>
      </c>
      <c r="F123">
        <v>1.0597319964538201</v>
      </c>
      <c r="G123">
        <v>1.09728210810161</v>
      </c>
      <c r="H123">
        <v>1.07563677123431</v>
      </c>
      <c r="I123">
        <v>1.07563677123431</v>
      </c>
      <c r="J123">
        <v>1.07563677123431</v>
      </c>
      <c r="K123">
        <v>0.91344194400654699</v>
      </c>
      <c r="L123">
        <v>1.0066798878795</v>
      </c>
      <c r="M123">
        <v>1.0439768529365501</v>
      </c>
      <c r="N123" t="s">
        <v>347</v>
      </c>
    </row>
    <row r="124" spans="1:14" x14ac:dyDescent="0.3">
      <c r="A124" t="s">
        <v>652</v>
      </c>
      <c r="B124">
        <v>1.09728210810161</v>
      </c>
      <c r="N124" t="s">
        <v>347</v>
      </c>
    </row>
    <row r="125" spans="1:14" x14ac:dyDescent="0.3">
      <c r="A125" t="s">
        <v>604</v>
      </c>
      <c r="F125">
        <v>0.54673358450694398</v>
      </c>
      <c r="N125" t="s">
        <v>347</v>
      </c>
    </row>
    <row r="126" spans="1:14" x14ac:dyDescent="0.3">
      <c r="A126" t="s">
        <v>559</v>
      </c>
      <c r="C126">
        <v>0.56822143947858705</v>
      </c>
      <c r="D126">
        <v>0.52963648361285998</v>
      </c>
      <c r="N126" t="s">
        <v>347</v>
      </c>
    </row>
    <row r="127" spans="1:14" x14ac:dyDescent="0.3">
      <c r="A127" t="s">
        <v>594</v>
      </c>
      <c r="G127">
        <v>0.52370010048552895</v>
      </c>
      <c r="H127">
        <v>0.48162448856902301</v>
      </c>
      <c r="I127">
        <v>0.48162448856902301</v>
      </c>
      <c r="J127">
        <v>0.48162448856902301</v>
      </c>
      <c r="K127">
        <v>0.42540357938510098</v>
      </c>
      <c r="L127">
        <v>0.50396785558002</v>
      </c>
      <c r="M127">
        <v>0.56929175997267201</v>
      </c>
      <c r="N127" t="s">
        <v>347</v>
      </c>
    </row>
    <row r="128" spans="1:14" x14ac:dyDescent="0.3">
      <c r="A128" t="s">
        <v>609</v>
      </c>
      <c r="B128">
        <v>0.52370010048552895</v>
      </c>
      <c r="N128" t="s">
        <v>347</v>
      </c>
    </row>
    <row r="129" spans="1:14" x14ac:dyDescent="0.3">
      <c r="A129" t="s">
        <v>441</v>
      </c>
      <c r="F129">
        <v>0.99238554552828995</v>
      </c>
      <c r="G129">
        <v>0.96168712089152197</v>
      </c>
      <c r="H129">
        <v>0.93873755699789296</v>
      </c>
      <c r="I129">
        <v>0.93873755699789296</v>
      </c>
      <c r="J129">
        <v>0.93873755699789296</v>
      </c>
      <c r="K129">
        <v>0.69103936293931001</v>
      </c>
      <c r="L129">
        <v>0.74415338968761902</v>
      </c>
      <c r="M129">
        <v>0.83211874838816002</v>
      </c>
      <c r="N129" t="s">
        <v>347</v>
      </c>
    </row>
    <row r="130" spans="1:14" x14ac:dyDescent="0.3">
      <c r="A130" t="s">
        <v>491</v>
      </c>
      <c r="B130">
        <v>0.96168712089152197</v>
      </c>
      <c r="C130">
        <v>1.08351300766294</v>
      </c>
      <c r="D130">
        <v>1.07449049441946</v>
      </c>
      <c r="N130" t="s">
        <v>347</v>
      </c>
    </row>
    <row r="131" spans="1:14" x14ac:dyDescent="0.3">
      <c r="A131" t="s">
        <v>614</v>
      </c>
      <c r="L131">
        <v>0.70350183187942705</v>
      </c>
      <c r="M131">
        <v>0.88041998181643</v>
      </c>
      <c r="N131" t="s">
        <v>347</v>
      </c>
    </row>
    <row r="132" spans="1:14" x14ac:dyDescent="0.3">
      <c r="A132" t="s">
        <v>419</v>
      </c>
      <c r="F132">
        <v>1.22018106829735</v>
      </c>
      <c r="G132">
        <v>1.1753658479047799</v>
      </c>
      <c r="H132">
        <v>1.1335868533023601</v>
      </c>
      <c r="I132">
        <v>1.1335868533023601</v>
      </c>
      <c r="J132">
        <v>1.1335868533023601</v>
      </c>
      <c r="K132">
        <v>0.88607681048877496</v>
      </c>
      <c r="L132">
        <v>1.10825746607445</v>
      </c>
      <c r="M132">
        <v>1.0242390246072199</v>
      </c>
      <c r="N132" t="s">
        <v>347</v>
      </c>
    </row>
    <row r="133" spans="1:14" x14ac:dyDescent="0.3">
      <c r="A133" t="s">
        <v>524</v>
      </c>
      <c r="B133">
        <v>1.1753658479047799</v>
      </c>
      <c r="C133">
        <v>1.1674233006260299</v>
      </c>
      <c r="D133">
        <v>1.19741730868628</v>
      </c>
      <c r="N133" t="s">
        <v>347</v>
      </c>
    </row>
    <row r="134" spans="1:14" x14ac:dyDescent="0.3">
      <c r="A134" t="s">
        <v>567</v>
      </c>
      <c r="C134">
        <v>0.68370884971199197</v>
      </c>
      <c r="N134" t="s">
        <v>347</v>
      </c>
    </row>
    <row r="135" spans="1:14" x14ac:dyDescent="0.3">
      <c r="A135" t="s">
        <v>603</v>
      </c>
      <c r="F135">
        <v>0.70288364237425205</v>
      </c>
      <c r="G135">
        <v>0.661365069553707</v>
      </c>
      <c r="N135" t="s">
        <v>347</v>
      </c>
    </row>
    <row r="136" spans="1:14" x14ac:dyDescent="0.3">
      <c r="A136" t="s">
        <v>607</v>
      </c>
      <c r="B136">
        <v>0.661365069553707</v>
      </c>
      <c r="D136">
        <v>0.67458710566313496</v>
      </c>
      <c r="N136" t="s">
        <v>347</v>
      </c>
    </row>
    <row r="137" spans="1:14" x14ac:dyDescent="0.3">
      <c r="A137" t="s">
        <v>601</v>
      </c>
      <c r="H137">
        <v>0.61361021838171703</v>
      </c>
      <c r="I137">
        <v>0.61361021838171703</v>
      </c>
      <c r="J137">
        <v>0.61361021838171703</v>
      </c>
      <c r="K137">
        <v>0.502816392700972</v>
      </c>
      <c r="L137">
        <v>0.53585376867038204</v>
      </c>
      <c r="N137" t="s">
        <v>347</v>
      </c>
    </row>
    <row r="138" spans="1:14" x14ac:dyDescent="0.3">
      <c r="A138" t="s">
        <v>627</v>
      </c>
      <c r="F138">
        <v>0.83987689866647697</v>
      </c>
      <c r="G138">
        <v>0.90371491915860103</v>
      </c>
      <c r="H138">
        <v>0.92412040619417501</v>
      </c>
      <c r="I138">
        <v>0.92412040619417501</v>
      </c>
      <c r="J138">
        <v>0.92412040619417501</v>
      </c>
      <c r="K138">
        <v>0.76105316829709102</v>
      </c>
      <c r="L138">
        <v>0.80205108770049804</v>
      </c>
      <c r="M138">
        <v>0.84732850413790295</v>
      </c>
      <c r="N138" t="s">
        <v>347</v>
      </c>
    </row>
    <row r="139" spans="1:14" x14ac:dyDescent="0.3">
      <c r="A139" t="s">
        <v>531</v>
      </c>
      <c r="B139">
        <v>0.90371491915860103</v>
      </c>
      <c r="C139">
        <v>1.0186956069812001</v>
      </c>
      <c r="D139">
        <v>0.94765168495052599</v>
      </c>
      <c r="N139" t="s">
        <v>347</v>
      </c>
    </row>
    <row r="140" spans="1:14" x14ac:dyDescent="0.3">
      <c r="A140" t="s">
        <v>399</v>
      </c>
      <c r="M140">
        <v>0.78502642301138803</v>
      </c>
      <c r="N140" t="s">
        <v>347</v>
      </c>
    </row>
    <row r="141" spans="1:14" x14ac:dyDescent="0.3">
      <c r="A141" t="s">
        <v>684</v>
      </c>
      <c r="D141">
        <v>0.82599305823370595</v>
      </c>
      <c r="N141" t="s">
        <v>347</v>
      </c>
    </row>
    <row r="142" spans="1:14" x14ac:dyDescent="0.3">
      <c r="A142" t="s">
        <v>368</v>
      </c>
      <c r="F142">
        <v>0.66492386351005905</v>
      </c>
      <c r="G142">
        <v>0.63794646797029597</v>
      </c>
      <c r="H142">
        <v>0.62500194901379902</v>
      </c>
      <c r="I142">
        <v>0.62500194901379902</v>
      </c>
      <c r="J142">
        <v>0.62500194901379902</v>
      </c>
      <c r="K142">
        <v>0.47572971739236197</v>
      </c>
      <c r="L142">
        <v>0.53043748905790999</v>
      </c>
      <c r="M142">
        <v>0.61769004705257102</v>
      </c>
      <c r="N142" t="s">
        <v>347</v>
      </c>
    </row>
    <row r="143" spans="1:14" x14ac:dyDescent="0.3">
      <c r="A143" t="s">
        <v>374</v>
      </c>
      <c r="B143">
        <v>0.63794646797029597</v>
      </c>
      <c r="C143">
        <v>0.70453519737187398</v>
      </c>
      <c r="D143">
        <v>0.72721827883539703</v>
      </c>
      <c r="N143" t="s">
        <v>347</v>
      </c>
    </row>
    <row r="144" spans="1:14" x14ac:dyDescent="0.3">
      <c r="A144" t="s">
        <v>479</v>
      </c>
      <c r="F144">
        <v>1.16714278902216</v>
      </c>
      <c r="G144">
        <v>1.2380113090964799</v>
      </c>
      <c r="H144">
        <v>1.05765541806578</v>
      </c>
      <c r="I144">
        <v>1.05765541806578</v>
      </c>
      <c r="J144">
        <v>1.05765541806578</v>
      </c>
      <c r="K144">
        <v>0.86548903793849097</v>
      </c>
      <c r="N144" t="s">
        <v>347</v>
      </c>
    </row>
    <row r="145" spans="1:14" x14ac:dyDescent="0.3">
      <c r="A145" t="s">
        <v>489</v>
      </c>
      <c r="B145">
        <v>1.2380113090964799</v>
      </c>
      <c r="D145">
        <v>1.3107475871094401</v>
      </c>
      <c r="N145" t="s">
        <v>347</v>
      </c>
    </row>
    <row r="146" spans="1:14" x14ac:dyDescent="0.3">
      <c r="A146" t="s">
        <v>350</v>
      </c>
      <c r="F146">
        <v>0.78324079786140199</v>
      </c>
      <c r="G146">
        <v>0.75050746537958402</v>
      </c>
      <c r="H146">
        <v>0.64682698525110105</v>
      </c>
      <c r="I146">
        <v>0.64682698525110105</v>
      </c>
      <c r="J146">
        <v>0.64682698525110105</v>
      </c>
      <c r="K146">
        <v>0.52078284309973899</v>
      </c>
      <c r="L146">
        <v>0.51898103122778005</v>
      </c>
      <c r="M146">
        <v>0.59360998647916796</v>
      </c>
      <c r="N146" t="s">
        <v>347</v>
      </c>
    </row>
    <row r="147" spans="1:14" x14ac:dyDescent="0.3">
      <c r="A147" t="s">
        <v>355</v>
      </c>
      <c r="B147">
        <v>0.75050746537958402</v>
      </c>
      <c r="C147">
        <v>1.0189664172611801</v>
      </c>
      <c r="D147">
        <v>0.93437094214399097</v>
      </c>
      <c r="N147" t="s">
        <v>347</v>
      </c>
    </row>
    <row r="148" spans="1:14" x14ac:dyDescent="0.3">
      <c r="A148" t="s">
        <v>473</v>
      </c>
      <c r="F148">
        <v>0.74978978023712295</v>
      </c>
      <c r="G148">
        <v>0.75925188081713402</v>
      </c>
      <c r="H148">
        <v>0.77669012046312103</v>
      </c>
      <c r="I148">
        <v>0.77669012046312103</v>
      </c>
      <c r="J148">
        <v>0.77669012046312103</v>
      </c>
      <c r="K148">
        <v>0.62684143874148002</v>
      </c>
      <c r="L148">
        <v>0.65607917097563895</v>
      </c>
      <c r="M148">
        <v>0.67210395340390905</v>
      </c>
      <c r="N148" t="s">
        <v>347</v>
      </c>
    </row>
    <row r="149" spans="1:14" x14ac:dyDescent="0.3">
      <c r="A149" t="s">
        <v>493</v>
      </c>
      <c r="B149">
        <v>0.75925188081713402</v>
      </c>
      <c r="C149">
        <v>0.82003901914419797</v>
      </c>
      <c r="D149">
        <v>0.77916466729591904</v>
      </c>
      <c r="N149" t="s">
        <v>347</v>
      </c>
    </row>
    <row r="150" spans="1:14" x14ac:dyDescent="0.3">
      <c r="A150" t="s">
        <v>660</v>
      </c>
      <c r="F150">
        <v>0.57648224762304501</v>
      </c>
      <c r="G150">
        <v>0.54494098263241797</v>
      </c>
      <c r="H150">
        <v>0.54346862119522199</v>
      </c>
      <c r="I150">
        <v>0.54346862119522199</v>
      </c>
      <c r="J150">
        <v>0.54346862119522199</v>
      </c>
      <c r="K150">
        <v>0.45770227029530403</v>
      </c>
      <c r="L150">
        <v>0.52208478321607299</v>
      </c>
      <c r="M150">
        <v>0.54309899586521204</v>
      </c>
      <c r="N150" t="s">
        <v>347</v>
      </c>
    </row>
    <row r="151" spans="1:14" x14ac:dyDescent="0.3">
      <c r="A151" t="s">
        <v>552</v>
      </c>
      <c r="B151">
        <v>0.54494098263241797</v>
      </c>
      <c r="C151">
        <v>0.66055276160614396</v>
      </c>
      <c r="D151">
        <v>0.63085179833583604</v>
      </c>
      <c r="N151" t="s">
        <v>347</v>
      </c>
    </row>
    <row r="152" spans="1:14" x14ac:dyDescent="0.3">
      <c r="A152" t="s">
        <v>382</v>
      </c>
      <c r="F152">
        <v>1.3549017625450701</v>
      </c>
      <c r="N152" t="s">
        <v>347</v>
      </c>
    </row>
    <row r="153" spans="1:14" x14ac:dyDescent="0.3">
      <c r="A153" t="s">
        <v>388</v>
      </c>
      <c r="C153">
        <v>1.3584704053879</v>
      </c>
      <c r="D153">
        <v>1.35573323180405</v>
      </c>
      <c r="N153" t="s">
        <v>347</v>
      </c>
    </row>
    <row r="154" spans="1:14" x14ac:dyDescent="0.3">
      <c r="A154" t="s">
        <v>426</v>
      </c>
      <c r="G154">
        <v>0.51802916544328403</v>
      </c>
      <c r="H154">
        <v>0.49302093718843498</v>
      </c>
      <c r="I154">
        <v>0.49302093718843498</v>
      </c>
      <c r="J154">
        <v>0.49302093718843498</v>
      </c>
      <c r="K154">
        <v>0.34906870816671298</v>
      </c>
      <c r="L154">
        <v>0.391981549694499</v>
      </c>
      <c r="M154">
        <v>0.42316148427334299</v>
      </c>
      <c r="N154" t="s">
        <v>347</v>
      </c>
    </row>
    <row r="155" spans="1:14" x14ac:dyDescent="0.3">
      <c r="A155" t="s">
        <v>617</v>
      </c>
      <c r="B155">
        <v>0.51802916544328403</v>
      </c>
      <c r="N155" t="s">
        <v>347</v>
      </c>
    </row>
    <row r="156" spans="1:14" x14ac:dyDescent="0.3">
      <c r="A156" t="s">
        <v>597</v>
      </c>
      <c r="M156">
        <v>0.56871386554016101</v>
      </c>
      <c r="N156" t="s">
        <v>347</v>
      </c>
    </row>
    <row r="157" spans="1:14" x14ac:dyDescent="0.3">
      <c r="A157" t="s">
        <v>655</v>
      </c>
      <c r="F157">
        <v>1.7188166040799799</v>
      </c>
      <c r="G157">
        <v>1.61504032615439</v>
      </c>
      <c r="H157">
        <v>1.5735979957602599</v>
      </c>
      <c r="I157">
        <v>1.5735979957602599</v>
      </c>
      <c r="J157">
        <v>1.5735979957602599</v>
      </c>
      <c r="K157">
        <v>1.1413039678377901</v>
      </c>
      <c r="L157">
        <v>1.2460290173966899</v>
      </c>
      <c r="M157">
        <v>1.36168987728957</v>
      </c>
      <c r="N157" t="s">
        <v>347</v>
      </c>
    </row>
    <row r="158" spans="1:14" x14ac:dyDescent="0.3">
      <c r="A158" t="s">
        <v>511</v>
      </c>
      <c r="B158">
        <v>1.61504032615439</v>
      </c>
      <c r="C158">
        <v>1.8023847098018599</v>
      </c>
      <c r="D158">
        <v>1.93635352973874</v>
      </c>
      <c r="N158" t="s">
        <v>347</v>
      </c>
    </row>
    <row r="159" spans="1:14" x14ac:dyDescent="0.3">
      <c r="A159" t="s">
        <v>503</v>
      </c>
      <c r="C159">
        <v>0.97003100241129903</v>
      </c>
      <c r="N159" t="s">
        <v>347</v>
      </c>
    </row>
    <row r="160" spans="1:14" x14ac:dyDescent="0.3">
      <c r="A160" t="s">
        <v>581</v>
      </c>
      <c r="F160">
        <v>0.906098040273422</v>
      </c>
      <c r="G160">
        <v>0.86574200626841902</v>
      </c>
      <c r="H160">
        <v>0.77235279612348495</v>
      </c>
      <c r="I160">
        <v>0.77235279612348495</v>
      </c>
      <c r="J160">
        <v>0.77235279612348495</v>
      </c>
      <c r="N160" t="s">
        <v>347</v>
      </c>
    </row>
    <row r="161" spans="1:14" x14ac:dyDescent="0.3">
      <c r="A161" t="s">
        <v>589</v>
      </c>
      <c r="B161">
        <v>0.86574200626841902</v>
      </c>
      <c r="D161">
        <v>0.94327214281452998</v>
      </c>
      <c r="N161" t="s">
        <v>347</v>
      </c>
    </row>
    <row r="162" spans="1:14" x14ac:dyDescent="0.3">
      <c r="A162" t="s">
        <v>639</v>
      </c>
      <c r="F162">
        <v>1.25134279389326</v>
      </c>
      <c r="G162">
        <v>1.30914827890556</v>
      </c>
      <c r="H162">
        <v>1.23932434411885</v>
      </c>
      <c r="I162">
        <v>1.23932434411885</v>
      </c>
      <c r="J162">
        <v>1.23932434411885</v>
      </c>
      <c r="K162">
        <v>1.0306731720631901</v>
      </c>
      <c r="N162" t="s">
        <v>347</v>
      </c>
    </row>
    <row r="163" spans="1:14" x14ac:dyDescent="0.3">
      <c r="A163" t="s">
        <v>465</v>
      </c>
      <c r="B163">
        <v>1.30914827890556</v>
      </c>
      <c r="C163">
        <v>1.261665859012</v>
      </c>
      <c r="D163">
        <v>1.2320320916905401</v>
      </c>
      <c r="N163" t="s">
        <v>347</v>
      </c>
    </row>
    <row r="164" spans="1:14" x14ac:dyDescent="0.3">
      <c r="A164" t="s">
        <v>434</v>
      </c>
      <c r="F164">
        <v>0.65677731758575397</v>
      </c>
      <c r="G164">
        <v>0.65417495492738498</v>
      </c>
      <c r="H164">
        <v>0.60957658641409396</v>
      </c>
      <c r="I164">
        <v>0.60957658641409396</v>
      </c>
      <c r="J164">
        <v>0.60957658641409396</v>
      </c>
      <c r="K164">
        <v>0.498608766619004</v>
      </c>
      <c r="L164">
        <v>0.55615797740510198</v>
      </c>
      <c r="M164">
        <v>0.59049263346540504</v>
      </c>
      <c r="N164" t="s">
        <v>347</v>
      </c>
    </row>
    <row r="165" spans="1:14" x14ac:dyDescent="0.3">
      <c r="A165" t="s">
        <v>562</v>
      </c>
      <c r="B165">
        <v>0.65417495492738498</v>
      </c>
      <c r="C165">
        <v>0.85124778675311197</v>
      </c>
      <c r="D165">
        <v>0.73277910487271403</v>
      </c>
      <c r="N165" t="s">
        <v>347</v>
      </c>
    </row>
    <row r="166" spans="1:14" x14ac:dyDescent="0.3">
      <c r="A166" t="s">
        <v>545</v>
      </c>
      <c r="C166">
        <v>0.83355111313358399</v>
      </c>
      <c r="N166" t="s">
        <v>347</v>
      </c>
    </row>
    <row r="167" spans="1:14" x14ac:dyDescent="0.3">
      <c r="A167" t="s">
        <v>456</v>
      </c>
      <c r="F167">
        <v>1.1369900249890801</v>
      </c>
      <c r="G167">
        <v>1.25470761050574</v>
      </c>
      <c r="H167">
        <v>1.2337656101938801</v>
      </c>
      <c r="I167">
        <v>1.2337656101938801</v>
      </c>
      <c r="J167">
        <v>1.2337656101938801</v>
      </c>
      <c r="N167" t="s">
        <v>347</v>
      </c>
    </row>
    <row r="168" spans="1:14" x14ac:dyDescent="0.3">
      <c r="A168" t="s">
        <v>459</v>
      </c>
      <c r="B168">
        <v>1.25470761050574</v>
      </c>
      <c r="D168">
        <v>0.87352001274860103</v>
      </c>
      <c r="N168" t="s">
        <v>347</v>
      </c>
    </row>
    <row r="169" spans="1:14" x14ac:dyDescent="0.3">
      <c r="A169" t="s">
        <v>413</v>
      </c>
      <c r="F169">
        <v>0.51089924208784998</v>
      </c>
      <c r="G169">
        <v>0.526247458927256</v>
      </c>
      <c r="H169">
        <v>0.51555001354225904</v>
      </c>
      <c r="I169">
        <v>0.51555001354225904</v>
      </c>
      <c r="J169">
        <v>0.51555001354225904</v>
      </c>
      <c r="K169">
        <v>0.34973725438421199</v>
      </c>
      <c r="L169">
        <v>0.42250375804965001</v>
      </c>
      <c r="M169">
        <v>0.39544731572543901</v>
      </c>
      <c r="N169" t="s">
        <v>347</v>
      </c>
    </row>
    <row r="170" spans="1:14" x14ac:dyDescent="0.3">
      <c r="A170" t="s">
        <v>590</v>
      </c>
      <c r="B170">
        <v>0.526247458927256</v>
      </c>
      <c r="N170" t="s">
        <v>347</v>
      </c>
    </row>
    <row r="171" spans="1:14" x14ac:dyDescent="0.3">
      <c r="A171" t="s">
        <v>542</v>
      </c>
      <c r="C171">
        <v>0.53351600984602299</v>
      </c>
      <c r="D171">
        <v>0.52591653439665498</v>
      </c>
      <c r="N171" t="s">
        <v>347</v>
      </c>
    </row>
    <row r="172" spans="1:14" x14ac:dyDescent="0.3">
      <c r="A172" t="s">
        <v>636</v>
      </c>
      <c r="F172">
        <v>1.0010283977072101</v>
      </c>
      <c r="G172">
        <v>0.996650308302094</v>
      </c>
      <c r="H172">
        <v>1.0389286995857001</v>
      </c>
      <c r="I172">
        <v>1.0389286995857001</v>
      </c>
      <c r="J172">
        <v>1.0389286995857001</v>
      </c>
      <c r="K172">
        <v>0.90037903191520696</v>
      </c>
      <c r="L172">
        <v>0.95601375008769196</v>
      </c>
      <c r="N172" t="s">
        <v>347</v>
      </c>
    </row>
    <row r="173" spans="1:14" x14ac:dyDescent="0.3">
      <c r="A173" t="s">
        <v>214</v>
      </c>
      <c r="B173">
        <v>0.996650308302094</v>
      </c>
      <c r="N173" t="s">
        <v>347</v>
      </c>
    </row>
    <row r="174" spans="1:14" x14ac:dyDescent="0.3">
      <c r="A174" t="s">
        <v>666</v>
      </c>
      <c r="L174">
        <v>0.90458217932706897</v>
      </c>
      <c r="M174">
        <v>0.95095869928031496</v>
      </c>
      <c r="N174" t="s">
        <v>347</v>
      </c>
    </row>
    <row r="175" spans="1:14" x14ac:dyDescent="0.3">
      <c r="A175" t="s">
        <v>518</v>
      </c>
      <c r="C175">
        <v>1.1732340293679799</v>
      </c>
      <c r="N175" t="s">
        <v>347</v>
      </c>
    </row>
    <row r="176" spans="1:14" x14ac:dyDescent="0.3">
      <c r="A176" t="s">
        <v>625</v>
      </c>
      <c r="F176">
        <v>1.1019277559423499</v>
      </c>
      <c r="G176">
        <v>1.04587287172043</v>
      </c>
      <c r="H176">
        <v>1.13591825581168</v>
      </c>
      <c r="I176">
        <v>1.13591825581168</v>
      </c>
      <c r="J176">
        <v>1.13591825581168</v>
      </c>
      <c r="K176">
        <v>0.82150206466073505</v>
      </c>
      <c r="L176">
        <v>0.92815881206518203</v>
      </c>
      <c r="M176">
        <v>0.99436297892206504</v>
      </c>
      <c r="N176" t="s">
        <v>347</v>
      </c>
    </row>
    <row r="177" spans="1:14" x14ac:dyDescent="0.3">
      <c r="A177" t="s">
        <v>647</v>
      </c>
      <c r="B177">
        <v>1.04587287172043</v>
      </c>
      <c r="D177">
        <v>1.0508100516627401</v>
      </c>
      <c r="N177" t="s">
        <v>347</v>
      </c>
    </row>
    <row r="178" spans="1:14" x14ac:dyDescent="0.3">
      <c r="A178" t="s">
        <v>630</v>
      </c>
      <c r="F178">
        <v>0.56060534257377703</v>
      </c>
      <c r="G178">
        <v>0.58205846500231095</v>
      </c>
      <c r="H178">
        <v>0.58089613454718103</v>
      </c>
      <c r="I178">
        <v>0.58089613454718103</v>
      </c>
      <c r="J178">
        <v>0.58089613454718103</v>
      </c>
      <c r="K178">
        <v>0.45599366955953402</v>
      </c>
      <c r="L178">
        <v>0.50103421890643995</v>
      </c>
      <c r="M178">
        <v>0.490369169336836</v>
      </c>
      <c r="N178" t="s">
        <v>347</v>
      </c>
    </row>
    <row r="179" spans="1:14" x14ac:dyDescent="0.3">
      <c r="A179" t="s">
        <v>577</v>
      </c>
      <c r="B179">
        <v>0.58205846500231095</v>
      </c>
      <c r="C179">
        <v>0.70387920380860403</v>
      </c>
      <c r="D179">
        <v>0.63727701313146301</v>
      </c>
      <c r="N179" t="s">
        <v>347</v>
      </c>
    </row>
    <row r="180" spans="1:14" x14ac:dyDescent="0.3">
      <c r="A180" t="s">
        <v>362</v>
      </c>
      <c r="K180">
        <v>0.60474035437600704</v>
      </c>
      <c r="L180">
        <v>0.86628253206933703</v>
      </c>
      <c r="M180">
        <v>0.98936092691102495</v>
      </c>
      <c r="N180" t="s">
        <v>347</v>
      </c>
    </row>
    <row r="181" spans="1:14" x14ac:dyDescent="0.3">
      <c r="A181" t="s">
        <v>406</v>
      </c>
      <c r="F181">
        <v>1.03499751651151</v>
      </c>
      <c r="G181">
        <v>0.95654092003367996</v>
      </c>
      <c r="H181">
        <v>0.98309319263117501</v>
      </c>
      <c r="I181">
        <v>0.98309319263117501</v>
      </c>
      <c r="J181">
        <v>0.98309319263117501</v>
      </c>
      <c r="K181">
        <v>0.72498001726508299</v>
      </c>
      <c r="L181">
        <v>0.86739766014769804</v>
      </c>
      <c r="N181" t="s">
        <v>347</v>
      </c>
    </row>
    <row r="182" spans="1:14" x14ac:dyDescent="0.3">
      <c r="A182" t="s">
        <v>521</v>
      </c>
      <c r="B182">
        <v>0.95654092003367996</v>
      </c>
      <c r="C182">
        <v>1.10926437920509</v>
      </c>
      <c r="D182">
        <v>1.0450824344351699</v>
      </c>
      <c r="N182" t="s">
        <v>347</v>
      </c>
    </row>
    <row r="183" spans="1:14" x14ac:dyDescent="0.3">
      <c r="A183" t="s">
        <v>450</v>
      </c>
      <c r="F183">
        <v>0.57031555639439702</v>
      </c>
      <c r="G183">
        <v>0.55601741756141199</v>
      </c>
      <c r="N183" t="s">
        <v>347</v>
      </c>
    </row>
    <row r="184" spans="1:14" x14ac:dyDescent="0.3">
      <c r="A184" t="s">
        <v>468</v>
      </c>
      <c r="B184">
        <v>0.55601741756141199</v>
      </c>
      <c r="C184">
        <v>0.60663885979579701</v>
      </c>
      <c r="D184">
        <v>0.58527410901702104</v>
      </c>
      <c r="N184" t="s">
        <v>347</v>
      </c>
    </row>
    <row r="185" spans="1:14" x14ac:dyDescent="0.3">
      <c r="A185" t="s">
        <v>658</v>
      </c>
      <c r="F185">
        <v>0.83482150901915597</v>
      </c>
      <c r="G185">
        <v>0.80294051356538398</v>
      </c>
      <c r="H185">
        <v>0.83939834125611901</v>
      </c>
      <c r="I185">
        <v>0.83939834125611901</v>
      </c>
      <c r="J185">
        <v>0.83939834125611901</v>
      </c>
      <c r="K185">
        <v>0.590275011884419</v>
      </c>
      <c r="L185">
        <v>0.76130952172066901</v>
      </c>
      <c r="M185">
        <v>0.77570256010999095</v>
      </c>
      <c r="N185" t="s">
        <v>347</v>
      </c>
    </row>
    <row r="186" spans="1:14" x14ac:dyDescent="0.3">
      <c r="A186" t="s">
        <v>688</v>
      </c>
      <c r="B186">
        <v>0.80294051356538398</v>
      </c>
      <c r="N186" t="s">
        <v>347</v>
      </c>
    </row>
    <row r="187" spans="1:14" x14ac:dyDescent="0.3">
      <c r="A187" t="s">
        <v>539</v>
      </c>
      <c r="C187">
        <v>0.86105932878587499</v>
      </c>
      <c r="D187">
        <v>0.77941535144635399</v>
      </c>
      <c r="N187" t="s">
        <v>347</v>
      </c>
    </row>
    <row r="188" spans="1:14" x14ac:dyDescent="0.3">
      <c r="A188" t="s">
        <v>599</v>
      </c>
      <c r="H188">
        <v>0.53151847061607005</v>
      </c>
      <c r="I188">
        <v>0.53151847061607005</v>
      </c>
      <c r="J188">
        <v>0.53151847061607005</v>
      </c>
      <c r="K188">
        <v>0.417452854612199</v>
      </c>
      <c r="L188">
        <v>0.492189387390013</v>
      </c>
      <c r="M188">
        <v>0.48735313303741001</v>
      </c>
      <c r="N188" t="s">
        <v>347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8C01F-72D4-48E0-B43E-DD978B75E8B1}">
  <dimension ref="A1:N188"/>
  <sheetViews>
    <sheetView topLeftCell="A103" workbookViewId="0">
      <selection activeCell="N120" sqref="N120:N188"/>
    </sheetView>
  </sheetViews>
  <sheetFormatPr baseColWidth="10" defaultRowHeight="14.4" x14ac:dyDescent="0.3"/>
  <sheetData>
    <row r="1" spans="1:14" x14ac:dyDescent="0.3">
      <c r="A1" s="3"/>
      <c r="B1" s="3">
        <v>2011</v>
      </c>
      <c r="C1" s="3">
        <v>2012</v>
      </c>
      <c r="D1" s="3">
        <v>2013</v>
      </c>
      <c r="E1" s="3">
        <v>2014</v>
      </c>
      <c r="F1" s="3">
        <v>2015</v>
      </c>
      <c r="G1" s="3">
        <v>2016</v>
      </c>
      <c r="H1" s="3">
        <v>2017</v>
      </c>
      <c r="I1" s="3">
        <v>2018</v>
      </c>
      <c r="J1" s="3">
        <v>2019</v>
      </c>
      <c r="K1" s="3">
        <v>2020</v>
      </c>
      <c r="L1" s="3">
        <v>2021</v>
      </c>
      <c r="M1" s="3">
        <v>2022</v>
      </c>
    </row>
    <row r="2" spans="1:14" x14ac:dyDescent="0.3">
      <c r="A2" s="2" t="s">
        <v>298</v>
      </c>
      <c r="G2">
        <v>260979</v>
      </c>
      <c r="N2" t="str">
        <f>VLOOKUP(A2,Tabla1[[#All],[EMISORA]:[Columna1]],2,FALSE)</f>
        <v>Computers, Office Equipment</v>
      </c>
    </row>
    <row r="3" spans="1:14" x14ac:dyDescent="0.3">
      <c r="A3" s="2" t="s">
        <v>278</v>
      </c>
      <c r="F3">
        <v>77000</v>
      </c>
      <c r="G3">
        <v>294116</v>
      </c>
      <c r="H3">
        <v>309630</v>
      </c>
      <c r="I3">
        <v>309630</v>
      </c>
      <c r="J3">
        <v>309630</v>
      </c>
      <c r="N3" t="str">
        <f>VLOOKUP(A3,Tabla1[[#All],[EMISORA]:[Columna1]],2,FALSE)</f>
        <v>Computers, Office Equipment</v>
      </c>
    </row>
    <row r="4" spans="1:14" x14ac:dyDescent="0.3">
      <c r="A4" s="2" t="s">
        <v>282</v>
      </c>
      <c r="B4">
        <v>294116</v>
      </c>
      <c r="N4" t="str">
        <f>VLOOKUP(A4,Tabla1[[#All],[EMISORA]:[Columna1]],2,FALSE)</f>
        <v>Internet Services and Retailing</v>
      </c>
    </row>
    <row r="5" spans="1:14" x14ac:dyDescent="0.3">
      <c r="A5" s="2" t="s">
        <v>307</v>
      </c>
      <c r="B5">
        <v>260979</v>
      </c>
      <c r="N5" t="str">
        <f>VLOOKUP(A5,Tabla1[[#All],[EMISORA]:[Columna1]],2,FALSE)</f>
        <v>Telecommunications</v>
      </c>
    </row>
    <row r="6" spans="1:14" x14ac:dyDescent="0.3">
      <c r="A6" s="2" t="s">
        <v>81</v>
      </c>
      <c r="F6">
        <v>110000</v>
      </c>
      <c r="G6">
        <v>116000</v>
      </c>
      <c r="H6">
        <v>132000</v>
      </c>
      <c r="I6">
        <v>132000</v>
      </c>
      <c r="J6">
        <v>132000</v>
      </c>
      <c r="K6">
        <v>147000</v>
      </c>
      <c r="L6">
        <v>154000</v>
      </c>
      <c r="M6">
        <v>164000</v>
      </c>
      <c r="N6" t="str">
        <f>VLOOKUP(A6,Tabla1[[#All],[EMISORA]:[Columna1]],2,FALSE)</f>
        <v>Computers, Office Equipment</v>
      </c>
    </row>
    <row r="7" spans="1:14" x14ac:dyDescent="0.3">
      <c r="A7" s="2" t="s">
        <v>87</v>
      </c>
      <c r="B7">
        <v>116000</v>
      </c>
      <c r="C7">
        <v>76100</v>
      </c>
      <c r="D7">
        <v>84400</v>
      </c>
      <c r="N7" t="str">
        <f>VLOOKUP(A7,Tabla1[[#All],[EMISORA]:[Columna1]],2,FALSE)</f>
        <v>Computers, Office Equipment</v>
      </c>
    </row>
    <row r="8" spans="1:14" x14ac:dyDescent="0.3">
      <c r="A8" s="2" t="s">
        <v>148</v>
      </c>
      <c r="G8">
        <v>49732</v>
      </c>
      <c r="N8" t="str">
        <f>VLOOKUP(A8,Tabla1[[#All],[EMISORA]:[Columna1]],2,FALSE)</f>
        <v>Telecommunications</v>
      </c>
    </row>
    <row r="9" spans="1:14" x14ac:dyDescent="0.3">
      <c r="A9" s="2" t="s">
        <v>178</v>
      </c>
      <c r="B9">
        <v>49732</v>
      </c>
      <c r="N9" t="str">
        <f>VLOOKUP(A9,Tabla1[[#All],[EMISORA]:[Columna1]],2,FALSE)</f>
        <v>Telecommunications</v>
      </c>
    </row>
    <row r="10" spans="1:14" x14ac:dyDescent="0.3">
      <c r="A10" s="2" t="s">
        <v>290</v>
      </c>
      <c r="F10">
        <v>195475</v>
      </c>
      <c r="G10">
        <v>194193</v>
      </c>
      <c r="H10">
        <v>194431</v>
      </c>
      <c r="I10">
        <v>194431</v>
      </c>
      <c r="J10">
        <v>194431</v>
      </c>
      <c r="K10">
        <v>186851</v>
      </c>
      <c r="L10">
        <v>181205</v>
      </c>
      <c r="M10">
        <v>176014</v>
      </c>
      <c r="N10" t="str">
        <f>VLOOKUP(A10,Tabla1[[#All],[EMISORA]:[Columna1]],2,FALSE)</f>
        <v>Telecommunications</v>
      </c>
    </row>
    <row r="11" spans="1:14" x14ac:dyDescent="0.3">
      <c r="A11" s="2" t="s">
        <v>235</v>
      </c>
      <c r="B11">
        <v>194193</v>
      </c>
      <c r="C11">
        <v>158719</v>
      </c>
      <c r="D11">
        <v>173174</v>
      </c>
      <c r="N11" t="str">
        <f>VLOOKUP(A11,Tabla1[[#All],[EMISORA]:[Columna1]],2,FALSE)</f>
        <v>Telecommunications</v>
      </c>
    </row>
    <row r="12" spans="1:14" x14ac:dyDescent="0.3">
      <c r="A12" s="2" t="s">
        <v>65</v>
      </c>
      <c r="F12">
        <v>230800</v>
      </c>
      <c r="G12">
        <v>341400</v>
      </c>
      <c r="H12">
        <v>647500</v>
      </c>
      <c r="I12">
        <v>647500</v>
      </c>
      <c r="J12">
        <v>647500</v>
      </c>
      <c r="K12">
        <v>1298000</v>
      </c>
      <c r="L12">
        <v>1608000</v>
      </c>
      <c r="M12">
        <v>1541000</v>
      </c>
      <c r="N12" t="str">
        <f>VLOOKUP(A12,Tabla1[[#All],[EMISORA]:[Columna1]],2,FALSE)</f>
        <v>Internet Services and Retailing</v>
      </c>
    </row>
    <row r="13" spans="1:14" x14ac:dyDescent="0.3">
      <c r="A13" s="2" t="s">
        <v>67</v>
      </c>
      <c r="B13">
        <v>341400</v>
      </c>
      <c r="C13">
        <v>88400</v>
      </c>
      <c r="D13">
        <v>117300</v>
      </c>
      <c r="N13" t="str">
        <f>VLOOKUP(A13,Tabla1[[#All],[EMISORA]:[Columna1]],2,FALSE)</f>
        <v>Internet Services and Retailing</v>
      </c>
    </row>
    <row r="14" spans="1:14" x14ac:dyDescent="0.3">
      <c r="A14" s="2" t="s">
        <v>272</v>
      </c>
      <c r="G14">
        <v>50097</v>
      </c>
      <c r="H14">
        <v>101958</v>
      </c>
      <c r="I14">
        <v>101958</v>
      </c>
      <c r="J14">
        <v>101958</v>
      </c>
      <c r="K14">
        <v>251462</v>
      </c>
      <c r="L14">
        <v>254941</v>
      </c>
      <c r="M14">
        <v>235216</v>
      </c>
      <c r="N14" t="str">
        <f>VLOOKUP(A14,Tabla1[[#All],[EMISORA]:[Columna1]],2,FALSE)</f>
        <v>Internet Services and Retailing</v>
      </c>
    </row>
    <row r="15" spans="1:14" x14ac:dyDescent="0.3">
      <c r="A15" s="2" t="s">
        <v>281</v>
      </c>
      <c r="B15">
        <v>50097</v>
      </c>
      <c r="N15" t="str">
        <f>VLOOKUP(A15,Tabla1[[#All],[EMISORA]:[Columna1]],2,FALSE)</f>
        <v>Internet Services and Retailing</v>
      </c>
    </row>
    <row r="16" spans="1:14" x14ac:dyDescent="0.3">
      <c r="A16" s="2" t="s">
        <v>261</v>
      </c>
      <c r="F16">
        <v>102500</v>
      </c>
      <c r="G16">
        <v>106400</v>
      </c>
      <c r="H16">
        <v>106700</v>
      </c>
      <c r="I16">
        <v>106700</v>
      </c>
      <c r="J16">
        <v>106700</v>
      </c>
      <c r="N16" t="str">
        <f>VLOOKUP(A16,Tabla1[[#All],[EMISORA]:[Columna1]],2,FALSE)</f>
        <v>Telecommunications</v>
      </c>
    </row>
    <row r="17" spans="1:14" x14ac:dyDescent="0.3">
      <c r="A17" s="2" t="s">
        <v>220</v>
      </c>
      <c r="B17">
        <v>106400</v>
      </c>
      <c r="C17">
        <v>87900</v>
      </c>
      <c r="D17">
        <v>87800</v>
      </c>
      <c r="N17" t="str">
        <f>VLOOKUP(A17,Tabla1[[#All],[EMISORA]:[Columna1]],2,FALSE)</f>
        <v>Telecommunications</v>
      </c>
    </row>
    <row r="18" spans="1:14" x14ac:dyDescent="0.3">
      <c r="A18" s="2" t="s">
        <v>259</v>
      </c>
      <c r="K18">
        <v>99700</v>
      </c>
      <c r="N18" t="str">
        <f>VLOOKUP(A18,Tabla1[[#All],[EMISORA]:[Columna1]],2,FALSE)</f>
        <v>Telecommunications</v>
      </c>
    </row>
    <row r="19" spans="1:14" x14ac:dyDescent="0.3">
      <c r="A19" s="2" t="s">
        <v>196</v>
      </c>
      <c r="F19">
        <v>189571</v>
      </c>
      <c r="G19">
        <v>197673</v>
      </c>
      <c r="H19">
        <v>195056</v>
      </c>
      <c r="I19">
        <v>195056</v>
      </c>
      <c r="J19">
        <v>195056</v>
      </c>
      <c r="K19">
        <v>181897</v>
      </c>
      <c r="L19">
        <v>184034</v>
      </c>
      <c r="N19" t="str">
        <f>VLOOKUP(A19,Tabla1[[#All],[EMISORA]:[Columna1]],2,FALSE)</f>
        <v>Computers, Office Equipment</v>
      </c>
    </row>
    <row r="20" spans="1:14" x14ac:dyDescent="0.3">
      <c r="A20" s="2" t="s">
        <v>203</v>
      </c>
      <c r="B20">
        <v>197673</v>
      </c>
      <c r="C20">
        <v>196968</v>
      </c>
      <c r="D20">
        <v>194151</v>
      </c>
      <c r="N20" t="str">
        <f>VLOOKUP(A20,Tabla1[[#All],[EMISORA]:[Columna1]],2,FALSE)</f>
        <v>Computers, Office Equipment</v>
      </c>
    </row>
    <row r="21" spans="1:14" x14ac:dyDescent="0.3">
      <c r="A21" s="2" t="s">
        <v>45</v>
      </c>
      <c r="G21">
        <v>91500</v>
      </c>
      <c r="H21">
        <v>98000</v>
      </c>
      <c r="I21">
        <v>98000</v>
      </c>
      <c r="J21">
        <v>98000</v>
      </c>
      <c r="K21">
        <v>96100</v>
      </c>
      <c r="L21">
        <v>93700</v>
      </c>
      <c r="M21">
        <v>101700</v>
      </c>
      <c r="N21" t="str">
        <f>VLOOKUP(A21,Tabla1[[#All],[EMISORA]:[Columna1]],2,FALSE)</f>
        <v>Telecommunications</v>
      </c>
    </row>
    <row r="22" spans="1:14" x14ac:dyDescent="0.3">
      <c r="A22" s="2" t="s">
        <v>122</v>
      </c>
      <c r="B22">
        <v>91500</v>
      </c>
      <c r="N22" t="str">
        <f>VLOOKUP(A22,Tabla1[[#All],[EMISORA]:[Columna1]],2,FALSE)</f>
        <v>Telecommunications</v>
      </c>
    </row>
    <row r="23" spans="1:14" x14ac:dyDescent="0.3">
      <c r="A23" s="2" t="s">
        <v>69</v>
      </c>
      <c r="C23">
        <v>129000</v>
      </c>
      <c r="N23" t="str">
        <f>VLOOKUP(A23,Tabla1[[#All],[EMISORA]:[Columna1]],2,FALSE)</f>
        <v>Telecommunications</v>
      </c>
    </row>
    <row r="24" spans="1:14" x14ac:dyDescent="0.3">
      <c r="A24" s="2" t="s">
        <v>93</v>
      </c>
      <c r="F24">
        <v>153000</v>
      </c>
      <c r="G24">
        <v>159000</v>
      </c>
      <c r="H24">
        <v>184000</v>
      </c>
      <c r="I24">
        <v>184000</v>
      </c>
      <c r="J24">
        <v>184000</v>
      </c>
      <c r="K24">
        <v>168000</v>
      </c>
      <c r="L24">
        <v>189000</v>
      </c>
      <c r="M24">
        <v>186000</v>
      </c>
      <c r="N24" t="str">
        <f>VLOOKUP(A24,Tabla1[[#All],[EMISORA]:[Columna1]],2,FALSE)</f>
        <v>Telecommunications</v>
      </c>
    </row>
    <row r="25" spans="1:14" x14ac:dyDescent="0.3">
      <c r="A25" s="2" t="s">
        <v>110</v>
      </c>
      <c r="B25">
        <v>159000</v>
      </c>
      <c r="D25">
        <v>136000</v>
      </c>
      <c r="N25" t="str">
        <f>VLOOKUP(A25,Tabla1[[#All],[EMISORA]:[Columna1]],2,FALSE)</f>
        <v>Telecommunications</v>
      </c>
    </row>
    <row r="26" spans="1:14" x14ac:dyDescent="0.3">
      <c r="A26" s="2" t="s">
        <v>56</v>
      </c>
      <c r="M26">
        <v>79390</v>
      </c>
      <c r="N26" t="str">
        <f>VLOOKUP(A26,Tabla1[[#All],[EMISORA]:[Columna1]],2,FALSE)</f>
        <v>Computer Software</v>
      </c>
    </row>
    <row r="27" spans="1:14" x14ac:dyDescent="0.3">
      <c r="A27" s="2" t="s">
        <v>31</v>
      </c>
      <c r="H27">
        <v>157000</v>
      </c>
      <c r="I27">
        <v>157000</v>
      </c>
      <c r="J27">
        <v>157000</v>
      </c>
      <c r="K27">
        <v>158000</v>
      </c>
      <c r="L27">
        <v>133000</v>
      </c>
      <c r="M27">
        <v>133000</v>
      </c>
      <c r="N27" t="str">
        <f>VLOOKUP(A27,Tabla1[[#All],[EMISORA]:[Columna1]],2,FALSE)</f>
        <v>Computers, Office Equipment</v>
      </c>
    </row>
    <row r="28" spans="1:14" x14ac:dyDescent="0.3">
      <c r="A28" s="2" t="s">
        <v>114</v>
      </c>
      <c r="C28">
        <v>110050</v>
      </c>
      <c r="N28" t="str">
        <f>VLOOKUP(A28,Tabla1[[#All],[EMISORA]:[Columna1]],2,FALSE)</f>
        <v>Computers, Office Equipment</v>
      </c>
    </row>
    <row r="29" spans="1:14" x14ac:dyDescent="0.3">
      <c r="A29" s="2" t="s">
        <v>256</v>
      </c>
      <c r="F29">
        <v>226000</v>
      </c>
      <c r="G29">
        <v>221000</v>
      </c>
      <c r="H29">
        <v>215675</v>
      </c>
      <c r="I29">
        <v>215675</v>
      </c>
      <c r="J29">
        <v>215675</v>
      </c>
      <c r="K29">
        <v>226291</v>
      </c>
      <c r="L29">
        <v>216528</v>
      </c>
      <c r="M29">
        <v>206759</v>
      </c>
      <c r="N29" t="str">
        <f>VLOOKUP(A29,Tabla1[[#All],[EMISORA]:[Columna1]],2,FALSE)</f>
        <v>Telecommunications</v>
      </c>
    </row>
    <row r="30" spans="1:14" x14ac:dyDescent="0.3">
      <c r="A30" s="2" t="s">
        <v>164</v>
      </c>
      <c r="B30">
        <v>221000</v>
      </c>
      <c r="C30">
        <v>232000</v>
      </c>
      <c r="D30">
        <v>230000</v>
      </c>
      <c r="N30" t="str">
        <f>VLOOKUP(A30,Tabla1[[#All],[EMISORA]:[Columna1]],2,FALSE)</f>
        <v>Telecommunications</v>
      </c>
    </row>
    <row r="31" spans="1:14" x14ac:dyDescent="0.3">
      <c r="A31" s="2" t="s">
        <v>51</v>
      </c>
      <c r="C31">
        <v>28450</v>
      </c>
      <c r="D31">
        <v>29950</v>
      </c>
      <c r="N31" t="str">
        <f>VLOOKUP(A31,Tabla1[[#All],[EMISORA]:[Columna1]],2,FALSE)</f>
        <v>Telecommunications</v>
      </c>
    </row>
    <row r="32" spans="1:14" x14ac:dyDescent="0.3">
      <c r="A32" s="2" t="s">
        <v>106</v>
      </c>
      <c r="F32">
        <v>72000</v>
      </c>
      <c r="N32" t="str">
        <f>VLOOKUP(A32,Tabla1[[#All],[EMISORA]:[Columna1]],2,FALSE)</f>
        <v>Computers, Office Equipment</v>
      </c>
    </row>
    <row r="33" spans="1:14" x14ac:dyDescent="0.3">
      <c r="A33" s="2" t="s">
        <v>104</v>
      </c>
      <c r="F33">
        <v>110800</v>
      </c>
      <c r="N33" t="str">
        <f>VLOOKUP(A33,Tabla1[[#All],[EMISORA]:[Columna1]],2,FALSE)</f>
        <v>Electronics, Electrical Equip.</v>
      </c>
    </row>
    <row r="34" spans="1:14" x14ac:dyDescent="0.3">
      <c r="A34" s="2" t="s">
        <v>108</v>
      </c>
      <c r="C34">
        <v>134900</v>
      </c>
      <c r="D34">
        <v>131600</v>
      </c>
      <c r="N34" t="str">
        <f>VLOOKUP(A34,Tabla1[[#All],[EMISORA]:[Columna1]],2,FALSE)</f>
        <v>Electronics, Electrical Equip.</v>
      </c>
    </row>
    <row r="35" spans="1:14" x14ac:dyDescent="0.3">
      <c r="A35" s="2" t="s">
        <v>41</v>
      </c>
      <c r="G35">
        <v>17048</v>
      </c>
      <c r="H35">
        <v>35587</v>
      </c>
      <c r="I35">
        <v>35587</v>
      </c>
      <c r="J35">
        <v>35587</v>
      </c>
      <c r="K35">
        <v>58604</v>
      </c>
      <c r="N35" t="str">
        <f>VLOOKUP(A35,Tabla1[[#All],[EMISORA]:[Columna1]],2,FALSE)</f>
        <v>Internet Services and Retailing</v>
      </c>
    </row>
    <row r="36" spans="1:14" x14ac:dyDescent="0.3">
      <c r="A36" s="2" t="s">
        <v>53</v>
      </c>
      <c r="B36">
        <v>17048</v>
      </c>
      <c r="N36" t="str">
        <f>VLOOKUP(A36,Tabla1[[#All],[EMISORA]:[Columna1]],2,FALSE)</f>
        <v>Internet Services and Retailing</v>
      </c>
    </row>
    <row r="37" spans="1:14" x14ac:dyDescent="0.3">
      <c r="A37" s="2" t="s">
        <v>158</v>
      </c>
      <c r="C37">
        <v>170000</v>
      </c>
      <c r="D37">
        <v>162393</v>
      </c>
      <c r="N37" t="str">
        <f>VLOOKUP(A37,Tabla1[[#All],[EMISORA]:[Columna1]],2,FALSE)</f>
        <v>Computers, Office Equipment</v>
      </c>
    </row>
    <row r="38" spans="1:14" x14ac:dyDescent="0.3">
      <c r="A38" s="2" t="s">
        <v>294</v>
      </c>
      <c r="K38">
        <v>167201</v>
      </c>
      <c r="N38" t="str">
        <f>VLOOKUP(A38,Tabla1[[#All],[EMISORA]:[Columna1]],2,FALSE)</f>
        <v>Electronics, Electrical Equip.</v>
      </c>
    </row>
    <row r="39" spans="1:14" x14ac:dyDescent="0.3">
      <c r="A39" s="2" t="s">
        <v>232</v>
      </c>
      <c r="C39">
        <v>170531</v>
      </c>
      <c r="N39" t="str">
        <f>VLOOKUP(A39,Tabla1[[#All],[EMISORA]:[Columna1]],2,FALSE)</f>
        <v>Telecommunications</v>
      </c>
    </row>
    <row r="40" spans="1:14" x14ac:dyDescent="0.3">
      <c r="A40" s="2" t="s">
        <v>48</v>
      </c>
      <c r="C40">
        <v>53861</v>
      </c>
      <c r="D40">
        <v>47756</v>
      </c>
      <c r="N40" t="str">
        <f>VLOOKUP(A40,Tabla1[[#All],[EMISORA]:[Columna1]],2,FALSE)</f>
        <v>Internet Services and Retailing</v>
      </c>
    </row>
    <row r="41" spans="1:14" x14ac:dyDescent="0.3">
      <c r="A41" s="2" t="s">
        <v>78</v>
      </c>
      <c r="F41">
        <v>61814</v>
      </c>
      <c r="G41">
        <v>72053</v>
      </c>
      <c r="H41">
        <v>98771</v>
      </c>
      <c r="I41">
        <v>98771</v>
      </c>
      <c r="J41">
        <v>98771</v>
      </c>
      <c r="K41">
        <v>135301</v>
      </c>
      <c r="L41">
        <v>156500</v>
      </c>
      <c r="M41">
        <v>190234</v>
      </c>
      <c r="N41" t="str">
        <f>VLOOKUP(A41,Tabla1[[#All],[EMISORA]:[Columna1]],2,FALSE)</f>
        <v>Internet Services and Retailing</v>
      </c>
    </row>
    <row r="42" spans="1:14" x14ac:dyDescent="0.3">
      <c r="A42" s="2" t="s">
        <v>88</v>
      </c>
      <c r="B42">
        <v>72053</v>
      </c>
      <c r="N42" t="str">
        <f>VLOOKUP(A42,Tabla1[[#All],[EMISORA]:[Columna1]],2,FALSE)</f>
        <v>Internet Services and Retailing</v>
      </c>
    </row>
    <row r="43" spans="1:14" x14ac:dyDescent="0.3">
      <c r="A43" s="2" t="s">
        <v>291</v>
      </c>
      <c r="F43">
        <v>1060000</v>
      </c>
      <c r="G43">
        <v>726772</v>
      </c>
      <c r="H43">
        <v>667680</v>
      </c>
      <c r="I43">
        <v>667680</v>
      </c>
      <c r="J43">
        <v>667680</v>
      </c>
      <c r="K43">
        <v>878429</v>
      </c>
      <c r="L43">
        <v>826608</v>
      </c>
      <c r="M43">
        <v>767062</v>
      </c>
      <c r="N43" t="str">
        <f>VLOOKUP(A43,Tabla1[[#All],[EMISORA]:[Columna1]],2,FALSE)</f>
        <v>Electronics, Electrical Equip.</v>
      </c>
    </row>
    <row r="44" spans="1:14" x14ac:dyDescent="0.3">
      <c r="A44" s="2" t="s">
        <v>244</v>
      </c>
      <c r="B44">
        <v>726772</v>
      </c>
      <c r="C44">
        <v>1290000</v>
      </c>
      <c r="D44">
        <v>1110000</v>
      </c>
      <c r="N44" t="str">
        <f>VLOOKUP(A44,Tabla1[[#All],[EMISORA]:[Columna1]],2,FALSE)</f>
        <v>Electronics, Electrical Equip.</v>
      </c>
    </row>
    <row r="45" spans="1:14" x14ac:dyDescent="0.3">
      <c r="A45" s="2" t="s">
        <v>91</v>
      </c>
      <c r="F45">
        <v>129000</v>
      </c>
      <c r="G45">
        <v>131000</v>
      </c>
      <c r="H45">
        <v>114000</v>
      </c>
      <c r="I45">
        <v>114000</v>
      </c>
      <c r="J45">
        <v>114000</v>
      </c>
      <c r="K45">
        <v>103000</v>
      </c>
      <c r="L45">
        <v>99000</v>
      </c>
      <c r="M45">
        <v>97000</v>
      </c>
      <c r="N45" t="str">
        <f>VLOOKUP(A45,Tabla1[[#All],[EMISORA]:[Columna1]],2,FALSE)</f>
        <v>Electronics, Electrical Equip.</v>
      </c>
    </row>
    <row r="46" spans="1:14" x14ac:dyDescent="0.3">
      <c r="A46" s="2" t="s">
        <v>109</v>
      </c>
      <c r="B46">
        <v>131000</v>
      </c>
      <c r="D46">
        <v>131000</v>
      </c>
      <c r="N46" t="str">
        <f>VLOOKUP(A46,Tabla1[[#All],[EMISORA]:[Columna1]],2,FALSE)</f>
        <v>Electronics, Electrical Equip.</v>
      </c>
    </row>
    <row r="47" spans="1:14" x14ac:dyDescent="0.3">
      <c r="A47" s="2" t="s">
        <v>38</v>
      </c>
      <c r="H47">
        <v>60000</v>
      </c>
      <c r="I47">
        <v>60000</v>
      </c>
      <c r="J47">
        <v>60000</v>
      </c>
      <c r="K47">
        <v>59400</v>
      </c>
      <c r="N47" t="str">
        <f>VLOOKUP(A47,Tabla1[[#All],[EMISORA]:[Columna1]],2,FALSE)</f>
        <v>Computers, Office Equipment</v>
      </c>
    </row>
    <row r="48" spans="1:14" x14ac:dyDescent="0.3">
      <c r="A48" s="2" t="s">
        <v>59</v>
      </c>
      <c r="F48">
        <v>287000</v>
      </c>
      <c r="G48">
        <v>49000</v>
      </c>
      <c r="H48">
        <v>55000</v>
      </c>
      <c r="I48">
        <v>55000</v>
      </c>
      <c r="J48">
        <v>55000</v>
      </c>
      <c r="K48">
        <v>53000</v>
      </c>
      <c r="L48">
        <v>51000</v>
      </c>
      <c r="M48">
        <v>58000</v>
      </c>
      <c r="N48" t="str">
        <f>VLOOKUP(A48,Tabla1[[#All],[EMISORA]:[Columna1]],2,FALSE)</f>
        <v>Computers, Office Equipment</v>
      </c>
    </row>
    <row r="49" spans="1:14" x14ac:dyDescent="0.3">
      <c r="A49" s="2" t="s">
        <v>72</v>
      </c>
      <c r="B49">
        <v>49000</v>
      </c>
      <c r="C49">
        <v>331800</v>
      </c>
      <c r="D49">
        <v>317500</v>
      </c>
      <c r="N49" t="str">
        <f>VLOOKUP(A49,Tabla1[[#All],[EMISORA]:[Columna1]],2,FALSE)</f>
        <v>Computers, Office Equipment</v>
      </c>
    </row>
    <row r="50" spans="1:14" x14ac:dyDescent="0.3">
      <c r="A50" s="2" t="s">
        <v>275</v>
      </c>
      <c r="K50">
        <v>99299</v>
      </c>
      <c r="N50" t="str">
        <f>VLOOKUP(A50,Tabla1[[#All],[EMISORA]:[Columna1]],2,FALSE)</f>
        <v>Electronics, Electrical Equip.</v>
      </c>
    </row>
    <row r="51" spans="1:14" x14ac:dyDescent="0.3">
      <c r="A51" s="2" t="s">
        <v>265</v>
      </c>
      <c r="L51">
        <v>104874</v>
      </c>
      <c r="M51">
        <v>109586</v>
      </c>
      <c r="N51" t="str">
        <f>VLOOKUP(A51,Tabla1[[#All],[EMISORA]:[Columna1]],2,FALSE)</f>
        <v>Electronics, Electrical Equip.</v>
      </c>
    </row>
    <row r="52" spans="1:14" x14ac:dyDescent="0.3">
      <c r="A52" s="2" t="s">
        <v>189</v>
      </c>
      <c r="F52">
        <v>335244</v>
      </c>
      <c r="G52">
        <v>303887</v>
      </c>
      <c r="H52">
        <v>295941</v>
      </c>
      <c r="I52">
        <v>295941</v>
      </c>
      <c r="J52">
        <v>295941</v>
      </c>
      <c r="K52">
        <v>350864</v>
      </c>
      <c r="L52">
        <v>368247</v>
      </c>
      <c r="M52">
        <v>322525</v>
      </c>
      <c r="N52" t="str">
        <f>VLOOKUP(A52,Tabla1[[#All],[EMISORA]:[Columna1]],2,FALSE)</f>
        <v>Electronics, Electrical Equip.</v>
      </c>
    </row>
    <row r="53" spans="1:14" x14ac:dyDescent="0.3">
      <c r="A53" s="2" t="s">
        <v>209</v>
      </c>
      <c r="B53">
        <v>303887</v>
      </c>
      <c r="C53">
        <v>326240</v>
      </c>
      <c r="D53">
        <v>320725</v>
      </c>
      <c r="N53" t="str">
        <f>VLOOKUP(A53,Tabla1[[#All],[EMISORA]:[Columna1]],2,FALSE)</f>
        <v>Electronics, Electrical Equip.</v>
      </c>
    </row>
    <row r="54" spans="1:14" x14ac:dyDescent="0.3">
      <c r="A54" s="2" t="s">
        <v>130</v>
      </c>
      <c r="F54">
        <v>105963</v>
      </c>
      <c r="G54">
        <v>120622</v>
      </c>
      <c r="H54">
        <v>178927</v>
      </c>
      <c r="I54">
        <v>178927</v>
      </c>
      <c r="J54">
        <v>178927</v>
      </c>
      <c r="K54">
        <v>314906</v>
      </c>
      <c r="L54">
        <v>385357</v>
      </c>
      <c r="M54">
        <v>450679</v>
      </c>
      <c r="N54" t="str">
        <f>VLOOKUP(A54,Tabla1[[#All],[EMISORA]:[Columna1]],2,FALSE)</f>
        <v>Internet Services and Retailing</v>
      </c>
    </row>
    <row r="55" spans="1:14" x14ac:dyDescent="0.3">
      <c r="A55" s="2" t="s">
        <v>179</v>
      </c>
      <c r="B55">
        <v>120622</v>
      </c>
      <c r="N55" t="str">
        <f>VLOOKUP(A55,Tabla1[[#All],[EMISORA]:[Columna1]],2,FALSE)</f>
        <v>Internet Services and Retailing</v>
      </c>
    </row>
    <row r="56" spans="1:14" x14ac:dyDescent="0.3">
      <c r="A56" s="2" t="s">
        <v>186</v>
      </c>
      <c r="F56">
        <v>31834</v>
      </c>
      <c r="G56">
        <v>35032</v>
      </c>
      <c r="H56">
        <v>41996</v>
      </c>
      <c r="I56">
        <v>41996</v>
      </c>
      <c r="J56">
        <v>41996</v>
      </c>
      <c r="K56">
        <v>47320</v>
      </c>
      <c r="L56">
        <v>48829</v>
      </c>
      <c r="M56">
        <v>49659</v>
      </c>
      <c r="N56" t="str">
        <f>VLOOKUP(A56,Tabla1[[#All],[EMISORA]:[Columna1]],2,FALSE)</f>
        <v>Telecommunications</v>
      </c>
    </row>
    <row r="57" spans="1:14" x14ac:dyDescent="0.3">
      <c r="A57" s="2" t="s">
        <v>205</v>
      </c>
      <c r="B57">
        <v>35032</v>
      </c>
      <c r="C57">
        <v>20238</v>
      </c>
      <c r="D57">
        <v>27073</v>
      </c>
      <c r="N57" t="str">
        <f>VLOOKUP(A57,Tabla1[[#All],[EMISORA]:[Columna1]],2,FALSE)</f>
        <v>Telecommunications</v>
      </c>
    </row>
    <row r="58" spans="1:14" x14ac:dyDescent="0.3">
      <c r="A58" s="2" t="s">
        <v>100</v>
      </c>
      <c r="L58">
        <v>32647</v>
      </c>
      <c r="N58" t="str">
        <f>VLOOKUP(A58,Tabla1[[#All],[EMISORA]:[Columna1]],2,FALSE)</f>
        <v>Automotive Retailing, Services</v>
      </c>
    </row>
    <row r="59" spans="1:14" x14ac:dyDescent="0.3">
      <c r="A59" s="2" t="s">
        <v>142</v>
      </c>
      <c r="F59">
        <v>60000</v>
      </c>
      <c r="G59">
        <v>52000</v>
      </c>
      <c r="H59">
        <v>57000</v>
      </c>
      <c r="I59">
        <v>57000</v>
      </c>
      <c r="J59">
        <v>57000</v>
      </c>
      <c r="K59">
        <v>71500</v>
      </c>
      <c r="L59">
        <v>75000</v>
      </c>
      <c r="M59">
        <v>77000</v>
      </c>
      <c r="N59" t="str">
        <f>VLOOKUP(A59,Tabla1[[#All],[EMISORA]:[Columna1]],2,FALSE)</f>
        <v>Computers, Office Equipment</v>
      </c>
    </row>
    <row r="60" spans="1:14" x14ac:dyDescent="0.3">
      <c r="A60" s="2" t="s">
        <v>180</v>
      </c>
      <c r="B60">
        <v>52000</v>
      </c>
      <c r="C60">
        <v>35026</v>
      </c>
      <c r="D60">
        <v>54000</v>
      </c>
      <c r="N60" t="str">
        <f>VLOOKUP(A60,Tabla1[[#All],[EMISORA]:[Columna1]],2,FALSE)</f>
        <v>Computers, Office Equipment</v>
      </c>
    </row>
    <row r="61" spans="1:14" x14ac:dyDescent="0.3">
      <c r="A61" s="2" t="s">
        <v>296</v>
      </c>
      <c r="F61">
        <v>49205</v>
      </c>
      <c r="G61">
        <v>49094</v>
      </c>
      <c r="N61" t="str">
        <f>VLOOKUP(A61,Tabla1[[#All],[EMISORA]:[Columna1]],2,FALSE)</f>
        <v>Electronics, Electrical Equip.</v>
      </c>
    </row>
    <row r="62" spans="1:14" x14ac:dyDescent="0.3">
      <c r="A62" s="2" t="s">
        <v>170</v>
      </c>
      <c r="B62">
        <v>49094</v>
      </c>
      <c r="C62">
        <v>55621</v>
      </c>
      <c r="D62">
        <v>51205</v>
      </c>
      <c r="N62" t="str">
        <f>VLOOKUP(A62,Tabla1[[#All],[EMISORA]:[Columna1]],2,FALSE)</f>
        <v>Electronics, Electrical Equip.</v>
      </c>
    </row>
    <row r="63" spans="1:14" x14ac:dyDescent="0.3">
      <c r="A63" s="2" t="s">
        <v>35</v>
      </c>
      <c r="L63">
        <v>71970</v>
      </c>
      <c r="M63">
        <v>86482</v>
      </c>
      <c r="N63" t="str">
        <f>VLOOKUP(A63,Tabla1[[#All],[EMISORA]:[Columna1]],2,FALSE)</f>
        <v>Internet Services and Retailing</v>
      </c>
    </row>
    <row r="64" spans="1:14" x14ac:dyDescent="0.3">
      <c r="A64" s="2" t="s">
        <v>183</v>
      </c>
      <c r="F64">
        <v>135160</v>
      </c>
      <c r="G64">
        <v>138700</v>
      </c>
      <c r="H64">
        <v>145817</v>
      </c>
      <c r="I64">
        <v>145817</v>
      </c>
      <c r="J64">
        <v>145817</v>
      </c>
      <c r="K64">
        <v>145653</v>
      </c>
      <c r="L64">
        <v>145696</v>
      </c>
      <c r="M64">
        <v>149655</v>
      </c>
      <c r="N64" t="str">
        <f>VLOOKUP(A64,Tabla1[[#All],[EMISORA]:[Columna1]],2,FALSE)</f>
        <v>Electronics, Electrical Equip.</v>
      </c>
    </row>
    <row r="65" spans="1:14" x14ac:dyDescent="0.3">
      <c r="A65" s="2" t="s">
        <v>204</v>
      </c>
      <c r="B65">
        <v>138700</v>
      </c>
      <c r="C65">
        <v>120958</v>
      </c>
      <c r="D65">
        <v>124305</v>
      </c>
      <c r="N65" t="str">
        <f>VLOOKUP(A65,Tabla1[[#All],[EMISORA]:[Columna1]],2,FALSE)</f>
        <v>Electronics, Electrical Equip.</v>
      </c>
    </row>
    <row r="66" spans="1:14" x14ac:dyDescent="0.3">
      <c r="A66" s="2" t="s">
        <v>124</v>
      </c>
      <c r="M66">
        <v>91932</v>
      </c>
      <c r="N66" t="str">
        <f>VLOOKUP(A66,Tabla1[[#All],[EMISORA]:[Columna1]],2,FALSE)</f>
        <v>Internet Services and Retailing</v>
      </c>
    </row>
    <row r="67" spans="1:14" x14ac:dyDescent="0.3">
      <c r="A67" s="2" t="s">
        <v>96</v>
      </c>
      <c r="F67">
        <v>118000</v>
      </c>
      <c r="G67">
        <v>114000</v>
      </c>
      <c r="H67">
        <v>131000</v>
      </c>
      <c r="I67">
        <v>131000</v>
      </c>
      <c r="J67">
        <v>131000</v>
      </c>
      <c r="K67">
        <v>163000</v>
      </c>
      <c r="L67">
        <v>181000</v>
      </c>
      <c r="M67">
        <v>221000</v>
      </c>
      <c r="N67" t="str">
        <f>VLOOKUP(A67,Tabla1[[#All],[EMISORA]:[Columna1]],2,FALSE)</f>
        <v>Computer Software</v>
      </c>
    </row>
    <row r="68" spans="1:14" x14ac:dyDescent="0.3">
      <c r="A68" s="2" t="s">
        <v>111</v>
      </c>
      <c r="B68">
        <v>114000</v>
      </c>
      <c r="C68">
        <v>94000</v>
      </c>
      <c r="D68">
        <v>99000</v>
      </c>
      <c r="N68" t="str">
        <f>VLOOKUP(A68,Tabla1[[#All],[EMISORA]:[Columna1]],2,FALSE)</f>
        <v>Computer Software</v>
      </c>
    </row>
    <row r="69" spans="1:14" x14ac:dyDescent="0.3">
      <c r="A69" s="2" t="s">
        <v>202</v>
      </c>
      <c r="F69">
        <v>241450</v>
      </c>
      <c r="N69" t="str">
        <f>VLOOKUP(A69,Tabla1[[#All],[EMISORA]:[Columna1]],2,FALSE)</f>
        <v>Telecommunications</v>
      </c>
    </row>
    <row r="70" spans="1:14" x14ac:dyDescent="0.3">
      <c r="A70" s="2" t="s">
        <v>211</v>
      </c>
      <c r="C70">
        <v>227150</v>
      </c>
      <c r="D70">
        <v>239750</v>
      </c>
      <c r="N70" t="str">
        <f>VLOOKUP(A70,Tabla1[[#All],[EMISORA]:[Columna1]],2,FALSE)</f>
        <v>Telecommunications</v>
      </c>
    </row>
    <row r="71" spans="1:14" x14ac:dyDescent="0.3">
      <c r="A71" s="2" t="s">
        <v>193</v>
      </c>
      <c r="G71">
        <v>274844</v>
      </c>
      <c r="H71">
        <v>303351</v>
      </c>
      <c r="I71">
        <v>303351</v>
      </c>
      <c r="J71">
        <v>303351</v>
      </c>
      <c r="K71">
        <v>324667</v>
      </c>
      <c r="L71">
        <v>333840</v>
      </c>
      <c r="M71">
        <v>338651</v>
      </c>
      <c r="N71" t="str">
        <f>VLOOKUP(A71,Tabla1[[#All],[EMISORA]:[Columna1]],2,FALSE)</f>
        <v>Telecommunications</v>
      </c>
    </row>
    <row r="72" spans="1:14" x14ac:dyDescent="0.3">
      <c r="A72" s="2" t="s">
        <v>212</v>
      </c>
      <c r="B72">
        <v>274844</v>
      </c>
      <c r="N72" t="str">
        <f>VLOOKUP(A72,Tabla1[[#All],[EMISORA]:[Columna1]],2,FALSE)</f>
        <v>Telecommunications</v>
      </c>
    </row>
    <row r="73" spans="1:14" x14ac:dyDescent="0.3">
      <c r="A73" s="2" t="s">
        <v>252</v>
      </c>
      <c r="F73">
        <v>156191</v>
      </c>
      <c r="G73">
        <v>155202</v>
      </c>
      <c r="H73">
        <v>150711</v>
      </c>
      <c r="I73">
        <v>150711</v>
      </c>
      <c r="J73">
        <v>150711</v>
      </c>
      <c r="K73">
        <v>142150</v>
      </c>
      <c r="L73">
        <v>139698</v>
      </c>
      <c r="M73">
        <v>130307</v>
      </c>
      <c r="N73" t="str">
        <f>VLOOKUP(A73,Tabla1[[#All],[EMISORA]:[Columna1]],2,FALSE)</f>
        <v>Telecommunications</v>
      </c>
    </row>
    <row r="74" spans="1:14" x14ac:dyDescent="0.3">
      <c r="A74" s="2" t="s">
        <v>253</v>
      </c>
      <c r="B74">
        <v>155202</v>
      </c>
      <c r="D74">
        <v>165488</v>
      </c>
      <c r="N74" t="str">
        <f>VLOOKUP(A74,Tabla1[[#All],[EMISORA]:[Columna1]],2,FALSE)</f>
        <v>Telecommunications</v>
      </c>
    </row>
    <row r="75" spans="1:14" x14ac:dyDescent="0.3">
      <c r="A75" s="2" t="s">
        <v>84</v>
      </c>
      <c r="F75">
        <v>132000</v>
      </c>
      <c r="G75">
        <v>136000</v>
      </c>
      <c r="H75">
        <v>137000</v>
      </c>
      <c r="I75">
        <v>137000</v>
      </c>
      <c r="J75">
        <v>137000</v>
      </c>
      <c r="K75">
        <v>135000</v>
      </c>
      <c r="L75">
        <v>132000</v>
      </c>
      <c r="M75">
        <v>143000</v>
      </c>
      <c r="N75" t="str">
        <f>VLOOKUP(A75,Tabla1[[#All],[EMISORA]:[Columna1]],2,FALSE)</f>
        <v>Computer Software</v>
      </c>
    </row>
    <row r="76" spans="1:14" x14ac:dyDescent="0.3">
      <c r="A76" s="2" t="s">
        <v>86</v>
      </c>
      <c r="B76">
        <v>136000</v>
      </c>
      <c r="C76">
        <v>115000</v>
      </c>
      <c r="D76">
        <v>120000</v>
      </c>
      <c r="N76" t="str">
        <f>VLOOKUP(A76,Tabla1[[#All],[EMISORA]:[Columna1]],2,FALSE)</f>
        <v>Computer Software</v>
      </c>
    </row>
    <row r="77" spans="1:14" x14ac:dyDescent="0.3">
      <c r="A77" s="2" t="s">
        <v>161</v>
      </c>
      <c r="C77">
        <v>293742</v>
      </c>
      <c r="D77">
        <v>271789</v>
      </c>
      <c r="N77" t="str">
        <f>VLOOKUP(A77,Tabla1[[#All],[EMISORA]:[Columna1]],2,FALSE)</f>
        <v>Electronics, Electrical Equip.</v>
      </c>
    </row>
    <row r="78" spans="1:14" x14ac:dyDescent="0.3">
      <c r="A78" s="2" t="s">
        <v>284</v>
      </c>
      <c r="F78">
        <v>249520</v>
      </c>
      <c r="G78">
        <v>257533</v>
      </c>
      <c r="H78">
        <v>271869</v>
      </c>
      <c r="I78">
        <v>271869</v>
      </c>
      <c r="J78">
        <v>271869</v>
      </c>
      <c r="K78">
        <v>243540</v>
      </c>
      <c r="L78">
        <v>240198</v>
      </c>
      <c r="M78">
        <v>233391</v>
      </c>
      <c r="N78" t="str">
        <f>VLOOKUP(A78,Tabla1[[#All],[EMISORA]:[Columna1]],2,FALSE)</f>
        <v>Electronics, Electrical Equip.</v>
      </c>
    </row>
    <row r="79" spans="1:14" x14ac:dyDescent="0.3">
      <c r="A79" s="2" t="s">
        <v>288</v>
      </c>
      <c r="B79">
        <v>257533</v>
      </c>
      <c r="N79" t="str">
        <f>VLOOKUP(A79,Tabla1[[#All],[EMISORA]:[Columna1]],2,FALSE)</f>
        <v>Electronics, Electrical Equip.</v>
      </c>
    </row>
    <row r="80" spans="1:14" x14ac:dyDescent="0.3">
      <c r="A80" s="2" t="s">
        <v>306</v>
      </c>
      <c r="F80">
        <v>112959</v>
      </c>
      <c r="N80" t="str">
        <f>VLOOKUP(A80,Tabla1[[#All],[EMISORA]:[Columna1]],2,FALSE)</f>
        <v>Electronics, Electrical Equip.</v>
      </c>
    </row>
    <row r="81" spans="1:14" x14ac:dyDescent="0.3">
      <c r="A81" s="2" t="s">
        <v>173</v>
      </c>
      <c r="C81">
        <v>118087</v>
      </c>
      <c r="D81">
        <v>116681</v>
      </c>
      <c r="N81" t="str">
        <f>VLOOKUP(A81,Tabla1[[#All],[EMISORA]:[Columna1]],2,FALSE)</f>
        <v>Electronics, Electrical Equip.</v>
      </c>
    </row>
    <row r="82" spans="1:14" x14ac:dyDescent="0.3">
      <c r="A82" s="2" t="s">
        <v>226</v>
      </c>
      <c r="C82">
        <v>121917</v>
      </c>
      <c r="D82">
        <v>121917</v>
      </c>
      <c r="N82" t="str">
        <f>VLOOKUP(A82,Tabla1[[#All],[EMISORA]:[Columna1]],2,FALSE)</f>
        <v>Computers, Office Equipment</v>
      </c>
    </row>
    <row r="83" spans="1:14" x14ac:dyDescent="0.3">
      <c r="A83" s="2" t="s">
        <v>167</v>
      </c>
      <c r="C83">
        <v>107431</v>
      </c>
      <c r="N83" t="str">
        <f>VLOOKUP(A83,Tabla1[[#All],[EMISORA]:[Columna1]],2,FALSE)</f>
        <v>Computers, Office Equipment</v>
      </c>
    </row>
    <row r="84" spans="1:14" x14ac:dyDescent="0.3">
      <c r="A84" s="2" t="s">
        <v>120</v>
      </c>
      <c r="C84">
        <v>39000</v>
      </c>
      <c r="N84" t="str">
        <f>VLOOKUP(A84,Tabla1[[#All],[EMISORA]:[Columna1]],2,FALSE)</f>
        <v>Telecommunications</v>
      </c>
    </row>
    <row r="85" spans="1:14" x14ac:dyDescent="0.3">
      <c r="A85" s="2" t="s">
        <v>254</v>
      </c>
      <c r="F85">
        <v>76986</v>
      </c>
      <c r="G85">
        <v>84183</v>
      </c>
      <c r="H85">
        <v>96498</v>
      </c>
      <c r="I85">
        <v>96498</v>
      </c>
      <c r="J85">
        <v>96498</v>
      </c>
      <c r="K85">
        <v>102430</v>
      </c>
      <c r="L85">
        <v>107415</v>
      </c>
      <c r="M85">
        <v>111961</v>
      </c>
      <c r="N85" t="str">
        <f>VLOOKUP(A85,Tabla1[[#All],[EMISORA]:[Columna1]],2,FALSE)</f>
        <v>Computer Software</v>
      </c>
    </row>
    <row r="86" spans="1:14" x14ac:dyDescent="0.3">
      <c r="A86" s="2" t="s">
        <v>258</v>
      </c>
      <c r="B86">
        <v>84183</v>
      </c>
      <c r="N86" t="str">
        <f>VLOOKUP(A86,Tabla1[[#All],[EMISORA]:[Columna1]],2,FALSE)</f>
        <v>Computer Software</v>
      </c>
    </row>
    <row r="87" spans="1:14" x14ac:dyDescent="0.3">
      <c r="A87" s="2" t="s">
        <v>249</v>
      </c>
      <c r="F87">
        <v>160843</v>
      </c>
      <c r="G87">
        <v>143901</v>
      </c>
      <c r="H87">
        <v>137534</v>
      </c>
      <c r="I87">
        <v>137534</v>
      </c>
      <c r="J87">
        <v>137534</v>
      </c>
      <c r="K87">
        <v>126328</v>
      </c>
      <c r="L87">
        <v>128000</v>
      </c>
      <c r="M87">
        <v>135000</v>
      </c>
      <c r="N87" t="str">
        <f>VLOOKUP(A87,Tabla1[[#All],[EMISORA]:[Columna1]],2,FALSE)</f>
        <v>Electronics, Electrical Equip.</v>
      </c>
    </row>
    <row r="88" spans="1:14" x14ac:dyDescent="0.3">
      <c r="A88" s="2" t="s">
        <v>223</v>
      </c>
      <c r="B88">
        <v>143901</v>
      </c>
      <c r="C88">
        <v>139989</v>
      </c>
      <c r="D88">
        <v>152784</v>
      </c>
      <c r="N88" t="str">
        <f>VLOOKUP(A88,Tabla1[[#All],[EMISORA]:[Columna1]],2,FALSE)</f>
        <v>Electronics, Electrical Equip.</v>
      </c>
    </row>
    <row r="89" spans="1:14" x14ac:dyDescent="0.3">
      <c r="A89" s="2" t="s">
        <v>127</v>
      </c>
      <c r="F89">
        <v>63591</v>
      </c>
      <c r="G89">
        <v>68402</v>
      </c>
      <c r="H89">
        <v>76866</v>
      </c>
      <c r="I89">
        <v>76866</v>
      </c>
      <c r="J89">
        <v>76866</v>
      </c>
      <c r="K89">
        <v>58786</v>
      </c>
      <c r="L89">
        <v>59721</v>
      </c>
      <c r="M89">
        <v>63339</v>
      </c>
      <c r="N89" t="str">
        <f>VLOOKUP(A89,Tabla1[[#All],[EMISORA]:[Columna1]],2,FALSE)</f>
        <v>Telecommunications</v>
      </c>
    </row>
    <row r="90" spans="1:14" x14ac:dyDescent="0.3">
      <c r="A90" s="2" t="s">
        <v>207</v>
      </c>
      <c r="B90">
        <v>68402</v>
      </c>
      <c r="D90">
        <v>24598</v>
      </c>
      <c r="N90" t="str">
        <f>VLOOKUP(A90,Tabla1[[#All],[EMISORA]:[Columna1]],2,FALSE)</f>
        <v>Telecommunications</v>
      </c>
    </row>
    <row r="91" spans="1:14" x14ac:dyDescent="0.3">
      <c r="A91" s="2" t="s">
        <v>154</v>
      </c>
      <c r="C91">
        <v>50647</v>
      </c>
      <c r="D91">
        <v>50253</v>
      </c>
      <c r="N91" t="str">
        <f>VLOOKUP(A91,Tabla1[[#All],[EMISORA]:[Columna1]],2,FALSE)</f>
        <v>Electronics, Electrical Equip.</v>
      </c>
    </row>
    <row r="92" spans="1:14" x14ac:dyDescent="0.3">
      <c r="A92" s="2" t="s">
        <v>241</v>
      </c>
      <c r="C92">
        <v>370000</v>
      </c>
      <c r="D92">
        <v>362000</v>
      </c>
      <c r="N92" t="str">
        <f>VLOOKUP(A92,Tabla1[[#All],[EMISORA]:[Columna1]],2,FALSE)</f>
        <v>Electronics, Electrical Equip.</v>
      </c>
    </row>
    <row r="93" spans="1:14" x14ac:dyDescent="0.3">
      <c r="A93" s="2" t="s">
        <v>257</v>
      </c>
      <c r="F93">
        <v>348000</v>
      </c>
      <c r="N93" t="str">
        <f>VLOOKUP(A93,Tabla1[[#All],[EMISORA]:[Columna1]],2,FALSE)</f>
        <v>Electronics, Electrical Equip.</v>
      </c>
    </row>
    <row r="94" spans="1:14" x14ac:dyDescent="0.3">
      <c r="A94" s="2" t="s">
        <v>214</v>
      </c>
      <c r="C94">
        <v>206323</v>
      </c>
      <c r="D94">
        <v>225484</v>
      </c>
      <c r="N94" t="str">
        <f>VLOOKUP(A94,Tabla1[[#All],[EMISORA]:[Columna1]],2,FALSE)</f>
        <v>Electronics, Electrical Equip.</v>
      </c>
    </row>
    <row r="95" spans="1:14" x14ac:dyDescent="0.3">
      <c r="A95" s="2" t="s">
        <v>151</v>
      </c>
      <c r="F95">
        <v>125300</v>
      </c>
      <c r="G95">
        <v>128400</v>
      </c>
      <c r="H95">
        <v>114400</v>
      </c>
      <c r="I95">
        <v>114400</v>
      </c>
      <c r="J95">
        <v>114400</v>
      </c>
      <c r="N95" t="str">
        <f>VLOOKUP(A95,Tabla1[[#All],[EMISORA]:[Columna1]],2,FALSE)</f>
        <v>Electronics, Electrical Equip.</v>
      </c>
    </row>
    <row r="96" spans="1:14" x14ac:dyDescent="0.3">
      <c r="A96" s="2" t="s">
        <v>177</v>
      </c>
      <c r="B96">
        <v>128400</v>
      </c>
      <c r="C96">
        <v>146300</v>
      </c>
      <c r="D96">
        <v>140900</v>
      </c>
      <c r="N96" t="str">
        <f>VLOOKUP(A96,Tabla1[[#All],[EMISORA]:[Columna1]],2,FALSE)</f>
        <v>Electronics, Electrical Equip.</v>
      </c>
    </row>
    <row r="97" spans="1:14" x14ac:dyDescent="0.3">
      <c r="A97" s="2" t="s">
        <v>191</v>
      </c>
      <c r="K97">
        <v>109700</v>
      </c>
      <c r="L97">
        <v>108900</v>
      </c>
      <c r="M97">
        <v>112994</v>
      </c>
      <c r="N97" t="str">
        <f>VLOOKUP(A97,Tabla1[[#All],[EMISORA]:[Columna1]],2,FALSE)</f>
        <v>Electronics, Electrical Equip.</v>
      </c>
    </row>
    <row r="98" spans="1:14" x14ac:dyDescent="0.3">
      <c r="A98" s="2" t="s">
        <v>304</v>
      </c>
      <c r="F98">
        <v>319000</v>
      </c>
      <c r="G98">
        <v>325000</v>
      </c>
      <c r="N98" t="str">
        <f>VLOOKUP(A98,Tabla1[[#All],[EMISORA]:[Columna1]],2,FALSE)</f>
        <v>Electronics, Electrical Equip.</v>
      </c>
    </row>
    <row r="99" spans="1:14" x14ac:dyDescent="0.3">
      <c r="A99" s="2" t="s">
        <v>247</v>
      </c>
      <c r="B99">
        <v>325000</v>
      </c>
      <c r="C99">
        <v>236000</v>
      </c>
      <c r="D99">
        <v>286000</v>
      </c>
      <c r="N99" t="str">
        <f>VLOOKUP(A99,Tabla1[[#All],[EMISORA]:[Columna1]],2,FALSE)</f>
        <v>Electronics, Electrical Equip.</v>
      </c>
    </row>
    <row r="100" spans="1:14" x14ac:dyDescent="0.3">
      <c r="A100" s="2" t="s">
        <v>62</v>
      </c>
      <c r="F100">
        <v>281450</v>
      </c>
      <c r="G100">
        <v>268540</v>
      </c>
      <c r="H100">
        <v>268220</v>
      </c>
      <c r="I100">
        <v>268220</v>
      </c>
      <c r="J100">
        <v>268220</v>
      </c>
      <c r="K100">
        <v>230760</v>
      </c>
      <c r="L100">
        <v>202600</v>
      </c>
      <c r="M100">
        <v>160700</v>
      </c>
      <c r="N100" t="str">
        <f>VLOOKUP(A100,Tabla1[[#All],[EMISORA]:[Columna1]],2,FALSE)</f>
        <v>Telecommunications</v>
      </c>
    </row>
    <row r="101" spans="1:14" x14ac:dyDescent="0.3">
      <c r="A101" s="2" t="s">
        <v>112</v>
      </c>
      <c r="B101">
        <v>268540</v>
      </c>
      <c r="C101">
        <v>241810</v>
      </c>
      <c r="D101">
        <v>243360</v>
      </c>
      <c r="N101" t="str">
        <f>VLOOKUP(A101,Tabla1[[#All],[EMISORA]:[Columna1]],2,FALSE)</f>
        <v>Telecommunications</v>
      </c>
    </row>
    <row r="102" spans="1:14" x14ac:dyDescent="0.3">
      <c r="A102" s="2" t="s">
        <v>269</v>
      </c>
      <c r="G102">
        <v>38775</v>
      </c>
      <c r="H102">
        <v>54309</v>
      </c>
      <c r="I102">
        <v>54309</v>
      </c>
      <c r="J102">
        <v>54309</v>
      </c>
      <c r="K102">
        <v>85858</v>
      </c>
      <c r="L102">
        <v>112771</v>
      </c>
      <c r="M102">
        <v>108436</v>
      </c>
      <c r="N102" t="str">
        <f>VLOOKUP(A102,Tabla1[[#All],[EMISORA]:[Columna1]],2,FALSE)</f>
        <v>Internet Services and Retailing</v>
      </c>
    </row>
    <row r="103" spans="1:14" x14ac:dyDescent="0.3">
      <c r="A103" s="2" t="s">
        <v>280</v>
      </c>
      <c r="B103">
        <v>38775</v>
      </c>
      <c r="N103" t="str">
        <f>VLOOKUP(A103,Tabla1[[#All],[EMISORA]:[Columna1]],2,FALSE)</f>
        <v>Internet Services and Retailing</v>
      </c>
    </row>
    <row r="104" spans="1:14" x14ac:dyDescent="0.3">
      <c r="A104" s="2" t="s">
        <v>289</v>
      </c>
      <c r="F104">
        <v>129890</v>
      </c>
      <c r="G104">
        <v>127323</v>
      </c>
      <c r="H104">
        <v>120138</v>
      </c>
      <c r="I104">
        <v>120138</v>
      </c>
      <c r="J104">
        <v>120138</v>
      </c>
      <c r="K104">
        <v>112797</v>
      </c>
      <c r="L104">
        <v>104150</v>
      </c>
      <c r="M104">
        <v>103651</v>
      </c>
      <c r="N104" t="str">
        <f>VLOOKUP(A104,Tabla1[[#All],[EMISORA]:[Columna1]],2,FALSE)</f>
        <v>Telecommunications</v>
      </c>
    </row>
    <row r="105" spans="1:14" x14ac:dyDescent="0.3">
      <c r="A105" s="2" t="s">
        <v>238</v>
      </c>
      <c r="B105">
        <v>127323</v>
      </c>
      <c r="C105">
        <v>133186</v>
      </c>
      <c r="D105">
        <v>126730</v>
      </c>
      <c r="N105" t="str">
        <f>VLOOKUP(A105,Tabla1[[#All],[EMISORA]:[Columna1]],2,FALSE)</f>
        <v>Telecommunications</v>
      </c>
    </row>
    <row r="106" spans="1:14" x14ac:dyDescent="0.3">
      <c r="A106" s="2" t="s">
        <v>145</v>
      </c>
      <c r="F106">
        <v>82094</v>
      </c>
      <c r="G106">
        <v>61227</v>
      </c>
      <c r="N106" t="str">
        <f>VLOOKUP(A106,Tabla1[[#All],[EMISORA]:[Columna1]],2,FALSE)</f>
        <v>Telecommunications</v>
      </c>
    </row>
    <row r="107" spans="1:14" x14ac:dyDescent="0.3">
      <c r="A107" s="2" t="s">
        <v>156</v>
      </c>
      <c r="B107">
        <v>61227</v>
      </c>
      <c r="C107">
        <v>83162</v>
      </c>
      <c r="D107">
        <v>82196</v>
      </c>
      <c r="N107" t="str">
        <f>VLOOKUP(A107,Tabla1[[#All],[EMISORA]:[Columna1]],2,FALSE)</f>
        <v>Telecommunications</v>
      </c>
    </row>
    <row r="108" spans="1:14" x14ac:dyDescent="0.3">
      <c r="A108" s="2" t="s">
        <v>305</v>
      </c>
      <c r="F108">
        <v>36165</v>
      </c>
      <c r="N108" t="str">
        <f>VLOOKUP(A108,Tabla1[[#All],[EMISORA]:[Columna1]],2,FALSE)</f>
        <v>Telecommunications</v>
      </c>
    </row>
    <row r="109" spans="1:14" x14ac:dyDescent="0.3">
      <c r="A109" s="2" t="s">
        <v>217</v>
      </c>
      <c r="C109">
        <v>36039</v>
      </c>
      <c r="D109">
        <v>37721</v>
      </c>
      <c r="N109" t="str">
        <f>VLOOKUP(A109,Tabla1[[#All],[EMISORA]:[Columna1]],2,FALSE)</f>
        <v>Telecommunications</v>
      </c>
    </row>
    <row r="110" spans="1:14" x14ac:dyDescent="0.3">
      <c r="A110" s="2" t="s">
        <v>175</v>
      </c>
      <c r="C110">
        <v>206000</v>
      </c>
      <c r="D110">
        <v>200260</v>
      </c>
      <c r="N110" t="str">
        <f>VLOOKUP(A110,Tabla1[[#All],[EMISORA]:[Columna1]],2,FALSE)</f>
        <v>Electronics, Electrical Equip.</v>
      </c>
    </row>
    <row r="111" spans="1:14" x14ac:dyDescent="0.3">
      <c r="A111" s="2" t="s">
        <v>133</v>
      </c>
      <c r="F111">
        <v>188000</v>
      </c>
      <c r="H111">
        <v>128697</v>
      </c>
      <c r="I111">
        <v>128697</v>
      </c>
      <c r="J111">
        <v>128697</v>
      </c>
      <c r="K111">
        <v>117300</v>
      </c>
      <c r="L111">
        <v>116224</v>
      </c>
      <c r="N111" t="str">
        <f>VLOOKUP(A111,Tabla1[[#All],[EMISORA]:[Columna1]],2,FALSE)</f>
        <v>Electronics, Electrical Equip.</v>
      </c>
    </row>
    <row r="112" spans="1:14" x14ac:dyDescent="0.3">
      <c r="A112" s="2" t="s">
        <v>117</v>
      </c>
      <c r="M112">
        <v>32800</v>
      </c>
      <c r="N112" t="str">
        <f>VLOOKUP(A112,Tabla1[[#All],[EMISORA]:[Columna1]],2,FALSE)</f>
        <v>Internet Services and Retailing</v>
      </c>
    </row>
    <row r="113" spans="1:14" x14ac:dyDescent="0.3">
      <c r="A113" s="2" t="s">
        <v>229</v>
      </c>
      <c r="C113">
        <v>57182</v>
      </c>
      <c r="D113">
        <v>52440</v>
      </c>
      <c r="N113" t="str">
        <f>VLOOKUP(A113,Tabla1[[#All],[EMISORA]:[Columna1]],2,FALSE)</f>
        <v>Telecommunications</v>
      </c>
    </row>
    <row r="114" spans="1:14" x14ac:dyDescent="0.3">
      <c r="A114" s="2" t="s">
        <v>136</v>
      </c>
      <c r="F114">
        <v>111684</v>
      </c>
      <c r="G114">
        <v>111556</v>
      </c>
      <c r="H114">
        <v>98996</v>
      </c>
      <c r="I114">
        <v>98996</v>
      </c>
      <c r="J114">
        <v>98996</v>
      </c>
      <c r="K114">
        <v>96506</v>
      </c>
      <c r="L114">
        <v>96941</v>
      </c>
      <c r="M114">
        <v>98103</v>
      </c>
      <c r="N114" t="str">
        <f>VLOOKUP(A114,Tabla1[[#All],[EMISORA]:[Columna1]],2,FALSE)</f>
        <v>Telecommunications</v>
      </c>
    </row>
    <row r="115" spans="1:14" x14ac:dyDescent="0.3">
      <c r="A115" s="2" t="s">
        <v>181</v>
      </c>
      <c r="B115">
        <v>111556</v>
      </c>
      <c r="C115">
        <v>91272</v>
      </c>
      <c r="D115">
        <v>89146</v>
      </c>
      <c r="N115" t="str">
        <f>VLOOKUP(A115,Tabla1[[#All],[EMISORA]:[Columna1]],2,FALSE)</f>
        <v>Telecommunications</v>
      </c>
    </row>
    <row r="116" spans="1:14" x14ac:dyDescent="0.3">
      <c r="A116" s="2" t="s">
        <v>74</v>
      </c>
      <c r="F116">
        <v>177700</v>
      </c>
      <c r="G116">
        <v>160900</v>
      </c>
      <c r="H116">
        <v>144500</v>
      </c>
      <c r="I116">
        <v>144500</v>
      </c>
      <c r="J116">
        <v>144500</v>
      </c>
      <c r="K116">
        <v>132200</v>
      </c>
      <c r="L116">
        <v>118400</v>
      </c>
      <c r="M116">
        <v>117100</v>
      </c>
      <c r="N116" t="str">
        <f>VLOOKUP(A116,Tabla1[[#All],[EMISORA]:[Columna1]],2,FALSE)</f>
        <v>Telecommunications</v>
      </c>
    </row>
    <row r="117" spans="1:14" x14ac:dyDescent="0.3">
      <c r="A117" s="2" t="s">
        <v>76</v>
      </c>
      <c r="B117">
        <v>160900</v>
      </c>
      <c r="C117">
        <v>183400</v>
      </c>
      <c r="D117">
        <v>176800</v>
      </c>
      <c r="N117" t="str">
        <f>VLOOKUP(A117,Tabla1[[#All],[EMISORA]:[Columna1]],2,FALSE)</f>
        <v>Telecommunications</v>
      </c>
    </row>
    <row r="118" spans="1:14" x14ac:dyDescent="0.3">
      <c r="A118" s="2" t="s">
        <v>276</v>
      </c>
      <c r="K118">
        <v>22074</v>
      </c>
      <c r="N118" t="str">
        <f>VLOOKUP(A118,Tabla1[[#All],[EMISORA]:[Columna1]],2,FALSE)</f>
        <v>Internet Services and Retailing</v>
      </c>
    </row>
    <row r="119" spans="1:14" x14ac:dyDescent="0.3">
      <c r="A119" s="2" t="s">
        <v>139</v>
      </c>
      <c r="H119">
        <v>16683</v>
      </c>
      <c r="I119">
        <v>16683</v>
      </c>
      <c r="J119">
        <v>16683</v>
      </c>
      <c r="L119">
        <v>33427</v>
      </c>
      <c r="M119">
        <v>32543</v>
      </c>
      <c r="N119" t="str">
        <f>VLOOKUP(A119,Tabla1[[#All],[EMISORA]:[Columna1]],2,FALSE)</f>
        <v>Internet Services and Retailing</v>
      </c>
    </row>
    <row r="120" spans="1:14" x14ac:dyDescent="0.3">
      <c r="A120" t="s">
        <v>278</v>
      </c>
      <c r="G120">
        <v>80856</v>
      </c>
      <c r="N120" t="s">
        <v>347</v>
      </c>
    </row>
    <row r="121" spans="1:14" x14ac:dyDescent="0.3">
      <c r="A121" t="s">
        <v>282</v>
      </c>
      <c r="B121">
        <v>80856</v>
      </c>
      <c r="N121" t="s">
        <v>347</v>
      </c>
    </row>
    <row r="122" spans="1:14" x14ac:dyDescent="0.3">
      <c r="A122" t="s">
        <v>645</v>
      </c>
      <c r="D122">
        <v>89531</v>
      </c>
      <c r="N122" t="s">
        <v>347</v>
      </c>
    </row>
    <row r="123" spans="1:14" x14ac:dyDescent="0.3">
      <c r="A123" t="s">
        <v>622</v>
      </c>
      <c r="F123">
        <v>99389</v>
      </c>
      <c r="G123">
        <v>99389</v>
      </c>
      <c r="H123">
        <v>119732</v>
      </c>
      <c r="I123">
        <v>119732</v>
      </c>
      <c r="J123">
        <v>119732</v>
      </c>
      <c r="K123">
        <v>118359</v>
      </c>
      <c r="L123">
        <v>117177</v>
      </c>
      <c r="M123">
        <v>116649</v>
      </c>
      <c r="N123" t="s">
        <v>347</v>
      </c>
    </row>
    <row r="124" spans="1:14" x14ac:dyDescent="0.3">
      <c r="A124" t="s">
        <v>652</v>
      </c>
      <c r="B124">
        <v>99389</v>
      </c>
      <c r="N124" t="s">
        <v>347</v>
      </c>
    </row>
    <row r="125" spans="1:14" x14ac:dyDescent="0.3">
      <c r="A125" t="s">
        <v>604</v>
      </c>
      <c r="F125">
        <v>122244</v>
      </c>
      <c r="N125" t="s">
        <v>347</v>
      </c>
    </row>
    <row r="126" spans="1:14" x14ac:dyDescent="0.3">
      <c r="A126" t="s">
        <v>559</v>
      </c>
      <c r="C126">
        <v>105876</v>
      </c>
      <c r="D126">
        <v>110351</v>
      </c>
      <c r="N126" t="s">
        <v>347</v>
      </c>
    </row>
    <row r="127" spans="1:14" x14ac:dyDescent="0.3">
      <c r="A127" t="s">
        <v>594</v>
      </c>
      <c r="G127">
        <v>124729</v>
      </c>
      <c r="H127">
        <v>134682</v>
      </c>
      <c r="I127">
        <v>134682</v>
      </c>
      <c r="J127">
        <v>134682</v>
      </c>
      <c r="K127">
        <v>120726</v>
      </c>
      <c r="L127">
        <v>118909</v>
      </c>
      <c r="M127">
        <v>149475</v>
      </c>
      <c r="N127" t="s">
        <v>347</v>
      </c>
    </row>
    <row r="128" spans="1:14" x14ac:dyDescent="0.3">
      <c r="A128" t="s">
        <v>609</v>
      </c>
      <c r="B128">
        <v>124729</v>
      </c>
      <c r="N128" t="s">
        <v>347</v>
      </c>
    </row>
    <row r="129" spans="1:14" x14ac:dyDescent="0.3">
      <c r="A129" t="s">
        <v>441</v>
      </c>
      <c r="F129">
        <v>144303</v>
      </c>
      <c r="G129">
        <v>143616</v>
      </c>
      <c r="H129">
        <v>143509</v>
      </c>
      <c r="I129">
        <v>143509</v>
      </c>
      <c r="J129">
        <v>143509</v>
      </c>
      <c r="K129">
        <v>138036</v>
      </c>
      <c r="L129">
        <v>135636</v>
      </c>
      <c r="M129">
        <v>129260</v>
      </c>
      <c r="N129" t="s">
        <v>347</v>
      </c>
    </row>
    <row r="130" spans="1:14" x14ac:dyDescent="0.3">
      <c r="A130" t="s">
        <v>491</v>
      </c>
      <c r="B130">
        <v>143616</v>
      </c>
      <c r="C130">
        <v>143448</v>
      </c>
      <c r="D130">
        <v>145029</v>
      </c>
      <c r="N130" t="s">
        <v>347</v>
      </c>
    </row>
    <row r="131" spans="1:14" x14ac:dyDescent="0.3">
      <c r="A131" t="s">
        <v>614</v>
      </c>
      <c r="L131">
        <v>288186</v>
      </c>
      <c r="M131">
        <v>570060</v>
      </c>
      <c r="N131" t="s">
        <v>347</v>
      </c>
    </row>
    <row r="132" spans="1:14" x14ac:dyDescent="0.3">
      <c r="A132" t="s">
        <v>419</v>
      </c>
      <c r="F132">
        <v>207899</v>
      </c>
      <c r="G132">
        <v>220137</v>
      </c>
      <c r="H132">
        <v>243226</v>
      </c>
      <c r="I132">
        <v>243226</v>
      </c>
      <c r="J132">
        <v>243226</v>
      </c>
      <c r="K132">
        <v>236386</v>
      </c>
      <c r="L132">
        <v>190875</v>
      </c>
      <c r="M132">
        <v>199038</v>
      </c>
      <c r="N132" t="s">
        <v>347</v>
      </c>
    </row>
    <row r="133" spans="1:14" x14ac:dyDescent="0.3">
      <c r="A133" t="s">
        <v>524</v>
      </c>
      <c r="B133">
        <v>220137</v>
      </c>
      <c r="C133">
        <v>169639</v>
      </c>
      <c r="D133">
        <v>177762</v>
      </c>
      <c r="N133" t="s">
        <v>347</v>
      </c>
    </row>
    <row r="134" spans="1:14" x14ac:dyDescent="0.3">
      <c r="A134" t="s">
        <v>567</v>
      </c>
      <c r="C134">
        <v>275087</v>
      </c>
      <c r="N134" t="s">
        <v>347</v>
      </c>
    </row>
    <row r="135" spans="1:14" x14ac:dyDescent="0.3">
      <c r="A135" t="s">
        <v>603</v>
      </c>
      <c r="F135">
        <v>284015</v>
      </c>
      <c r="G135">
        <v>282488</v>
      </c>
      <c r="N135" t="s">
        <v>347</v>
      </c>
    </row>
    <row r="136" spans="1:14" x14ac:dyDescent="0.3">
      <c r="A136" t="s">
        <v>607</v>
      </c>
      <c r="B136">
        <v>282488</v>
      </c>
      <c r="D136">
        <v>274616</v>
      </c>
      <c r="N136" t="s">
        <v>347</v>
      </c>
    </row>
    <row r="137" spans="1:14" x14ac:dyDescent="0.3">
      <c r="A137" t="s">
        <v>601</v>
      </c>
      <c r="H137">
        <v>298683</v>
      </c>
      <c r="I137">
        <v>298683</v>
      </c>
      <c r="J137">
        <v>298683</v>
      </c>
      <c r="K137">
        <v>288481</v>
      </c>
      <c r="L137">
        <v>172425</v>
      </c>
      <c r="N137" t="s">
        <v>347</v>
      </c>
    </row>
    <row r="138" spans="1:14" x14ac:dyDescent="0.3">
      <c r="A138" t="s">
        <v>627</v>
      </c>
      <c r="F138">
        <v>151775</v>
      </c>
      <c r="G138">
        <v>154493</v>
      </c>
      <c r="H138">
        <v>171992</v>
      </c>
      <c r="I138">
        <v>171992</v>
      </c>
      <c r="J138">
        <v>171992</v>
      </c>
      <c r="K138">
        <v>168391</v>
      </c>
      <c r="L138">
        <v>167950</v>
      </c>
      <c r="M138">
        <v>164572</v>
      </c>
      <c r="N138" t="s">
        <v>347</v>
      </c>
    </row>
    <row r="139" spans="1:14" x14ac:dyDescent="0.3">
      <c r="A139" t="s">
        <v>531</v>
      </c>
      <c r="B139">
        <v>154493</v>
      </c>
      <c r="C139">
        <v>132276</v>
      </c>
      <c r="D139">
        <v>139842</v>
      </c>
      <c r="N139" t="s">
        <v>347</v>
      </c>
    </row>
    <row r="140" spans="1:14" x14ac:dyDescent="0.3">
      <c r="A140" t="s">
        <v>399</v>
      </c>
      <c r="M140">
        <v>102888</v>
      </c>
      <c r="N140" t="s">
        <v>347</v>
      </c>
    </row>
    <row r="141" spans="1:14" x14ac:dyDescent="0.3">
      <c r="A141" t="s">
        <v>684</v>
      </c>
      <c r="D141">
        <v>305963</v>
      </c>
      <c r="N141" t="s">
        <v>347</v>
      </c>
    </row>
    <row r="142" spans="1:14" x14ac:dyDescent="0.3">
      <c r="A142" t="s">
        <v>368</v>
      </c>
      <c r="F142">
        <v>199000</v>
      </c>
      <c r="G142">
        <v>201000</v>
      </c>
      <c r="H142">
        <v>199000</v>
      </c>
      <c r="I142">
        <v>199000</v>
      </c>
      <c r="J142">
        <v>199000</v>
      </c>
      <c r="K142">
        <v>186000</v>
      </c>
      <c r="L142">
        <v>183000</v>
      </c>
      <c r="M142">
        <v>173000</v>
      </c>
      <c r="N142" t="s">
        <v>347</v>
      </c>
    </row>
    <row r="143" spans="1:14" x14ac:dyDescent="0.3">
      <c r="A143" t="s">
        <v>374</v>
      </c>
      <c r="B143">
        <v>201000</v>
      </c>
      <c r="C143">
        <v>171000</v>
      </c>
      <c r="D143">
        <v>181000</v>
      </c>
      <c r="N143" t="s">
        <v>347</v>
      </c>
    </row>
    <row r="144" spans="1:14" x14ac:dyDescent="0.3">
      <c r="A144" t="s">
        <v>479</v>
      </c>
      <c r="F144">
        <v>34735</v>
      </c>
      <c r="G144">
        <v>36668</v>
      </c>
      <c r="H144">
        <v>34200</v>
      </c>
      <c r="I144">
        <v>34200</v>
      </c>
      <c r="J144">
        <v>34200</v>
      </c>
      <c r="K144">
        <v>36070</v>
      </c>
      <c r="N144" t="s">
        <v>347</v>
      </c>
    </row>
    <row r="145" spans="1:14" x14ac:dyDescent="0.3">
      <c r="A145" t="s">
        <v>489</v>
      </c>
      <c r="B145">
        <v>36668</v>
      </c>
      <c r="D145">
        <v>28545</v>
      </c>
      <c r="N145" t="s">
        <v>347</v>
      </c>
    </row>
    <row r="146" spans="1:14" x14ac:dyDescent="0.3">
      <c r="A146" t="s">
        <v>350</v>
      </c>
      <c r="F146">
        <v>215000</v>
      </c>
      <c r="G146">
        <v>225000</v>
      </c>
      <c r="H146">
        <v>173000</v>
      </c>
      <c r="I146">
        <v>173000</v>
      </c>
      <c r="J146">
        <v>173000</v>
      </c>
      <c r="K146">
        <v>155000</v>
      </c>
      <c r="L146">
        <v>157000</v>
      </c>
      <c r="M146">
        <v>167000</v>
      </c>
      <c r="N146" t="s">
        <v>347</v>
      </c>
    </row>
    <row r="147" spans="1:14" x14ac:dyDescent="0.3">
      <c r="A147" t="s">
        <v>355</v>
      </c>
      <c r="B147">
        <v>225000</v>
      </c>
      <c r="C147">
        <v>213000</v>
      </c>
      <c r="D147">
        <v>219000</v>
      </c>
      <c r="N147" t="s">
        <v>347</v>
      </c>
    </row>
    <row r="148" spans="1:14" x14ac:dyDescent="0.3">
      <c r="A148" t="s">
        <v>473</v>
      </c>
      <c r="F148">
        <v>208399</v>
      </c>
      <c r="G148">
        <v>211915</v>
      </c>
      <c r="H148">
        <v>219722</v>
      </c>
      <c r="I148">
        <v>219722</v>
      </c>
      <c r="J148">
        <v>219722</v>
      </c>
      <c r="K148">
        <v>211374</v>
      </c>
      <c r="L148">
        <v>204035</v>
      </c>
      <c r="M148">
        <v>197039</v>
      </c>
      <c r="N148" t="s">
        <v>347</v>
      </c>
    </row>
    <row r="149" spans="1:14" x14ac:dyDescent="0.3">
      <c r="A149" t="s">
        <v>493</v>
      </c>
      <c r="B149">
        <v>211915</v>
      </c>
      <c r="C149">
        <v>190338</v>
      </c>
      <c r="D149">
        <v>190338</v>
      </c>
      <c r="N149" t="s">
        <v>347</v>
      </c>
    </row>
    <row r="150" spans="1:14" x14ac:dyDescent="0.3">
      <c r="A150" t="s">
        <v>660</v>
      </c>
      <c r="F150">
        <v>129315</v>
      </c>
      <c r="G150">
        <v>129315</v>
      </c>
      <c r="H150">
        <v>122217</v>
      </c>
      <c r="I150">
        <v>122217</v>
      </c>
      <c r="J150">
        <v>122217</v>
      </c>
      <c r="K150">
        <v>122814</v>
      </c>
      <c r="L150">
        <v>121403</v>
      </c>
      <c r="M150">
        <v>72689</v>
      </c>
      <c r="N150" t="s">
        <v>347</v>
      </c>
    </row>
    <row r="151" spans="1:14" x14ac:dyDescent="0.3">
      <c r="A151" t="s">
        <v>552</v>
      </c>
      <c r="B151">
        <v>129315</v>
      </c>
      <c r="C151">
        <v>98348</v>
      </c>
      <c r="D151">
        <v>104731</v>
      </c>
      <c r="N151" t="s">
        <v>347</v>
      </c>
    </row>
    <row r="152" spans="1:14" x14ac:dyDescent="0.3">
      <c r="A152" t="s">
        <v>382</v>
      </c>
      <c r="F152">
        <v>139000</v>
      </c>
      <c r="N152" t="s">
        <v>347</v>
      </c>
    </row>
    <row r="153" spans="1:14" x14ac:dyDescent="0.3">
      <c r="A153" t="s">
        <v>388</v>
      </c>
      <c r="C153">
        <v>170000</v>
      </c>
      <c r="D153">
        <v>170000</v>
      </c>
      <c r="N153" t="s">
        <v>347</v>
      </c>
    </row>
    <row r="154" spans="1:14" x14ac:dyDescent="0.3">
      <c r="A154" t="s">
        <v>426</v>
      </c>
      <c r="G154">
        <v>430000</v>
      </c>
      <c r="H154">
        <v>469000</v>
      </c>
      <c r="I154">
        <v>469000</v>
      </c>
      <c r="J154">
        <v>469000</v>
      </c>
      <c r="K154">
        <v>403000</v>
      </c>
      <c r="L154">
        <v>400000</v>
      </c>
      <c r="M154">
        <v>425000</v>
      </c>
      <c r="N154" t="s">
        <v>347</v>
      </c>
    </row>
    <row r="155" spans="1:14" x14ac:dyDescent="0.3">
      <c r="A155" t="s">
        <v>617</v>
      </c>
      <c r="B155">
        <v>430000</v>
      </c>
      <c r="N155" t="s">
        <v>347</v>
      </c>
    </row>
    <row r="156" spans="1:14" x14ac:dyDescent="0.3">
      <c r="A156" t="s">
        <v>597</v>
      </c>
      <c r="M156">
        <v>168797</v>
      </c>
      <c r="N156" t="s">
        <v>347</v>
      </c>
    </row>
    <row r="157" spans="1:14" x14ac:dyDescent="0.3">
      <c r="A157" t="s">
        <v>655</v>
      </c>
      <c r="F157">
        <v>128975</v>
      </c>
      <c r="G157">
        <v>155450</v>
      </c>
      <c r="H157">
        <v>174000</v>
      </c>
      <c r="I157">
        <v>174000</v>
      </c>
      <c r="J157">
        <v>174000</v>
      </c>
      <c r="K157">
        <v>158000</v>
      </c>
      <c r="L157">
        <v>158000</v>
      </c>
      <c r="M157">
        <v>158000</v>
      </c>
      <c r="N157" t="s">
        <v>347</v>
      </c>
    </row>
    <row r="158" spans="1:14" x14ac:dyDescent="0.3">
      <c r="A158" t="s">
        <v>511</v>
      </c>
      <c r="B158">
        <v>155450</v>
      </c>
      <c r="C158">
        <v>118975</v>
      </c>
      <c r="D158">
        <v>125150</v>
      </c>
      <c r="N158" t="s">
        <v>347</v>
      </c>
    </row>
    <row r="159" spans="1:14" x14ac:dyDescent="0.3">
      <c r="A159" t="s">
        <v>503</v>
      </c>
      <c r="C159">
        <v>107302</v>
      </c>
      <c r="N159" t="s">
        <v>347</v>
      </c>
    </row>
    <row r="160" spans="1:14" x14ac:dyDescent="0.3">
      <c r="A160" t="s">
        <v>581</v>
      </c>
      <c r="F160">
        <v>105798</v>
      </c>
      <c r="G160">
        <v>105654</v>
      </c>
      <c r="H160">
        <v>111117</v>
      </c>
      <c r="I160">
        <v>111117</v>
      </c>
      <c r="J160">
        <v>111117</v>
      </c>
      <c r="N160" t="s">
        <v>347</v>
      </c>
    </row>
    <row r="161" spans="1:14" x14ac:dyDescent="0.3">
      <c r="A161" t="s">
        <v>589</v>
      </c>
      <c r="B161">
        <v>105654</v>
      </c>
      <c r="D161">
        <v>105724</v>
      </c>
      <c r="N161" t="s">
        <v>347</v>
      </c>
    </row>
    <row r="162" spans="1:14" x14ac:dyDescent="0.3">
      <c r="A162" t="s">
        <v>639</v>
      </c>
      <c r="F162">
        <v>46398</v>
      </c>
      <c r="G162">
        <v>48849</v>
      </c>
      <c r="H162">
        <v>49998</v>
      </c>
      <c r="I162">
        <v>49998</v>
      </c>
      <c r="J162">
        <v>49998</v>
      </c>
      <c r="K162">
        <v>49786</v>
      </c>
      <c r="N162" t="s">
        <v>347</v>
      </c>
    </row>
    <row r="163" spans="1:14" x14ac:dyDescent="0.3">
      <c r="A163" t="s">
        <v>465</v>
      </c>
      <c r="B163">
        <v>48849</v>
      </c>
      <c r="C163">
        <v>37745</v>
      </c>
      <c r="D163">
        <v>40892</v>
      </c>
      <c r="N163" t="s">
        <v>347</v>
      </c>
    </row>
    <row r="164" spans="1:14" x14ac:dyDescent="0.3">
      <c r="A164" t="s">
        <v>434</v>
      </c>
      <c r="F164">
        <v>152421</v>
      </c>
      <c r="G164">
        <v>137250</v>
      </c>
      <c r="H164">
        <v>148513</v>
      </c>
      <c r="I164">
        <v>148513</v>
      </c>
      <c r="J164">
        <v>148513</v>
      </c>
      <c r="K164">
        <v>139507</v>
      </c>
      <c r="L164">
        <v>141983</v>
      </c>
      <c r="M164">
        <v>139418</v>
      </c>
      <c r="N164" t="s">
        <v>347</v>
      </c>
    </row>
    <row r="165" spans="1:14" x14ac:dyDescent="0.3">
      <c r="A165" t="s">
        <v>562</v>
      </c>
      <c r="B165">
        <v>137250</v>
      </c>
      <c r="C165">
        <v>160530</v>
      </c>
      <c r="D165">
        <v>142925</v>
      </c>
      <c r="N165" t="s">
        <v>347</v>
      </c>
    </row>
    <row r="166" spans="1:14" x14ac:dyDescent="0.3">
      <c r="A166" t="s">
        <v>545</v>
      </c>
      <c r="C166">
        <v>204287</v>
      </c>
      <c r="N166" t="s">
        <v>347</v>
      </c>
    </row>
    <row r="167" spans="1:14" x14ac:dyDescent="0.3">
      <c r="A167" t="s">
        <v>456</v>
      </c>
      <c r="F167">
        <v>187347</v>
      </c>
      <c r="G167">
        <v>175341</v>
      </c>
      <c r="H167">
        <v>216539</v>
      </c>
      <c r="I167">
        <v>216539</v>
      </c>
      <c r="J167">
        <v>216539</v>
      </c>
      <c r="N167" t="s">
        <v>347</v>
      </c>
    </row>
    <row r="168" spans="1:14" x14ac:dyDescent="0.3">
      <c r="A168" t="s">
        <v>459</v>
      </c>
      <c r="B168">
        <v>175341</v>
      </c>
      <c r="D168">
        <v>198885</v>
      </c>
      <c r="N168" t="s">
        <v>347</v>
      </c>
    </row>
    <row r="169" spans="1:14" x14ac:dyDescent="0.3">
      <c r="A169" t="s">
        <v>413</v>
      </c>
      <c r="F169">
        <v>120136</v>
      </c>
      <c r="G169">
        <v>124849</v>
      </c>
      <c r="H169">
        <v>183002</v>
      </c>
      <c r="I169">
        <v>183002</v>
      </c>
      <c r="J169">
        <v>183002</v>
      </c>
      <c r="K169">
        <v>170158</v>
      </c>
      <c r="L169">
        <v>156466</v>
      </c>
      <c r="M169">
        <v>105812</v>
      </c>
      <c r="N169" t="s">
        <v>347</v>
      </c>
    </row>
    <row r="170" spans="1:14" x14ac:dyDescent="0.3">
      <c r="A170" t="s">
        <v>590</v>
      </c>
      <c r="B170">
        <v>124849</v>
      </c>
      <c r="N170" t="s">
        <v>347</v>
      </c>
    </row>
    <row r="171" spans="1:14" x14ac:dyDescent="0.3">
      <c r="A171" t="s">
        <v>542</v>
      </c>
      <c r="C171">
        <v>127086</v>
      </c>
      <c r="D171">
        <v>121807</v>
      </c>
      <c r="N171" t="s">
        <v>347</v>
      </c>
    </row>
    <row r="172" spans="1:14" x14ac:dyDescent="0.3">
      <c r="A172" t="s">
        <v>636</v>
      </c>
      <c r="F172">
        <v>240865</v>
      </c>
      <c r="G172">
        <v>248330</v>
      </c>
      <c r="H172">
        <v>272796</v>
      </c>
      <c r="I172">
        <v>272796</v>
      </c>
      <c r="J172">
        <v>272796</v>
      </c>
      <c r="K172">
        <v>286784</v>
      </c>
      <c r="L172">
        <v>281075</v>
      </c>
      <c r="N172" t="s">
        <v>347</v>
      </c>
    </row>
    <row r="173" spans="1:14" x14ac:dyDescent="0.3">
      <c r="A173" t="s">
        <v>214</v>
      </c>
      <c r="B173">
        <v>248330</v>
      </c>
      <c r="N173" t="s">
        <v>347</v>
      </c>
    </row>
    <row r="174" spans="1:14" x14ac:dyDescent="0.3">
      <c r="A174" t="s">
        <v>666</v>
      </c>
      <c r="L174">
        <v>281595</v>
      </c>
      <c r="M174">
        <v>272367</v>
      </c>
      <c r="N174" t="s">
        <v>347</v>
      </c>
    </row>
    <row r="175" spans="1:14" x14ac:dyDescent="0.3">
      <c r="A175" t="s">
        <v>518</v>
      </c>
      <c r="C175">
        <v>55948</v>
      </c>
      <c r="N175" t="s">
        <v>347</v>
      </c>
    </row>
    <row r="176" spans="1:14" x14ac:dyDescent="0.3">
      <c r="A176" t="s">
        <v>625</v>
      </c>
      <c r="F176">
        <v>61601</v>
      </c>
      <c r="G176">
        <v>62992</v>
      </c>
      <c r="H176">
        <v>67721</v>
      </c>
      <c r="I176">
        <v>67721</v>
      </c>
      <c r="J176">
        <v>67721</v>
      </c>
      <c r="K176">
        <v>68739</v>
      </c>
      <c r="L176">
        <v>69193</v>
      </c>
      <c r="M176">
        <v>70012</v>
      </c>
      <c r="N176" t="s">
        <v>347</v>
      </c>
    </row>
    <row r="177" spans="1:14" x14ac:dyDescent="0.3">
      <c r="A177" t="s">
        <v>647</v>
      </c>
      <c r="B177">
        <v>62992</v>
      </c>
      <c r="D177">
        <v>57749</v>
      </c>
      <c r="N177" t="s">
        <v>347</v>
      </c>
    </row>
    <row r="178" spans="1:14" x14ac:dyDescent="0.3">
      <c r="A178" t="s">
        <v>630</v>
      </c>
      <c r="F178">
        <v>348877</v>
      </c>
      <c r="G178">
        <v>364445</v>
      </c>
      <c r="H178">
        <v>370870</v>
      </c>
      <c r="I178">
        <v>370870</v>
      </c>
      <c r="J178">
        <v>370870</v>
      </c>
      <c r="K178">
        <v>366283</v>
      </c>
      <c r="L178">
        <v>372817</v>
      </c>
      <c r="M178">
        <v>375235</v>
      </c>
      <c r="N178" t="s">
        <v>347</v>
      </c>
    </row>
    <row r="179" spans="1:14" x14ac:dyDescent="0.3">
      <c r="A179" t="s">
        <v>577</v>
      </c>
      <c r="B179">
        <v>364445</v>
      </c>
      <c r="C179">
        <v>333498</v>
      </c>
      <c r="D179">
        <v>338875</v>
      </c>
      <c r="N179" t="s">
        <v>347</v>
      </c>
    </row>
    <row r="180" spans="1:14" x14ac:dyDescent="0.3">
      <c r="A180" t="s">
        <v>362</v>
      </c>
      <c r="K180">
        <v>70757</v>
      </c>
      <c r="L180">
        <v>99290</v>
      </c>
      <c r="M180">
        <v>127855</v>
      </c>
      <c r="N180" t="s">
        <v>347</v>
      </c>
    </row>
    <row r="181" spans="1:14" x14ac:dyDescent="0.3">
      <c r="A181" t="s">
        <v>406</v>
      </c>
      <c r="F181">
        <v>76500</v>
      </c>
      <c r="G181">
        <v>79558</v>
      </c>
      <c r="H181">
        <v>81090</v>
      </c>
      <c r="I181">
        <v>81090</v>
      </c>
      <c r="J181">
        <v>81090</v>
      </c>
      <c r="K181">
        <v>75278</v>
      </c>
      <c r="L181">
        <v>73608</v>
      </c>
      <c r="N181" t="s">
        <v>347</v>
      </c>
    </row>
    <row r="182" spans="1:14" x14ac:dyDescent="0.3">
      <c r="A182" t="s">
        <v>521</v>
      </c>
      <c r="B182">
        <v>79558</v>
      </c>
      <c r="C182">
        <v>62873</v>
      </c>
      <c r="D182">
        <v>60000</v>
      </c>
      <c r="N182" t="s">
        <v>347</v>
      </c>
    </row>
    <row r="183" spans="1:14" x14ac:dyDescent="0.3">
      <c r="A183" t="s">
        <v>450</v>
      </c>
      <c r="F183">
        <v>610076</v>
      </c>
      <c r="G183">
        <v>626715</v>
      </c>
      <c r="N183" t="s">
        <v>347</v>
      </c>
    </row>
    <row r="184" spans="1:14" x14ac:dyDescent="0.3">
      <c r="A184" t="s">
        <v>468</v>
      </c>
      <c r="B184">
        <v>626715</v>
      </c>
      <c r="C184">
        <v>549763</v>
      </c>
      <c r="D184">
        <v>572800</v>
      </c>
      <c r="N184" t="s">
        <v>347</v>
      </c>
    </row>
    <row r="185" spans="1:14" x14ac:dyDescent="0.3">
      <c r="A185" t="s">
        <v>658</v>
      </c>
      <c r="F185">
        <v>93983</v>
      </c>
      <c r="G185">
        <v>89477</v>
      </c>
      <c r="H185">
        <v>98652</v>
      </c>
      <c r="I185">
        <v>98652</v>
      </c>
      <c r="J185">
        <v>98652</v>
      </c>
      <c r="K185">
        <v>91843</v>
      </c>
      <c r="L185">
        <v>89195</v>
      </c>
      <c r="M185">
        <v>94921</v>
      </c>
      <c r="N185" t="s">
        <v>347</v>
      </c>
    </row>
    <row r="186" spans="1:14" x14ac:dyDescent="0.3">
      <c r="A186" t="s">
        <v>688</v>
      </c>
      <c r="B186">
        <v>89477</v>
      </c>
      <c r="N186" t="s">
        <v>347</v>
      </c>
    </row>
    <row r="187" spans="1:14" x14ac:dyDescent="0.3">
      <c r="A187" t="s">
        <v>539</v>
      </c>
      <c r="C187">
        <v>106991</v>
      </c>
      <c r="D187">
        <v>102930</v>
      </c>
      <c r="N187" t="s">
        <v>347</v>
      </c>
    </row>
    <row r="188" spans="1:14" x14ac:dyDescent="0.3">
      <c r="A188" t="s">
        <v>599</v>
      </c>
      <c r="H188">
        <v>664496</v>
      </c>
      <c r="I188">
        <v>664496</v>
      </c>
      <c r="J188">
        <v>664496</v>
      </c>
      <c r="K188">
        <v>662575</v>
      </c>
      <c r="L188">
        <v>672789</v>
      </c>
      <c r="M188">
        <v>675805</v>
      </c>
      <c r="N188" t="s">
        <v>347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B546A-B052-468D-9A79-A9BEBB9A4733}">
  <dimension ref="A1:N119"/>
  <sheetViews>
    <sheetView topLeftCell="A101" workbookViewId="0">
      <selection activeCell="N2" sqref="N2:N119"/>
    </sheetView>
  </sheetViews>
  <sheetFormatPr baseColWidth="10" defaultRowHeight="14.4" x14ac:dyDescent="0.3"/>
  <sheetData>
    <row r="1" spans="1:14" x14ac:dyDescent="0.3">
      <c r="A1" s="3"/>
      <c r="B1" s="3">
        <v>2011</v>
      </c>
      <c r="C1" s="3">
        <v>2012</v>
      </c>
      <c r="D1" s="3">
        <v>2013</v>
      </c>
      <c r="E1" s="3">
        <v>2014</v>
      </c>
      <c r="F1" s="3">
        <v>2015</v>
      </c>
      <c r="G1" s="3">
        <v>2016</v>
      </c>
      <c r="H1" s="3">
        <v>2017</v>
      </c>
      <c r="I1" s="3">
        <v>2018</v>
      </c>
      <c r="J1" s="3">
        <v>2019</v>
      </c>
      <c r="K1" s="3">
        <v>2020</v>
      </c>
      <c r="L1" s="3">
        <v>2021</v>
      </c>
      <c r="M1" s="3">
        <v>2022</v>
      </c>
    </row>
    <row r="2" spans="1:14" x14ac:dyDescent="0.3">
      <c r="A2" s="2" t="s">
        <v>298</v>
      </c>
      <c r="G2">
        <v>0</v>
      </c>
      <c r="N2" t="str">
        <f>VLOOKUP(A2,Tabla1[[#All],[EMISORA]:[Columna1]],2,FALSE)</f>
        <v>Computers, Office Equipment</v>
      </c>
    </row>
    <row r="3" spans="1:14" x14ac:dyDescent="0.3">
      <c r="A3" s="2" t="s">
        <v>278</v>
      </c>
      <c r="F3">
        <v>0</v>
      </c>
      <c r="G3">
        <v>0</v>
      </c>
      <c r="H3">
        <v>0</v>
      </c>
      <c r="I3">
        <v>0</v>
      </c>
      <c r="J3">
        <v>0</v>
      </c>
      <c r="N3" t="str">
        <f>VLOOKUP(A3,Tabla1[[#All],[EMISORA]:[Columna1]],2,FALSE)</f>
        <v>Computers, Office Equipment</v>
      </c>
    </row>
    <row r="4" spans="1:14" x14ac:dyDescent="0.3">
      <c r="A4" s="2" t="s">
        <v>282</v>
      </c>
      <c r="B4">
        <v>0</v>
      </c>
      <c r="N4" t="str">
        <f>VLOOKUP(A4,Tabla1[[#All],[EMISORA]:[Columna1]],2,FALSE)</f>
        <v>Internet Services and Retailing</v>
      </c>
    </row>
    <row r="5" spans="1:14" x14ac:dyDescent="0.3">
      <c r="A5" s="2" t="s">
        <v>307</v>
      </c>
      <c r="B5">
        <v>0</v>
      </c>
      <c r="N5" t="str">
        <f>VLOOKUP(A5,Tabla1[[#All],[EMISORA]:[Columna1]],2,FALSE)</f>
        <v>Telecommunications</v>
      </c>
    </row>
    <row r="6" spans="1:14" x14ac:dyDescent="0.3">
      <c r="A6" s="2" t="s">
        <v>81</v>
      </c>
      <c r="F6">
        <v>42.9</v>
      </c>
      <c r="G6">
        <v>-9.9</v>
      </c>
      <c r="H6">
        <v>29.3</v>
      </c>
      <c r="I6">
        <v>29.3</v>
      </c>
      <c r="J6">
        <v>29.3</v>
      </c>
      <c r="K6">
        <v>10.3</v>
      </c>
      <c r="L6">
        <v>71</v>
      </c>
      <c r="M6">
        <v>8.9</v>
      </c>
      <c r="N6" t="str">
        <f>VLOOKUP(A6,Tabla1[[#All],[EMISORA]:[Columna1]],2,FALSE)</f>
        <v>Computers, Office Equipment</v>
      </c>
    </row>
    <row r="7" spans="1:14" x14ac:dyDescent="0.3">
      <c r="A7" s="2" t="s">
        <v>87</v>
      </c>
      <c r="B7">
        <v>-9.9</v>
      </c>
      <c r="C7">
        <v>59.5</v>
      </c>
      <c r="D7">
        <v>-10.0001</v>
      </c>
      <c r="N7" t="str">
        <f>VLOOKUP(A7,Tabla1[[#All],[EMISORA]:[Columna1]],2,FALSE)</f>
        <v>Computers, Office Equipment</v>
      </c>
    </row>
    <row r="8" spans="1:14" x14ac:dyDescent="0.3">
      <c r="A8" s="2" t="s">
        <v>148</v>
      </c>
      <c r="G8">
        <v>0</v>
      </c>
      <c r="N8" t="str">
        <f>VLOOKUP(A8,Tabla1[[#All],[EMISORA]:[Columna1]],2,FALSE)</f>
        <v>Telecommunications</v>
      </c>
    </row>
    <row r="9" spans="1:14" x14ac:dyDescent="0.3">
      <c r="A9" s="2" t="s">
        <v>178</v>
      </c>
      <c r="B9">
        <v>0</v>
      </c>
      <c r="N9" t="str">
        <f>VLOOKUP(A9,Tabla1[[#All],[EMISORA]:[Columna1]],2,FALSE)</f>
        <v>Telecommunications</v>
      </c>
    </row>
    <row r="10" spans="1:14" x14ac:dyDescent="0.3">
      <c r="A10" s="2" t="s">
        <v>290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 t="str">
        <f>VLOOKUP(A10,Tabla1[[#All],[EMISORA]:[Columna1]],2,FALSE)</f>
        <v>Telecommunications</v>
      </c>
    </row>
    <row r="11" spans="1:14" x14ac:dyDescent="0.3">
      <c r="A11" s="2" t="s">
        <v>235</v>
      </c>
      <c r="B11">
        <v>0</v>
      </c>
      <c r="C11">
        <v>0</v>
      </c>
      <c r="D11">
        <v>0</v>
      </c>
      <c r="N11" t="str">
        <f>VLOOKUP(A11,Tabla1[[#All],[EMISORA]:[Columna1]],2,FALSE)</f>
        <v>Telecommunications</v>
      </c>
    </row>
    <row r="12" spans="1:14" x14ac:dyDescent="0.3">
      <c r="A12" s="2" t="s">
        <v>65</v>
      </c>
      <c r="F12">
        <v>0</v>
      </c>
      <c r="G12">
        <v>292</v>
      </c>
      <c r="H12">
        <v>227.5</v>
      </c>
      <c r="I12">
        <v>227.5</v>
      </c>
      <c r="J12">
        <v>227.5</v>
      </c>
      <c r="K12">
        <v>81.8</v>
      </c>
      <c r="L12">
        <v>54.9</v>
      </c>
      <c r="M12">
        <v>-108.3</v>
      </c>
      <c r="N12" t="str">
        <f>VLOOKUP(A12,Tabla1[[#All],[EMISORA]:[Columna1]],2,FALSE)</f>
        <v>Internet Services and Retailing</v>
      </c>
    </row>
    <row r="13" spans="1:14" x14ac:dyDescent="0.3">
      <c r="A13" s="2" t="s">
        <v>67</v>
      </c>
      <c r="B13">
        <v>292</v>
      </c>
      <c r="C13">
        <v>-106.6</v>
      </c>
      <c r="D13">
        <v>0</v>
      </c>
      <c r="N13" t="str">
        <f>VLOOKUP(A13,Tabla1[[#All],[EMISORA]:[Columna1]],2,FALSE)</f>
        <v>Internet Services and Retailing</v>
      </c>
    </row>
    <row r="14" spans="1:14" x14ac:dyDescent="0.3">
      <c r="A14" s="2" t="s">
        <v>272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 t="str">
        <f>VLOOKUP(A14,Tabla1[[#All],[EMISORA]:[Columna1]],2,FALSE)</f>
        <v>Internet Services and Retailing</v>
      </c>
    </row>
    <row r="15" spans="1:14" x14ac:dyDescent="0.3">
      <c r="A15" s="2" t="s">
        <v>281</v>
      </c>
      <c r="B15">
        <v>0</v>
      </c>
      <c r="N15" t="str">
        <f>VLOOKUP(A15,Tabla1[[#All],[EMISORA]:[Columna1]],2,FALSE)</f>
        <v>Internet Services and Retailing</v>
      </c>
    </row>
    <row r="16" spans="1:14" x14ac:dyDescent="0.3">
      <c r="A16" s="2" t="s">
        <v>261</v>
      </c>
      <c r="F16">
        <v>0</v>
      </c>
      <c r="G16">
        <v>0</v>
      </c>
      <c r="H16">
        <v>0</v>
      </c>
      <c r="I16">
        <v>0</v>
      </c>
      <c r="J16">
        <v>0</v>
      </c>
      <c r="N16" t="str">
        <f>VLOOKUP(A16,Tabla1[[#All],[EMISORA]:[Columna1]],2,FALSE)</f>
        <v>Telecommunications</v>
      </c>
    </row>
    <row r="17" spans="1:14" x14ac:dyDescent="0.3">
      <c r="A17" s="2" t="s">
        <v>220</v>
      </c>
      <c r="B17">
        <v>0</v>
      </c>
      <c r="C17">
        <v>0</v>
      </c>
      <c r="D17">
        <v>0</v>
      </c>
      <c r="N17" t="str">
        <f>VLOOKUP(A17,Tabla1[[#All],[EMISORA]:[Columna1]],2,FALSE)</f>
        <v>Telecommunications</v>
      </c>
    </row>
    <row r="18" spans="1:14" x14ac:dyDescent="0.3">
      <c r="A18" s="2" t="s">
        <v>259</v>
      </c>
      <c r="K18">
        <v>0</v>
      </c>
      <c r="N18" t="str">
        <f>VLOOKUP(A18,Tabla1[[#All],[EMISORA]:[Columna1]],2,FALSE)</f>
        <v>Telecommunications</v>
      </c>
    </row>
    <row r="19" spans="1:14" x14ac:dyDescent="0.3">
      <c r="A19" s="2" t="s">
        <v>196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N19" t="str">
        <f>VLOOKUP(A19,Tabla1[[#All],[EMISORA]:[Columna1]],2,FALSE)</f>
        <v>Computers, Office Equipment</v>
      </c>
    </row>
    <row r="20" spans="1:14" x14ac:dyDescent="0.3">
      <c r="A20" s="2" t="s">
        <v>203</v>
      </c>
      <c r="B20">
        <v>0</v>
      </c>
      <c r="C20">
        <v>0</v>
      </c>
      <c r="D20">
        <v>0</v>
      </c>
      <c r="N20" t="str">
        <f>VLOOKUP(A20,Tabla1[[#All],[EMISORA]:[Columna1]],2,FALSE)</f>
        <v>Computers, Office Equipment</v>
      </c>
    </row>
    <row r="21" spans="1:14" x14ac:dyDescent="0.3">
      <c r="A21" s="2" t="s">
        <v>45</v>
      </c>
      <c r="G21">
        <v>0</v>
      </c>
      <c r="H21">
        <v>-84.7</v>
      </c>
      <c r="I21">
        <v>-84.7</v>
      </c>
      <c r="J21">
        <v>-84.7</v>
      </c>
      <c r="K21">
        <v>106.7</v>
      </c>
      <c r="L21">
        <v>58.9</v>
      </c>
      <c r="M21">
        <v>25.6</v>
      </c>
      <c r="N21" t="str">
        <f>VLOOKUP(A21,Tabla1[[#All],[EMISORA]:[Columna1]],2,FALSE)</f>
        <v>Telecommunications</v>
      </c>
    </row>
    <row r="22" spans="1:14" x14ac:dyDescent="0.3">
      <c r="A22" s="2" t="s">
        <v>122</v>
      </c>
      <c r="B22">
        <v>0</v>
      </c>
      <c r="N22" t="str">
        <f>VLOOKUP(A22,Tabla1[[#All],[EMISORA]:[Columna1]],2,FALSE)</f>
        <v>Telecommunications</v>
      </c>
    </row>
    <row r="23" spans="1:14" x14ac:dyDescent="0.3">
      <c r="A23" s="2" t="s">
        <v>69</v>
      </c>
      <c r="C23">
        <v>52</v>
      </c>
      <c r="N23" t="str">
        <f>VLOOKUP(A23,Tabla1[[#All],[EMISORA]:[Columna1]],2,FALSE)</f>
        <v>Telecommunications</v>
      </c>
    </row>
    <row r="24" spans="1:14" x14ac:dyDescent="0.3">
      <c r="A24" s="2" t="s">
        <v>93</v>
      </c>
      <c r="F24">
        <v>1.3</v>
      </c>
      <c r="G24">
        <v>10.199999999999999</v>
      </c>
      <c r="H24">
        <v>-46.7</v>
      </c>
      <c r="I24">
        <v>-46.7</v>
      </c>
      <c r="J24">
        <v>-46.7</v>
      </c>
      <c r="K24">
        <v>-19.399999999999999</v>
      </c>
      <c r="L24">
        <v>33.299999999999997</v>
      </c>
      <c r="M24">
        <v>-60.2</v>
      </c>
      <c r="N24" t="str">
        <f>VLOOKUP(A24,Tabla1[[#All],[EMISORA]:[Columna1]],2,FALSE)</f>
        <v>Telecommunications</v>
      </c>
    </row>
    <row r="25" spans="1:14" x14ac:dyDescent="0.3">
      <c r="A25" s="2" t="s">
        <v>110</v>
      </c>
      <c r="B25">
        <v>10.199999999999999</v>
      </c>
      <c r="D25">
        <v>12.3019</v>
      </c>
      <c r="N25" t="str">
        <f>VLOOKUP(A25,Tabla1[[#All],[EMISORA]:[Columna1]],2,FALSE)</f>
        <v>Telecommunications</v>
      </c>
    </row>
    <row r="26" spans="1:14" x14ac:dyDescent="0.3">
      <c r="A26" s="2" t="s">
        <v>56</v>
      </c>
      <c r="M26">
        <v>-85.8</v>
      </c>
      <c r="N26" t="str">
        <f>VLOOKUP(A26,Tabla1[[#All],[EMISORA]:[Columna1]],2,FALSE)</f>
        <v>Computer Software</v>
      </c>
    </row>
    <row r="27" spans="1:14" x14ac:dyDescent="0.3">
      <c r="A27" s="2" t="s">
        <v>31</v>
      </c>
      <c r="H27">
        <v>0</v>
      </c>
      <c r="I27">
        <v>0</v>
      </c>
      <c r="J27">
        <v>0</v>
      </c>
      <c r="K27">
        <v>-30</v>
      </c>
      <c r="L27">
        <v>66.400000000000006</v>
      </c>
      <c r="M27">
        <v>-53.8</v>
      </c>
      <c r="N27" t="str">
        <f>VLOOKUP(A27,Tabla1[[#All],[EMISORA]:[Columna1]],2,FALSE)</f>
        <v>Computers, Office Equipment</v>
      </c>
    </row>
    <row r="28" spans="1:14" x14ac:dyDescent="0.3">
      <c r="A28" s="2" t="s">
        <v>114</v>
      </c>
      <c r="C28">
        <v>-28.2</v>
      </c>
      <c r="N28" t="str">
        <f>VLOOKUP(A28,Tabla1[[#All],[EMISORA]:[Columna1]],2,FALSE)</f>
        <v>Computers, Office Equipment</v>
      </c>
    </row>
    <row r="29" spans="1:14" x14ac:dyDescent="0.3">
      <c r="A29" s="2" t="s">
        <v>256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 t="str">
        <f>VLOOKUP(A29,Tabla1[[#All],[EMISORA]:[Columna1]],2,FALSE)</f>
        <v>Telecommunications</v>
      </c>
    </row>
    <row r="30" spans="1:14" x14ac:dyDescent="0.3">
      <c r="A30" s="2" t="s">
        <v>164</v>
      </c>
      <c r="B30">
        <v>0</v>
      </c>
      <c r="C30">
        <v>0</v>
      </c>
      <c r="D30">
        <v>0</v>
      </c>
      <c r="N30" t="str">
        <f>VLOOKUP(A30,Tabla1[[#All],[EMISORA]:[Columna1]],2,FALSE)</f>
        <v>Telecommunications</v>
      </c>
    </row>
    <row r="31" spans="1:14" x14ac:dyDescent="0.3">
      <c r="A31" s="2" t="s">
        <v>51</v>
      </c>
      <c r="C31">
        <v>32</v>
      </c>
      <c r="D31">
        <v>12.901899999999999</v>
      </c>
      <c r="N31" t="str">
        <f>VLOOKUP(A31,Tabla1[[#All],[EMISORA]:[Columna1]],2,FALSE)</f>
        <v>Telecommunications</v>
      </c>
    </row>
    <row r="32" spans="1:14" x14ac:dyDescent="0.3">
      <c r="A32" s="2" t="s">
        <v>106</v>
      </c>
      <c r="F32">
        <v>-23.5</v>
      </c>
      <c r="N32" t="str">
        <f>VLOOKUP(A32,Tabla1[[#All],[EMISORA]:[Columna1]],2,FALSE)</f>
        <v>Computers, Office Equipment</v>
      </c>
    </row>
    <row r="33" spans="1:14" x14ac:dyDescent="0.3">
      <c r="A33" s="2" t="s">
        <v>104</v>
      </c>
      <c r="F33">
        <v>31.7</v>
      </c>
      <c r="N33" t="str">
        <f>VLOOKUP(A33,Tabla1[[#All],[EMISORA]:[Columna1]],2,FALSE)</f>
        <v>Electronics, Electrical Equip.</v>
      </c>
    </row>
    <row r="34" spans="1:14" x14ac:dyDescent="0.3">
      <c r="A34" s="2" t="s">
        <v>108</v>
      </c>
      <c r="C34">
        <v>-18.3</v>
      </c>
      <c r="D34">
        <v>3.4018999999999999</v>
      </c>
      <c r="N34" t="str">
        <f>VLOOKUP(A34,Tabla1[[#All],[EMISORA]:[Columna1]],2,FALSE)</f>
        <v>Electronics, Electrical Equip.</v>
      </c>
    </row>
    <row r="35" spans="1:14" x14ac:dyDescent="0.3">
      <c r="A35" s="2" t="s">
        <v>41</v>
      </c>
      <c r="G35">
        <v>170.5</v>
      </c>
      <c r="H35">
        <v>40.4</v>
      </c>
      <c r="I35">
        <v>40.4</v>
      </c>
      <c r="J35">
        <v>40.4</v>
      </c>
      <c r="K35">
        <v>56.9</v>
      </c>
      <c r="N35" t="str">
        <f>VLOOKUP(A35,Tabla1[[#All],[EMISORA]:[Columna1]],2,FALSE)</f>
        <v>Internet Services and Retailing</v>
      </c>
    </row>
    <row r="36" spans="1:14" x14ac:dyDescent="0.3">
      <c r="A36" s="2" t="s">
        <v>53</v>
      </c>
      <c r="B36">
        <v>170.5</v>
      </c>
      <c r="N36" t="str">
        <f>VLOOKUP(A36,Tabla1[[#All],[EMISORA]:[Columna1]],2,FALSE)</f>
        <v>Internet Services and Retailing</v>
      </c>
    </row>
    <row r="37" spans="1:14" x14ac:dyDescent="0.3">
      <c r="A37" s="2" t="s">
        <v>158</v>
      </c>
      <c r="C37">
        <v>0</v>
      </c>
      <c r="D37">
        <v>0</v>
      </c>
      <c r="N37" t="str">
        <f>VLOOKUP(A37,Tabla1[[#All],[EMISORA]:[Columna1]],2,FALSE)</f>
        <v>Computers, Office Equipment</v>
      </c>
    </row>
    <row r="38" spans="1:14" x14ac:dyDescent="0.3">
      <c r="A38" s="2" t="s">
        <v>294</v>
      </c>
      <c r="K38">
        <v>0</v>
      </c>
      <c r="N38" t="str">
        <f>VLOOKUP(A38,Tabla1[[#All],[EMISORA]:[Columna1]],2,FALSE)</f>
        <v>Electronics, Electrical Equip.</v>
      </c>
    </row>
    <row r="39" spans="1:14" x14ac:dyDescent="0.3">
      <c r="A39" s="2" t="s">
        <v>232</v>
      </c>
      <c r="C39">
        <v>0</v>
      </c>
      <c r="N39" t="str">
        <f>VLOOKUP(A39,Tabla1[[#All],[EMISORA]:[Columna1]],2,FALSE)</f>
        <v>Telecommunications</v>
      </c>
    </row>
    <row r="40" spans="1:14" x14ac:dyDescent="0.3">
      <c r="A40" s="2" t="s">
        <v>48</v>
      </c>
      <c r="C40">
        <v>8.6</v>
      </c>
      <c r="D40">
        <v>18.001899999999999</v>
      </c>
      <c r="N40" t="str">
        <f>VLOOKUP(A40,Tabla1[[#All],[EMISORA]:[Columna1]],2,FALSE)</f>
        <v>Internet Services and Retailing</v>
      </c>
    </row>
    <row r="41" spans="1:14" x14ac:dyDescent="0.3">
      <c r="A41" s="2" t="s">
        <v>78</v>
      </c>
      <c r="F41">
        <v>11</v>
      </c>
      <c r="G41">
        <v>21.9</v>
      </c>
      <c r="H41">
        <v>142.80000000000001</v>
      </c>
      <c r="I41">
        <v>142.80000000000001</v>
      </c>
      <c r="J41">
        <v>142.80000000000001</v>
      </c>
      <c r="K41">
        <v>19.2</v>
      </c>
      <c r="L41">
        <v>91.4</v>
      </c>
      <c r="M41">
        <v>-18.7</v>
      </c>
      <c r="N41" t="str">
        <f>VLOOKUP(A41,Tabla1[[#All],[EMISORA]:[Columna1]],2,FALSE)</f>
        <v>Internet Services and Retailing</v>
      </c>
    </row>
    <row r="42" spans="1:14" x14ac:dyDescent="0.3">
      <c r="A42" s="2" t="s">
        <v>88</v>
      </c>
      <c r="B42">
        <v>21.9</v>
      </c>
      <c r="N42" t="str">
        <f>VLOOKUP(A42,Tabla1[[#All],[EMISORA]:[Columna1]],2,FALSE)</f>
        <v>Internet Services and Retailing</v>
      </c>
    </row>
    <row r="43" spans="1:14" x14ac:dyDescent="0.3">
      <c r="A43" s="2" t="s">
        <v>291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 t="str">
        <f>VLOOKUP(A43,Tabla1[[#All],[EMISORA]:[Columna1]],2,FALSE)</f>
        <v>Electronics, Electrical Equip.</v>
      </c>
    </row>
    <row r="44" spans="1:14" x14ac:dyDescent="0.3">
      <c r="A44" s="2" t="s">
        <v>244</v>
      </c>
      <c r="B44">
        <v>0</v>
      </c>
      <c r="C44">
        <v>0</v>
      </c>
      <c r="D44">
        <v>0</v>
      </c>
      <c r="N44" t="str">
        <f>VLOOKUP(A44,Tabla1[[#All],[EMISORA]:[Columna1]],2,FALSE)</f>
        <v>Electronics, Electrical Equip.</v>
      </c>
    </row>
    <row r="45" spans="1:14" x14ac:dyDescent="0.3">
      <c r="A45" s="2" t="s">
        <v>91</v>
      </c>
      <c r="F45">
        <v>13.3</v>
      </c>
      <c r="G45">
        <v>2.6</v>
      </c>
      <c r="H45">
        <v>319.60000000000002</v>
      </c>
      <c r="I45">
        <v>319.60000000000002</v>
      </c>
      <c r="J45">
        <v>319.60000000000002</v>
      </c>
      <c r="K45">
        <v>-20.100000000000001</v>
      </c>
      <c r="L45">
        <v>17.7</v>
      </c>
      <c r="M45">
        <v>-8.1</v>
      </c>
      <c r="N45" t="str">
        <f>VLOOKUP(A45,Tabla1[[#All],[EMISORA]:[Columna1]],2,FALSE)</f>
        <v>Electronics, Electrical Equip.</v>
      </c>
    </row>
    <row r="46" spans="1:14" x14ac:dyDescent="0.3">
      <c r="A46" s="2" t="s">
        <v>109</v>
      </c>
      <c r="B46">
        <v>2.6</v>
      </c>
      <c r="D46">
        <v>33.301900000000003</v>
      </c>
      <c r="N46" t="str">
        <f>VLOOKUP(A46,Tabla1[[#All],[EMISORA]:[Columna1]],2,FALSE)</f>
        <v>Electronics, Electrical Equip.</v>
      </c>
    </row>
    <row r="47" spans="1:14" x14ac:dyDescent="0.3">
      <c r="A47" s="2" t="s">
        <v>38</v>
      </c>
      <c r="H47">
        <v>485.7</v>
      </c>
      <c r="I47">
        <v>485.7</v>
      </c>
      <c r="J47">
        <v>485.7</v>
      </c>
      <c r="K47">
        <v>-132.5</v>
      </c>
      <c r="N47" t="str">
        <f>VLOOKUP(A47,Tabla1[[#All],[EMISORA]:[Columna1]],2,FALSE)</f>
        <v>Computers, Office Equipment</v>
      </c>
    </row>
    <row r="48" spans="1:14" x14ac:dyDescent="0.3">
      <c r="A48" s="2" t="s">
        <v>59</v>
      </c>
      <c r="F48">
        <v>-5.3</v>
      </c>
      <c r="G48">
        <v>-42.3</v>
      </c>
      <c r="H48">
        <v>120.3</v>
      </c>
      <c r="I48">
        <v>120.3</v>
      </c>
      <c r="J48">
        <v>120.3</v>
      </c>
      <c r="K48">
        <v>-3.4</v>
      </c>
      <c r="L48">
        <v>166.5</v>
      </c>
      <c r="M48">
        <v>-42.8</v>
      </c>
      <c r="N48" t="str">
        <f>VLOOKUP(A48,Tabla1[[#All],[EMISORA]:[Columna1]],2,FALSE)</f>
        <v>Computers, Office Equipment</v>
      </c>
    </row>
    <row r="49" spans="1:14" x14ac:dyDescent="0.3">
      <c r="A49" s="2" t="s">
        <v>72</v>
      </c>
      <c r="B49">
        <v>-42.3</v>
      </c>
      <c r="C49">
        <v>-293.10000000000002</v>
      </c>
      <c r="D49">
        <v>0</v>
      </c>
      <c r="N49" t="str">
        <f>VLOOKUP(A49,Tabla1[[#All],[EMISORA]:[Columna1]],2,FALSE)</f>
        <v>Computers, Office Equipment</v>
      </c>
    </row>
    <row r="50" spans="1:14" x14ac:dyDescent="0.3">
      <c r="A50" s="2" t="s">
        <v>275</v>
      </c>
      <c r="K50">
        <v>0</v>
      </c>
      <c r="N50" t="str">
        <f>VLOOKUP(A50,Tabla1[[#All],[EMISORA]:[Columna1]],2,FALSE)</f>
        <v>Electronics, Electrical Equip.</v>
      </c>
    </row>
    <row r="51" spans="1:14" x14ac:dyDescent="0.3">
      <c r="A51" s="2" t="s">
        <v>265</v>
      </c>
      <c r="L51">
        <v>0</v>
      </c>
      <c r="M51">
        <v>0</v>
      </c>
      <c r="N51" t="str">
        <f>VLOOKUP(A51,Tabla1[[#All],[EMISORA]:[Columna1]],2,FALSE)</f>
        <v>Electronics, Electrical Equip.</v>
      </c>
    </row>
    <row r="52" spans="1:14" x14ac:dyDescent="0.3">
      <c r="A52" s="2" t="s">
        <v>189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 t="str">
        <f>VLOOKUP(A52,Tabla1[[#All],[EMISORA]:[Columna1]],2,FALSE)</f>
        <v>Electronics, Electrical Equip.</v>
      </c>
    </row>
    <row r="53" spans="1:14" x14ac:dyDescent="0.3">
      <c r="A53" s="2" t="s">
        <v>209</v>
      </c>
      <c r="B53">
        <v>0</v>
      </c>
      <c r="C53">
        <v>0</v>
      </c>
      <c r="D53">
        <v>0</v>
      </c>
      <c r="N53" t="str">
        <f>VLOOKUP(A53,Tabla1[[#All],[EMISORA]:[Columna1]],2,FALSE)</f>
        <v>Electronics, Electrical Equip.</v>
      </c>
    </row>
    <row r="54" spans="1:14" x14ac:dyDescent="0.3">
      <c r="A54" s="2" t="s">
        <v>130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 t="str">
        <f>VLOOKUP(A54,Tabla1[[#All],[EMISORA]:[Columna1]],2,FALSE)</f>
        <v>Internet Services and Retailing</v>
      </c>
    </row>
    <row r="55" spans="1:14" x14ac:dyDescent="0.3">
      <c r="A55" s="2" t="s">
        <v>179</v>
      </c>
      <c r="B55">
        <v>0</v>
      </c>
      <c r="N55" t="str">
        <f>VLOOKUP(A55,Tabla1[[#All],[EMISORA]:[Columna1]],2,FALSE)</f>
        <v>Internet Services and Retailing</v>
      </c>
    </row>
    <row r="56" spans="1:14" x14ac:dyDescent="0.3">
      <c r="A56" s="2" t="s">
        <v>186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 t="str">
        <f>VLOOKUP(A56,Tabla1[[#All],[EMISORA]:[Columna1]],2,FALSE)</f>
        <v>Telecommunications</v>
      </c>
    </row>
    <row r="57" spans="1:14" x14ac:dyDescent="0.3">
      <c r="A57" s="2" t="s">
        <v>205</v>
      </c>
      <c r="B57">
        <v>0</v>
      </c>
      <c r="C57">
        <v>0</v>
      </c>
      <c r="D57">
        <v>0</v>
      </c>
      <c r="N57" t="str">
        <f>VLOOKUP(A57,Tabla1[[#All],[EMISORA]:[Columna1]],2,FALSE)</f>
        <v>Telecommunications</v>
      </c>
    </row>
    <row r="58" spans="1:14" x14ac:dyDescent="0.3">
      <c r="A58" s="2" t="s">
        <v>100</v>
      </c>
      <c r="L58">
        <v>54.2</v>
      </c>
      <c r="N58" t="str">
        <f>VLOOKUP(A58,Tabla1[[#All],[EMISORA]:[Columna1]],2,FALSE)</f>
        <v>Automotive Retailing, Services</v>
      </c>
    </row>
    <row r="59" spans="1:14" x14ac:dyDescent="0.3">
      <c r="A59" s="2" t="s">
        <v>142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 t="str">
        <f>VLOOKUP(A59,Tabla1[[#All],[EMISORA]:[Columna1]],2,FALSE)</f>
        <v>Computers, Office Equipment</v>
      </c>
    </row>
    <row r="60" spans="1:14" x14ac:dyDescent="0.3">
      <c r="A60" s="2" t="s">
        <v>180</v>
      </c>
      <c r="B60">
        <v>0</v>
      </c>
      <c r="C60">
        <v>0</v>
      </c>
      <c r="D60">
        <v>0</v>
      </c>
      <c r="N60" t="str">
        <f>VLOOKUP(A60,Tabla1[[#All],[EMISORA]:[Columna1]],2,FALSE)</f>
        <v>Computers, Office Equipment</v>
      </c>
    </row>
    <row r="61" spans="1:14" x14ac:dyDescent="0.3">
      <c r="A61" s="2" t="s">
        <v>296</v>
      </c>
      <c r="F61">
        <v>0</v>
      </c>
      <c r="G61">
        <v>0</v>
      </c>
      <c r="N61" t="str">
        <f>VLOOKUP(A61,Tabla1[[#All],[EMISORA]:[Columna1]],2,FALSE)</f>
        <v>Electronics, Electrical Equip.</v>
      </c>
    </row>
    <row r="62" spans="1:14" x14ac:dyDescent="0.3">
      <c r="A62" s="2" t="s">
        <v>170</v>
      </c>
      <c r="B62">
        <v>0</v>
      </c>
      <c r="C62">
        <v>0</v>
      </c>
      <c r="D62">
        <v>0</v>
      </c>
      <c r="N62" t="str">
        <f>VLOOKUP(A62,Tabla1[[#All],[EMISORA]:[Columna1]],2,FALSE)</f>
        <v>Electronics, Electrical Equip.</v>
      </c>
    </row>
    <row r="63" spans="1:14" x14ac:dyDescent="0.3">
      <c r="A63" s="2" t="s">
        <v>35</v>
      </c>
      <c r="L63">
        <v>36.5</v>
      </c>
      <c r="M63">
        <v>-37.6</v>
      </c>
      <c r="N63" t="str">
        <f>VLOOKUP(A63,Tabla1[[#All],[EMISORA]:[Columna1]],2,FALSE)</f>
        <v>Internet Services and Retailing</v>
      </c>
    </row>
    <row r="64" spans="1:14" x14ac:dyDescent="0.3">
      <c r="A64" s="2" t="s">
        <v>183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 t="str">
        <f>VLOOKUP(A64,Tabla1[[#All],[EMISORA]:[Columna1]],2,FALSE)</f>
        <v>Electronics, Electrical Equip.</v>
      </c>
    </row>
    <row r="65" spans="1:14" x14ac:dyDescent="0.3">
      <c r="A65" s="2" t="s">
        <v>204</v>
      </c>
      <c r="B65">
        <v>0</v>
      </c>
      <c r="C65">
        <v>0</v>
      </c>
      <c r="D65">
        <v>0</v>
      </c>
      <c r="N65" t="str">
        <f>VLOOKUP(A65,Tabla1[[#All],[EMISORA]:[Columna1]],2,FALSE)</f>
        <v>Electronics, Electrical Equip.</v>
      </c>
    </row>
    <row r="66" spans="1:14" x14ac:dyDescent="0.3">
      <c r="A66" s="2" t="s">
        <v>124</v>
      </c>
      <c r="M66">
        <v>0</v>
      </c>
      <c r="N66" t="str">
        <f>VLOOKUP(A66,Tabla1[[#All],[EMISORA]:[Columna1]],2,FALSE)</f>
        <v>Internet Services and Retailing</v>
      </c>
    </row>
    <row r="67" spans="1:14" x14ac:dyDescent="0.3">
      <c r="A67" s="2" t="s">
        <v>96</v>
      </c>
      <c r="F67">
        <v>-43.7</v>
      </c>
      <c r="G67">
        <v>41.9</v>
      </c>
      <c r="H67">
        <v>-21.4</v>
      </c>
      <c r="I67">
        <v>-21.4</v>
      </c>
      <c r="J67">
        <v>-21.4</v>
      </c>
      <c r="K67">
        <v>13.8</v>
      </c>
      <c r="L67">
        <v>39.799999999999997</v>
      </c>
      <c r="M67">
        <v>19.899999999999999</v>
      </c>
      <c r="N67" t="str">
        <f>VLOOKUP(A67,Tabla1[[#All],[EMISORA]:[Columna1]],2,FALSE)</f>
        <v>Computer Software</v>
      </c>
    </row>
    <row r="68" spans="1:14" x14ac:dyDescent="0.3">
      <c r="A68" s="2" t="s">
        <v>111</v>
      </c>
      <c r="B68">
        <v>41.9</v>
      </c>
      <c r="C68">
        <v>-25.7</v>
      </c>
      <c r="D68">
        <v>29.001899999999999</v>
      </c>
      <c r="N68" t="str">
        <f>VLOOKUP(A68,Tabla1[[#All],[EMISORA]:[Columna1]],2,FALSE)</f>
        <v>Computer Software</v>
      </c>
    </row>
    <row r="69" spans="1:14" x14ac:dyDescent="0.3">
      <c r="A69" s="2" t="s">
        <v>202</v>
      </c>
      <c r="F69">
        <v>0</v>
      </c>
      <c r="N69" t="str">
        <f>VLOOKUP(A69,Tabla1[[#All],[EMISORA]:[Columna1]],2,FALSE)</f>
        <v>Telecommunications</v>
      </c>
    </row>
    <row r="70" spans="1:14" x14ac:dyDescent="0.3">
      <c r="A70" s="2" t="s">
        <v>211</v>
      </c>
      <c r="C70">
        <v>0</v>
      </c>
      <c r="D70">
        <v>0</v>
      </c>
      <c r="N70" t="str">
        <f>VLOOKUP(A70,Tabla1[[#All],[EMISORA]:[Columna1]],2,FALSE)</f>
        <v>Telecommunications</v>
      </c>
    </row>
    <row r="71" spans="1:14" x14ac:dyDescent="0.3">
      <c r="A71" s="2" t="s">
        <v>193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 t="str">
        <f>VLOOKUP(A71,Tabla1[[#All],[EMISORA]:[Columna1]],2,FALSE)</f>
        <v>Telecommunications</v>
      </c>
    </row>
    <row r="72" spans="1:14" x14ac:dyDescent="0.3">
      <c r="A72" s="2" t="s">
        <v>212</v>
      </c>
      <c r="B72">
        <v>0</v>
      </c>
      <c r="N72" t="str">
        <f>VLOOKUP(A72,Tabla1[[#All],[EMISORA]:[Columna1]],2,FALSE)</f>
        <v>Telecommunications</v>
      </c>
    </row>
    <row r="73" spans="1:14" x14ac:dyDescent="0.3">
      <c r="A73" s="2" t="s">
        <v>252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 t="str">
        <f>VLOOKUP(A73,Tabla1[[#All],[EMISORA]:[Columna1]],2,FALSE)</f>
        <v>Telecommunications</v>
      </c>
    </row>
    <row r="74" spans="1:14" x14ac:dyDescent="0.3">
      <c r="A74" s="2" t="s">
        <v>253</v>
      </c>
      <c r="B74">
        <v>0</v>
      </c>
      <c r="D74">
        <v>0</v>
      </c>
      <c r="N74" t="str">
        <f>VLOOKUP(A74,Tabla1[[#All],[EMISORA]:[Columna1]],2,FALSE)</f>
        <v>Telecommunications</v>
      </c>
    </row>
    <row r="75" spans="1:14" x14ac:dyDescent="0.3">
      <c r="A75" s="2" t="s">
        <v>84</v>
      </c>
      <c r="F75">
        <v>-7.1</v>
      </c>
      <c r="G75">
        <v>-6.3</v>
      </c>
      <c r="H75">
        <v>-59.3</v>
      </c>
      <c r="I75">
        <v>-59.3</v>
      </c>
      <c r="J75">
        <v>-59.3</v>
      </c>
      <c r="K75">
        <v>3.7</v>
      </c>
      <c r="L75">
        <v>47.7</v>
      </c>
      <c r="M75">
        <v>-47</v>
      </c>
      <c r="N75" t="str">
        <f>VLOOKUP(A75,Tabla1[[#All],[EMISORA]:[Columna1]],2,FALSE)</f>
        <v>Computer Software</v>
      </c>
    </row>
    <row r="76" spans="1:14" x14ac:dyDescent="0.3">
      <c r="A76" s="2" t="s">
        <v>86</v>
      </c>
      <c r="B76">
        <v>-6.3</v>
      </c>
      <c r="C76">
        <v>17.399999999999999</v>
      </c>
      <c r="D76">
        <v>15.3019</v>
      </c>
      <c r="N76" t="str">
        <f>VLOOKUP(A76,Tabla1[[#All],[EMISORA]:[Columna1]],2,FALSE)</f>
        <v>Computer Software</v>
      </c>
    </row>
    <row r="77" spans="1:14" x14ac:dyDescent="0.3">
      <c r="A77" s="2" t="s">
        <v>161</v>
      </c>
      <c r="C77">
        <v>0</v>
      </c>
      <c r="D77">
        <v>0</v>
      </c>
      <c r="N77" t="str">
        <f>VLOOKUP(A77,Tabla1[[#All],[EMISORA]:[Columna1]],2,FALSE)</f>
        <v>Electronics, Electrical Equip.</v>
      </c>
    </row>
    <row r="78" spans="1:14" x14ac:dyDescent="0.3">
      <c r="A78" s="2" t="s">
        <v>284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 t="str">
        <f>VLOOKUP(A78,Tabla1[[#All],[EMISORA]:[Columna1]],2,FALSE)</f>
        <v>Electronics, Electrical Equip.</v>
      </c>
    </row>
    <row r="79" spans="1:14" x14ac:dyDescent="0.3">
      <c r="A79" s="2" t="s">
        <v>288</v>
      </c>
      <c r="B79">
        <v>0</v>
      </c>
      <c r="N79" t="str">
        <f>VLOOKUP(A79,Tabla1[[#All],[EMISORA]:[Columna1]],2,FALSE)</f>
        <v>Electronics, Electrical Equip.</v>
      </c>
    </row>
    <row r="80" spans="1:14" x14ac:dyDescent="0.3">
      <c r="A80" s="2" t="s">
        <v>306</v>
      </c>
      <c r="F80">
        <v>0</v>
      </c>
      <c r="N80" t="str">
        <f>VLOOKUP(A80,Tabla1[[#All],[EMISORA]:[Columna1]],2,FALSE)</f>
        <v>Electronics, Electrical Equip.</v>
      </c>
    </row>
    <row r="81" spans="1:14" x14ac:dyDescent="0.3">
      <c r="A81" s="2" t="s">
        <v>173</v>
      </c>
      <c r="C81">
        <v>0</v>
      </c>
      <c r="D81">
        <v>0</v>
      </c>
      <c r="N81" t="str">
        <f>VLOOKUP(A81,Tabla1[[#All],[EMISORA]:[Columna1]],2,FALSE)</f>
        <v>Electronics, Electrical Equip.</v>
      </c>
    </row>
    <row r="82" spans="1:14" x14ac:dyDescent="0.3">
      <c r="A82" s="2" t="s">
        <v>226</v>
      </c>
      <c r="C82">
        <v>0</v>
      </c>
      <c r="D82">
        <v>0</v>
      </c>
      <c r="N82" t="str">
        <f>VLOOKUP(A82,Tabla1[[#All],[EMISORA]:[Columna1]],2,FALSE)</f>
        <v>Computers, Office Equipment</v>
      </c>
    </row>
    <row r="83" spans="1:14" x14ac:dyDescent="0.3">
      <c r="A83" s="2" t="s">
        <v>167</v>
      </c>
      <c r="C83">
        <v>0</v>
      </c>
      <c r="N83" t="str">
        <f>VLOOKUP(A83,Tabla1[[#All],[EMISORA]:[Columna1]],2,FALSE)</f>
        <v>Computers, Office Equipment</v>
      </c>
    </row>
    <row r="84" spans="1:14" x14ac:dyDescent="0.3">
      <c r="A84" s="2" t="s">
        <v>120</v>
      </c>
      <c r="C84">
        <v>0</v>
      </c>
      <c r="N84" t="str">
        <f>VLOOKUP(A84,Tabla1[[#All],[EMISORA]:[Columna1]],2,FALSE)</f>
        <v>Telecommunications</v>
      </c>
    </row>
    <row r="85" spans="1:14" x14ac:dyDescent="0.3">
      <c r="A85" s="2" t="s">
        <v>254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 t="str">
        <f>VLOOKUP(A85,Tabla1[[#All],[EMISORA]:[Columna1]],2,FALSE)</f>
        <v>Computer Software</v>
      </c>
    </row>
    <row r="86" spans="1:14" x14ac:dyDescent="0.3">
      <c r="A86" s="2" t="s">
        <v>258</v>
      </c>
      <c r="B86">
        <v>0</v>
      </c>
      <c r="N86" t="str">
        <f>VLOOKUP(A86,Tabla1[[#All],[EMISORA]:[Columna1]],2,FALSE)</f>
        <v>Computer Software</v>
      </c>
    </row>
    <row r="87" spans="1:14" x14ac:dyDescent="0.3">
      <c r="A87" s="2" t="s">
        <v>249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 t="str">
        <f>VLOOKUP(A87,Tabla1[[#All],[EMISORA]:[Columna1]],2,FALSE)</f>
        <v>Electronics, Electrical Equip.</v>
      </c>
    </row>
    <row r="88" spans="1:14" x14ac:dyDescent="0.3">
      <c r="A88" s="2" t="s">
        <v>223</v>
      </c>
      <c r="B88">
        <v>0</v>
      </c>
      <c r="C88">
        <v>0</v>
      </c>
      <c r="D88">
        <v>0</v>
      </c>
      <c r="N88" t="str">
        <f>VLOOKUP(A88,Tabla1[[#All],[EMISORA]:[Columna1]],2,FALSE)</f>
        <v>Electronics, Electrical Equip.</v>
      </c>
    </row>
    <row r="89" spans="1:14" x14ac:dyDescent="0.3">
      <c r="A89" s="2" t="s">
        <v>127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 t="str">
        <f>VLOOKUP(A89,Tabla1[[#All],[EMISORA]:[Columna1]],2,FALSE)</f>
        <v>Telecommunications</v>
      </c>
    </row>
    <row r="90" spans="1:14" x14ac:dyDescent="0.3">
      <c r="A90" s="2" t="s">
        <v>207</v>
      </c>
      <c r="B90">
        <v>0</v>
      </c>
      <c r="D90">
        <v>0</v>
      </c>
      <c r="N90" t="str">
        <f>VLOOKUP(A90,Tabla1[[#All],[EMISORA]:[Columna1]],2,FALSE)</f>
        <v>Telecommunications</v>
      </c>
    </row>
    <row r="91" spans="1:14" x14ac:dyDescent="0.3">
      <c r="A91" s="2" t="s">
        <v>154</v>
      </c>
      <c r="C91">
        <v>0</v>
      </c>
      <c r="D91">
        <v>0</v>
      </c>
      <c r="N91" t="str">
        <f>VLOOKUP(A91,Tabla1[[#All],[EMISORA]:[Columna1]],2,FALSE)</f>
        <v>Electronics, Electrical Equip.</v>
      </c>
    </row>
    <row r="92" spans="1:14" x14ac:dyDescent="0.3">
      <c r="A92" s="2" t="s">
        <v>241</v>
      </c>
      <c r="C92">
        <v>0</v>
      </c>
      <c r="D92">
        <v>0</v>
      </c>
      <c r="N92" t="str">
        <f>VLOOKUP(A92,Tabla1[[#All],[EMISORA]:[Columna1]],2,FALSE)</f>
        <v>Electronics, Electrical Equip.</v>
      </c>
    </row>
    <row r="93" spans="1:14" x14ac:dyDescent="0.3">
      <c r="A93" s="2" t="s">
        <v>257</v>
      </c>
      <c r="F93">
        <v>0</v>
      </c>
      <c r="N93" t="str">
        <f>VLOOKUP(A93,Tabla1[[#All],[EMISORA]:[Columna1]],2,FALSE)</f>
        <v>Electronics, Electrical Equip.</v>
      </c>
    </row>
    <row r="94" spans="1:14" x14ac:dyDescent="0.3">
      <c r="A94" s="2" t="s">
        <v>214</v>
      </c>
      <c r="C94">
        <v>0</v>
      </c>
      <c r="D94">
        <v>0</v>
      </c>
      <c r="N94" t="str">
        <f>VLOOKUP(A94,Tabla1[[#All],[EMISORA]:[Columna1]],2,FALSE)</f>
        <v>Electronics, Electrical Equip.</v>
      </c>
    </row>
    <row r="95" spans="1:14" x14ac:dyDescent="0.3">
      <c r="A95" s="2" t="s">
        <v>151</v>
      </c>
      <c r="F95">
        <v>0</v>
      </c>
      <c r="G95">
        <v>0</v>
      </c>
      <c r="H95">
        <v>0</v>
      </c>
      <c r="I95">
        <v>0</v>
      </c>
      <c r="J95">
        <v>0</v>
      </c>
      <c r="N95" t="str">
        <f>VLOOKUP(A95,Tabla1[[#All],[EMISORA]:[Columna1]],2,FALSE)</f>
        <v>Electronics, Electrical Equip.</v>
      </c>
    </row>
    <row r="96" spans="1:14" x14ac:dyDescent="0.3">
      <c r="A96" s="2" t="s">
        <v>177</v>
      </c>
      <c r="B96">
        <v>0</v>
      </c>
      <c r="C96">
        <v>0</v>
      </c>
      <c r="D96">
        <v>0</v>
      </c>
      <c r="N96" t="str">
        <f>VLOOKUP(A96,Tabla1[[#All],[EMISORA]:[Columna1]],2,FALSE)</f>
        <v>Electronics, Electrical Equip.</v>
      </c>
    </row>
    <row r="97" spans="1:14" x14ac:dyDescent="0.3">
      <c r="A97" s="2" t="s">
        <v>191</v>
      </c>
      <c r="K97">
        <v>0</v>
      </c>
      <c r="L97">
        <v>0</v>
      </c>
      <c r="M97">
        <v>0</v>
      </c>
      <c r="N97" t="str">
        <f>VLOOKUP(A97,Tabla1[[#All],[EMISORA]:[Columna1]],2,FALSE)</f>
        <v>Electronics, Electrical Equip.</v>
      </c>
    </row>
    <row r="98" spans="1:14" x14ac:dyDescent="0.3">
      <c r="A98" s="2" t="s">
        <v>304</v>
      </c>
      <c r="F98">
        <v>0</v>
      </c>
      <c r="G98">
        <v>0</v>
      </c>
      <c r="N98" t="str">
        <f>VLOOKUP(A98,Tabla1[[#All],[EMISORA]:[Columna1]],2,FALSE)</f>
        <v>Electronics, Electrical Equip.</v>
      </c>
    </row>
    <row r="99" spans="1:14" x14ac:dyDescent="0.3">
      <c r="A99" s="2" t="s">
        <v>247</v>
      </c>
      <c r="B99">
        <v>0</v>
      </c>
      <c r="C99">
        <v>0</v>
      </c>
      <c r="D99">
        <v>0</v>
      </c>
      <c r="N99" t="str">
        <f>VLOOKUP(A99,Tabla1[[#All],[EMISORA]:[Columna1]],2,FALSE)</f>
        <v>Electronics, Electrical Equip.</v>
      </c>
    </row>
    <row r="100" spans="1:14" x14ac:dyDescent="0.3">
      <c r="A100" s="2" t="s">
        <v>62</v>
      </c>
      <c r="F100">
        <v>99.2</v>
      </c>
      <c r="G100">
        <v>-11.4</v>
      </c>
      <c r="H100">
        <v>-40.1</v>
      </c>
      <c r="I100">
        <v>-40.1</v>
      </c>
      <c r="J100">
        <v>-40.1</v>
      </c>
      <c r="K100">
        <v>-139.69999999999999</v>
      </c>
      <c r="L100">
        <v>0</v>
      </c>
      <c r="M100">
        <v>-140.9</v>
      </c>
      <c r="N100" t="str">
        <f>VLOOKUP(A100,Tabla1[[#All],[EMISORA]:[Columna1]],2,FALSE)</f>
        <v>Telecommunications</v>
      </c>
    </row>
    <row r="101" spans="1:14" x14ac:dyDescent="0.3">
      <c r="A101" s="2" t="s">
        <v>112</v>
      </c>
      <c r="B101">
        <v>-11.4</v>
      </c>
      <c r="C101">
        <v>89.4</v>
      </c>
      <c r="D101">
        <v>171.20189999999999</v>
      </c>
      <c r="N101" t="str">
        <f>VLOOKUP(A101,Tabla1[[#All],[EMISORA]:[Columna1]],2,FALSE)</f>
        <v>Telecommunications</v>
      </c>
    </row>
    <row r="102" spans="1:14" x14ac:dyDescent="0.3">
      <c r="A102" s="2" t="s">
        <v>269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 t="str">
        <f>VLOOKUP(A102,Tabla1[[#All],[EMISORA]:[Columna1]],2,FALSE)</f>
        <v>Internet Services and Retailing</v>
      </c>
    </row>
    <row r="103" spans="1:14" x14ac:dyDescent="0.3">
      <c r="A103" s="2" t="s">
        <v>280</v>
      </c>
      <c r="B103">
        <v>0</v>
      </c>
      <c r="N103" t="str">
        <f>VLOOKUP(A103,Tabla1[[#All],[EMISORA]:[Columna1]],2,FALSE)</f>
        <v>Internet Services and Retailing</v>
      </c>
    </row>
    <row r="104" spans="1:14" x14ac:dyDescent="0.3">
      <c r="A104" s="2" t="s">
        <v>289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 t="str">
        <f>VLOOKUP(A104,Tabla1[[#All],[EMISORA]:[Columna1]],2,FALSE)</f>
        <v>Telecommunications</v>
      </c>
    </row>
    <row r="105" spans="1:14" x14ac:dyDescent="0.3">
      <c r="A105" s="2" t="s">
        <v>238</v>
      </c>
      <c r="B105">
        <v>0</v>
      </c>
      <c r="C105">
        <v>0</v>
      </c>
      <c r="D105">
        <v>0</v>
      </c>
      <c r="N105" t="str">
        <f>VLOOKUP(A105,Tabla1[[#All],[EMISORA]:[Columna1]],2,FALSE)</f>
        <v>Telecommunications</v>
      </c>
    </row>
    <row r="106" spans="1:14" x14ac:dyDescent="0.3">
      <c r="A106" s="2" t="s">
        <v>145</v>
      </c>
      <c r="F106">
        <v>0</v>
      </c>
      <c r="G106">
        <v>0</v>
      </c>
      <c r="N106" t="str">
        <f>VLOOKUP(A106,Tabla1[[#All],[EMISORA]:[Columna1]],2,FALSE)</f>
        <v>Telecommunications</v>
      </c>
    </row>
    <row r="107" spans="1:14" x14ac:dyDescent="0.3">
      <c r="A107" s="2" t="s">
        <v>156</v>
      </c>
      <c r="B107">
        <v>0</v>
      </c>
      <c r="C107">
        <v>0</v>
      </c>
      <c r="D107">
        <v>0</v>
      </c>
      <c r="N107" t="str">
        <f>VLOOKUP(A107,Tabla1[[#All],[EMISORA]:[Columna1]],2,FALSE)</f>
        <v>Telecommunications</v>
      </c>
    </row>
    <row r="108" spans="1:14" x14ac:dyDescent="0.3">
      <c r="A108" s="2" t="s">
        <v>305</v>
      </c>
      <c r="F108">
        <v>0</v>
      </c>
      <c r="N108" t="str">
        <f>VLOOKUP(A108,Tabla1[[#All],[EMISORA]:[Columna1]],2,FALSE)</f>
        <v>Telecommunications</v>
      </c>
    </row>
    <row r="109" spans="1:14" x14ac:dyDescent="0.3">
      <c r="A109" s="2" t="s">
        <v>217</v>
      </c>
      <c r="C109">
        <v>0</v>
      </c>
      <c r="D109">
        <v>0</v>
      </c>
      <c r="N109" t="str">
        <f>VLOOKUP(A109,Tabla1[[#All],[EMISORA]:[Columna1]],2,FALSE)</f>
        <v>Telecommunications</v>
      </c>
    </row>
    <row r="110" spans="1:14" x14ac:dyDescent="0.3">
      <c r="A110" s="2" t="s">
        <v>175</v>
      </c>
      <c r="C110">
        <v>0</v>
      </c>
      <c r="D110">
        <v>0</v>
      </c>
      <c r="N110" t="str">
        <f>VLOOKUP(A110,Tabla1[[#All],[EMISORA]:[Columna1]],2,FALSE)</f>
        <v>Electronics, Electrical Equip.</v>
      </c>
    </row>
    <row r="111" spans="1:14" x14ac:dyDescent="0.3">
      <c r="A111" s="2" t="s">
        <v>133</v>
      </c>
      <c r="F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N111" t="str">
        <f>VLOOKUP(A111,Tabla1[[#All],[EMISORA]:[Columna1]],2,FALSE)</f>
        <v>Electronics, Electrical Equip.</v>
      </c>
    </row>
    <row r="112" spans="1:14" x14ac:dyDescent="0.3">
      <c r="A112" s="2" t="s">
        <v>117</v>
      </c>
      <c r="M112">
        <v>0</v>
      </c>
      <c r="N112" t="str">
        <f>VLOOKUP(A112,Tabla1[[#All],[EMISORA]:[Columna1]],2,FALSE)</f>
        <v>Internet Services and Retailing</v>
      </c>
    </row>
    <row r="113" spans="1:14" x14ac:dyDescent="0.3">
      <c r="A113" s="2" t="s">
        <v>229</v>
      </c>
      <c r="C113">
        <v>0</v>
      </c>
      <c r="D113">
        <v>0</v>
      </c>
      <c r="N113" t="str">
        <f>VLOOKUP(A113,Tabla1[[#All],[EMISORA]:[Columna1]],2,FALSE)</f>
        <v>Telecommunications</v>
      </c>
    </row>
    <row r="114" spans="1:14" x14ac:dyDescent="0.3">
      <c r="A114" s="2" t="s">
        <v>136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 t="str">
        <f>VLOOKUP(A114,Tabla1[[#All],[EMISORA]:[Columna1]],2,FALSE)</f>
        <v>Telecommunications</v>
      </c>
    </row>
    <row r="115" spans="1:14" x14ac:dyDescent="0.3">
      <c r="A115" s="2" t="s">
        <v>181</v>
      </c>
      <c r="B115">
        <v>0</v>
      </c>
      <c r="C115">
        <v>0</v>
      </c>
      <c r="D115">
        <v>0</v>
      </c>
      <c r="N115" t="str">
        <f>VLOOKUP(A115,Tabla1[[#All],[EMISORA]:[Columna1]],2,FALSE)</f>
        <v>Telecommunications</v>
      </c>
    </row>
    <row r="116" spans="1:14" x14ac:dyDescent="0.3">
      <c r="A116" s="2" t="s">
        <v>74</v>
      </c>
      <c r="F116">
        <v>80.599999999999994</v>
      </c>
      <c r="G116">
        <v>-26.5</v>
      </c>
      <c r="H116">
        <v>-48.9</v>
      </c>
      <c r="I116">
        <v>-48.9</v>
      </c>
      <c r="J116">
        <v>-48.9</v>
      </c>
      <c r="K116">
        <v>-7.5</v>
      </c>
      <c r="L116">
        <v>23.7</v>
      </c>
      <c r="M116">
        <v>-4.9000000000000004</v>
      </c>
      <c r="N116" t="str">
        <f>VLOOKUP(A116,Tabla1[[#All],[EMISORA]:[Columna1]],2,FALSE)</f>
        <v>Telecommunications</v>
      </c>
    </row>
    <row r="117" spans="1:14" x14ac:dyDescent="0.3">
      <c r="A117" s="2" t="s">
        <v>76</v>
      </c>
      <c r="B117">
        <v>-26.5</v>
      </c>
      <c r="C117">
        <v>-63.5</v>
      </c>
      <c r="D117">
        <v>1190.3018999999999</v>
      </c>
      <c r="N117" t="str">
        <f>VLOOKUP(A117,Tabla1[[#All],[EMISORA]:[Columna1]],2,FALSE)</f>
        <v>Telecommunications</v>
      </c>
    </row>
    <row r="118" spans="1:14" x14ac:dyDescent="0.3">
      <c r="A118" s="2" t="s">
        <v>276</v>
      </c>
      <c r="K118">
        <v>0</v>
      </c>
      <c r="N118" t="str">
        <f>VLOOKUP(A118,Tabla1[[#All],[EMISORA]:[Columna1]],2,FALSE)</f>
        <v>Internet Services and Retailing</v>
      </c>
    </row>
    <row r="119" spans="1:14" x14ac:dyDescent="0.3">
      <c r="A119" s="2" t="s">
        <v>139</v>
      </c>
      <c r="H119">
        <v>0</v>
      </c>
      <c r="I119">
        <v>0</v>
      </c>
      <c r="J119">
        <v>0</v>
      </c>
      <c r="L119">
        <v>0</v>
      </c>
      <c r="M119">
        <v>0</v>
      </c>
      <c r="N119" t="str">
        <f>VLOOKUP(A119,Tabla1[[#All],[EMISORA]:[Columna1]],2,FALSE)</f>
        <v>Internet Services and Retailing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A67FD-7B85-4A35-8911-1D748617E766}">
  <dimension ref="A1:N119"/>
  <sheetViews>
    <sheetView topLeftCell="A98" workbookViewId="0">
      <selection activeCell="A120" sqref="A120:XFD120"/>
    </sheetView>
  </sheetViews>
  <sheetFormatPr baseColWidth="10" defaultRowHeight="14.4" x14ac:dyDescent="0.3"/>
  <sheetData>
    <row r="1" spans="1:14" ht="13.2" customHeight="1" x14ac:dyDescent="0.3">
      <c r="A1" s="3"/>
      <c r="B1" s="3">
        <v>2011</v>
      </c>
      <c r="C1" s="3">
        <v>2012</v>
      </c>
      <c r="D1" s="3">
        <v>2013</v>
      </c>
      <c r="E1" s="3">
        <v>2014</v>
      </c>
      <c r="F1" s="3">
        <v>2015</v>
      </c>
      <c r="G1" s="3">
        <v>2016</v>
      </c>
      <c r="H1" s="3">
        <v>2017</v>
      </c>
      <c r="I1" s="3">
        <v>2018</v>
      </c>
      <c r="J1" s="3">
        <v>2019</v>
      </c>
      <c r="K1" s="3">
        <v>2020</v>
      </c>
      <c r="L1" s="3">
        <v>2021</v>
      </c>
      <c r="M1" s="3">
        <v>2022</v>
      </c>
    </row>
    <row r="2" spans="1:14" x14ac:dyDescent="0.3">
      <c r="A2" s="2" t="s">
        <v>298</v>
      </c>
      <c r="G2">
        <v>0</v>
      </c>
      <c r="N2" t="str">
        <f>VLOOKUP(A2,'Originales sin dirección'!V:W,2,FALSE)</f>
        <v>Computers, Office Equipment</v>
      </c>
    </row>
    <row r="3" spans="1:14" x14ac:dyDescent="0.3">
      <c r="A3" s="2" t="s">
        <v>278</v>
      </c>
      <c r="F3">
        <v>0</v>
      </c>
      <c r="G3">
        <v>0</v>
      </c>
      <c r="H3">
        <v>0</v>
      </c>
      <c r="I3">
        <v>0</v>
      </c>
      <c r="J3">
        <v>0</v>
      </c>
      <c r="N3" t="str">
        <f>VLOOKUP(A3,'Originales sin dirección'!V:W,2,FALSE)</f>
        <v>Computers, Office Equipment</v>
      </c>
    </row>
    <row r="4" spans="1:14" x14ac:dyDescent="0.3">
      <c r="A4" s="2" t="s">
        <v>282</v>
      </c>
      <c r="B4">
        <v>0</v>
      </c>
      <c r="N4" t="str">
        <f>VLOOKUP(A4,'Originales sin dirección'!V:W,2,FALSE)</f>
        <v>Internet Services and Retailing</v>
      </c>
    </row>
    <row r="5" spans="1:14" x14ac:dyDescent="0.3">
      <c r="A5" s="2" t="s">
        <v>307</v>
      </c>
      <c r="B5">
        <v>0</v>
      </c>
      <c r="N5" t="str">
        <f>VLOOKUP(A5,'Originales sin dirección'!V:W,2,FALSE)</f>
        <v>Telecommunications</v>
      </c>
    </row>
    <row r="6" spans="1:14" x14ac:dyDescent="0.3">
      <c r="A6" s="2" t="s">
        <v>81</v>
      </c>
      <c r="F6">
        <v>9.2200000000000006</v>
      </c>
      <c r="G6">
        <v>8.31</v>
      </c>
      <c r="H6">
        <v>11.91</v>
      </c>
      <c r="I6">
        <v>11.91</v>
      </c>
      <c r="J6">
        <v>11.91</v>
      </c>
      <c r="K6">
        <v>3.28</v>
      </c>
      <c r="L6">
        <v>5.61</v>
      </c>
      <c r="M6">
        <v>6.11</v>
      </c>
      <c r="N6" t="str">
        <f>VLOOKUP(A6,'Originales sin dirección'!V:W,2,FALSE)</f>
        <v>Computers, Office Equipment</v>
      </c>
    </row>
    <row r="7" spans="1:14" x14ac:dyDescent="0.3">
      <c r="A7" s="2" t="s">
        <v>87</v>
      </c>
      <c r="B7">
        <v>8.31</v>
      </c>
      <c r="C7">
        <v>44.15</v>
      </c>
      <c r="D7">
        <v>39.75</v>
      </c>
      <c r="N7" t="str">
        <f>VLOOKUP(A7,'Originales sin dirección'!V:W,2,FALSE)</f>
        <v>Computers, Office Equipment</v>
      </c>
    </row>
    <row r="8" spans="1:14" x14ac:dyDescent="0.3">
      <c r="A8" s="2" t="s">
        <v>148</v>
      </c>
      <c r="G8">
        <v>0</v>
      </c>
      <c r="N8" t="str">
        <f>VLOOKUP(A8,'Originales sin dirección'!V:W,2,FALSE)</f>
        <v>Telecommunications</v>
      </c>
    </row>
    <row r="9" spans="1:14" x14ac:dyDescent="0.3">
      <c r="A9" s="2" t="s">
        <v>178</v>
      </c>
      <c r="B9">
        <v>0</v>
      </c>
      <c r="N9" t="str">
        <f>VLOOKUP(A9,'Originales sin dirección'!V:W,2,FALSE)</f>
        <v>Telecommunications</v>
      </c>
    </row>
    <row r="10" spans="1:14" x14ac:dyDescent="0.3">
      <c r="A10" s="2" t="s">
        <v>290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 t="str">
        <f>VLOOKUP(A10,'Originales sin dirección'!V:W,2,FALSE)</f>
        <v>Telecommunications</v>
      </c>
    </row>
    <row r="11" spans="1:14" x14ac:dyDescent="0.3">
      <c r="A11" s="2" t="s">
        <v>235</v>
      </c>
      <c r="B11">
        <v>0</v>
      </c>
      <c r="C11">
        <v>0</v>
      </c>
      <c r="D11">
        <v>0</v>
      </c>
      <c r="N11" t="str">
        <f>VLOOKUP(A11,'Originales sin dirección'!V:W,2,FALSE)</f>
        <v>Telecommunications</v>
      </c>
    </row>
    <row r="12" spans="1:14" x14ac:dyDescent="0.3">
      <c r="A12" s="2" t="s">
        <v>65</v>
      </c>
      <c r="F12">
        <v>1.25</v>
      </c>
      <c r="G12">
        <v>4.9000000000000004</v>
      </c>
      <c r="H12">
        <v>20.14</v>
      </c>
      <c r="I12">
        <v>20.14</v>
      </c>
      <c r="J12">
        <v>20.14</v>
      </c>
      <c r="K12">
        <v>41.83</v>
      </c>
      <c r="L12">
        <v>64.81</v>
      </c>
      <c r="M12">
        <v>-0.27</v>
      </c>
      <c r="N12" t="str">
        <f>VLOOKUP(A12,'Originales sin dirección'!V:W,2,FALSE)</f>
        <v>Internet Services and Retailing</v>
      </c>
    </row>
    <row r="13" spans="1:14" x14ac:dyDescent="0.3">
      <c r="A13" s="2" t="s">
        <v>67</v>
      </c>
      <c r="B13">
        <v>4.9000000000000004</v>
      </c>
      <c r="C13">
        <v>-0.09</v>
      </c>
      <c r="D13">
        <v>0.59</v>
      </c>
      <c r="N13" t="str">
        <f>VLOOKUP(A13,'Originales sin dirección'!V:W,2,FALSE)</f>
        <v>Internet Services and Retailing</v>
      </c>
    </row>
    <row r="14" spans="1:14" x14ac:dyDescent="0.3">
      <c r="A14" s="2" t="s">
        <v>272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 t="str">
        <f>VLOOKUP(A14,'Originales sin dirección'!V:W,2,FALSE)</f>
        <v>Internet Services and Retailing</v>
      </c>
    </row>
    <row r="15" spans="1:14" x14ac:dyDescent="0.3">
      <c r="A15" s="2" t="s">
        <v>281</v>
      </c>
      <c r="B15">
        <v>0</v>
      </c>
      <c r="N15" t="str">
        <f>VLOOKUP(A15,'Originales sin dirección'!V:W,2,FALSE)</f>
        <v>Internet Services and Retailing</v>
      </c>
    </row>
    <row r="16" spans="1:14" x14ac:dyDescent="0.3">
      <c r="A16" s="2" t="s">
        <v>261</v>
      </c>
      <c r="F16">
        <v>0</v>
      </c>
      <c r="G16">
        <v>0</v>
      </c>
      <c r="H16">
        <v>0</v>
      </c>
      <c r="I16">
        <v>0</v>
      </c>
      <c r="J16">
        <v>0</v>
      </c>
      <c r="N16" t="str">
        <f>VLOOKUP(A16,'Originales sin dirección'!V:W,2,FALSE)</f>
        <v>Telecommunications</v>
      </c>
    </row>
    <row r="17" spans="1:14" x14ac:dyDescent="0.3">
      <c r="A17" s="2" t="s">
        <v>220</v>
      </c>
      <c r="B17">
        <v>0</v>
      </c>
      <c r="C17">
        <v>0</v>
      </c>
      <c r="D17">
        <v>0</v>
      </c>
      <c r="N17" t="str">
        <f>VLOOKUP(A17,'Originales sin dirección'!V:W,2,FALSE)</f>
        <v>Telecommunications</v>
      </c>
    </row>
    <row r="18" spans="1:14" x14ac:dyDescent="0.3">
      <c r="A18" s="2" t="s">
        <v>259</v>
      </c>
      <c r="K18">
        <v>0</v>
      </c>
      <c r="N18" t="str">
        <f>VLOOKUP(A18,'Originales sin dirección'!V:W,2,FALSE)</f>
        <v>Telecommunications</v>
      </c>
    </row>
    <row r="19" spans="1:14" x14ac:dyDescent="0.3">
      <c r="A19" s="2" t="s">
        <v>196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N19" t="str">
        <f>VLOOKUP(A19,'Originales sin dirección'!V:W,2,FALSE)</f>
        <v>Computers, Office Equipment</v>
      </c>
    </row>
    <row r="20" spans="1:14" x14ac:dyDescent="0.3">
      <c r="A20" s="2" t="s">
        <v>203</v>
      </c>
      <c r="B20">
        <v>0</v>
      </c>
      <c r="C20">
        <v>0</v>
      </c>
      <c r="D20">
        <v>0</v>
      </c>
      <c r="N20" t="str">
        <f>VLOOKUP(A20,'Originales sin dirección'!V:W,2,FALSE)</f>
        <v>Computers, Office Equipment</v>
      </c>
    </row>
    <row r="21" spans="1:14" x14ac:dyDescent="0.3">
      <c r="A21" s="2" t="s">
        <v>45</v>
      </c>
      <c r="G21">
        <v>15.94</v>
      </c>
      <c r="H21">
        <v>5.22</v>
      </c>
      <c r="I21">
        <v>5.22</v>
      </c>
      <c r="J21">
        <v>5.22</v>
      </c>
      <c r="K21">
        <v>15.4</v>
      </c>
      <c r="L21">
        <v>24.47</v>
      </c>
      <c r="M21">
        <v>30.74</v>
      </c>
      <c r="N21" t="str">
        <f>VLOOKUP(A21,'Originales sin dirección'!V:W,2,FALSE)</f>
        <v>Telecommunications</v>
      </c>
    </row>
    <row r="22" spans="1:14" x14ac:dyDescent="0.3">
      <c r="A22" s="2" t="s">
        <v>122</v>
      </c>
      <c r="B22">
        <v>15.94</v>
      </c>
      <c r="N22" t="str">
        <f>VLOOKUP(A22,'Originales sin dirección'!V:W,2,FALSE)</f>
        <v>Telecommunications</v>
      </c>
    </row>
    <row r="23" spans="1:14" x14ac:dyDescent="0.3">
      <c r="A23" s="2" t="s">
        <v>69</v>
      </c>
      <c r="C23">
        <v>2.2799999999999998</v>
      </c>
      <c r="N23" t="str">
        <f>VLOOKUP(A23,'Originales sin dirección'!V:W,2,FALSE)</f>
        <v>Telecommunications</v>
      </c>
    </row>
    <row r="24" spans="1:14" x14ac:dyDescent="0.3">
      <c r="A24" s="2" t="s">
        <v>93</v>
      </c>
      <c r="F24">
        <v>3.24</v>
      </c>
      <c r="G24">
        <v>3.57</v>
      </c>
      <c r="H24">
        <v>2.5299999999999998</v>
      </c>
      <c r="I24">
        <v>2.5299999999999998</v>
      </c>
      <c r="J24">
        <v>2.5299999999999998</v>
      </c>
      <c r="K24">
        <v>2.2799999999999998</v>
      </c>
      <c r="L24">
        <v>3.04</v>
      </c>
      <c r="M24">
        <v>1.21</v>
      </c>
      <c r="N24" t="str">
        <f>VLOOKUP(A24,'Originales sin dirección'!V:W,2,FALSE)</f>
        <v>Telecommunications</v>
      </c>
    </row>
    <row r="25" spans="1:14" x14ac:dyDescent="0.3">
      <c r="A25" s="2" t="s">
        <v>110</v>
      </c>
      <c r="B25">
        <v>3.57</v>
      </c>
      <c r="D25">
        <v>2.56</v>
      </c>
      <c r="N25" t="str">
        <f>VLOOKUP(A25,'Originales sin dirección'!V:W,2,FALSE)</f>
        <v>Telecommunications</v>
      </c>
    </row>
    <row r="26" spans="1:14" x14ac:dyDescent="0.3">
      <c r="A26" s="2" t="s">
        <v>56</v>
      </c>
      <c r="M26">
        <v>0.21</v>
      </c>
      <c r="N26" t="str">
        <f>VLOOKUP(A26,'Originales sin dirección'!V:W,2,FALSE)</f>
        <v>Computer Software</v>
      </c>
    </row>
    <row r="27" spans="1:14" x14ac:dyDescent="0.3">
      <c r="A27" s="2" t="s">
        <v>31</v>
      </c>
      <c r="H27">
        <v>0</v>
      </c>
      <c r="I27">
        <v>0</v>
      </c>
      <c r="J27">
        <v>0</v>
      </c>
      <c r="K27">
        <v>4.22</v>
      </c>
      <c r="L27">
        <v>7.02</v>
      </c>
      <c r="M27">
        <v>3.24</v>
      </c>
      <c r="N27" t="str">
        <f>VLOOKUP(A27,'Originales sin dirección'!V:W,2,FALSE)</f>
        <v>Computers, Office Equipment</v>
      </c>
    </row>
    <row r="28" spans="1:14" x14ac:dyDescent="0.3">
      <c r="A28" s="2" t="s">
        <v>114</v>
      </c>
      <c r="C28">
        <v>1.35</v>
      </c>
      <c r="N28" t="str">
        <f>VLOOKUP(A28,'Originales sin dirección'!V:W,2,FALSE)</f>
        <v>Computers, Office Equipment</v>
      </c>
    </row>
    <row r="29" spans="1:14" x14ac:dyDescent="0.3">
      <c r="A29" s="2" t="s">
        <v>256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 t="str">
        <f>VLOOKUP(A29,'Originales sin dirección'!V:W,2,FALSE)</f>
        <v>Telecommunications</v>
      </c>
    </row>
    <row r="30" spans="1:14" x14ac:dyDescent="0.3">
      <c r="A30" s="2" t="s">
        <v>164</v>
      </c>
      <c r="B30">
        <v>0</v>
      </c>
      <c r="C30">
        <v>0</v>
      </c>
      <c r="D30">
        <v>0</v>
      </c>
      <c r="N30" t="str">
        <f>VLOOKUP(A30,'Originales sin dirección'!V:W,2,FALSE)</f>
        <v>Telecommunications</v>
      </c>
    </row>
    <row r="31" spans="1:14" x14ac:dyDescent="0.3">
      <c r="A31" s="2" t="s">
        <v>51</v>
      </c>
      <c r="C31">
        <v>4.58</v>
      </c>
      <c r="D31">
        <v>5.17</v>
      </c>
      <c r="N31" t="str">
        <f>VLOOKUP(A31,'Originales sin dirección'!V:W,2,FALSE)</f>
        <v>Telecommunications</v>
      </c>
    </row>
    <row r="32" spans="1:14" x14ac:dyDescent="0.3">
      <c r="A32" s="2" t="s">
        <v>106</v>
      </c>
      <c r="F32">
        <v>1.01</v>
      </c>
      <c r="N32" t="str">
        <f>VLOOKUP(A32,'Originales sin dirección'!V:W,2,FALSE)</f>
        <v>Computers, Office Equipment</v>
      </c>
    </row>
    <row r="33" spans="1:14" x14ac:dyDescent="0.3">
      <c r="A33" s="2" t="s">
        <v>104</v>
      </c>
      <c r="F33">
        <v>3.99</v>
      </c>
      <c r="N33" t="str">
        <f>VLOOKUP(A33,'Originales sin dirección'!V:W,2,FALSE)</f>
        <v>Electronics, Electrical Equip.</v>
      </c>
    </row>
    <row r="34" spans="1:14" x14ac:dyDescent="0.3">
      <c r="A34" s="2" t="s">
        <v>108</v>
      </c>
      <c r="C34">
        <v>2.67</v>
      </c>
      <c r="D34">
        <v>2.76</v>
      </c>
      <c r="N34" t="str">
        <f>VLOOKUP(A34,'Originales sin dirección'!V:W,2,FALSE)</f>
        <v>Electronics, Electrical Equip.</v>
      </c>
    </row>
    <row r="35" spans="1:14" x14ac:dyDescent="0.3">
      <c r="A35" s="2" t="s">
        <v>41</v>
      </c>
      <c r="G35">
        <v>3.49</v>
      </c>
      <c r="H35">
        <v>7.57</v>
      </c>
      <c r="I35">
        <v>7.57</v>
      </c>
      <c r="J35">
        <v>7.57</v>
      </c>
      <c r="K35">
        <v>10.09</v>
      </c>
      <c r="N35" t="str">
        <f>VLOOKUP(A35,'Originales sin dirección'!V:W,2,FALSE)</f>
        <v>Internet Services and Retailing</v>
      </c>
    </row>
    <row r="36" spans="1:14" x14ac:dyDescent="0.3">
      <c r="A36" s="2" t="s">
        <v>53</v>
      </c>
      <c r="B36">
        <v>3.49</v>
      </c>
      <c r="N36" t="str">
        <f>VLOOKUP(A36,'Originales sin dirección'!V:W,2,FALSE)</f>
        <v>Internet Services and Retailing</v>
      </c>
    </row>
    <row r="37" spans="1:14" x14ac:dyDescent="0.3">
      <c r="A37" s="2" t="s">
        <v>158</v>
      </c>
      <c r="C37">
        <v>0</v>
      </c>
      <c r="D37">
        <v>0</v>
      </c>
      <c r="N37" t="str">
        <f>VLOOKUP(A37,'Originales sin dirección'!V:W,2,FALSE)</f>
        <v>Computers, Office Equipment</v>
      </c>
    </row>
    <row r="38" spans="1:14" x14ac:dyDescent="0.3">
      <c r="A38" s="2" t="s">
        <v>294</v>
      </c>
      <c r="K38">
        <v>0</v>
      </c>
      <c r="N38" t="str">
        <f>VLOOKUP(A38,'Originales sin dirección'!V:W,2,FALSE)</f>
        <v>Electronics, Electrical Equip.</v>
      </c>
    </row>
    <row r="39" spans="1:14" x14ac:dyDescent="0.3">
      <c r="A39" s="2" t="s">
        <v>232</v>
      </c>
      <c r="C39">
        <v>0</v>
      </c>
      <c r="N39" t="str">
        <f>VLOOKUP(A39,'Originales sin dirección'!V:W,2,FALSE)</f>
        <v>Telecommunications</v>
      </c>
    </row>
    <row r="40" spans="1:14" x14ac:dyDescent="0.3">
      <c r="A40" s="2" t="s">
        <v>48</v>
      </c>
      <c r="C40">
        <v>32.31</v>
      </c>
      <c r="D40">
        <v>38.130000000000003</v>
      </c>
      <c r="N40" t="str">
        <f>VLOOKUP(A40,'Originales sin dirección'!V:W,2,FALSE)</f>
        <v>Internet Services and Retailing</v>
      </c>
    </row>
    <row r="41" spans="1:14" x14ac:dyDescent="0.3">
      <c r="A41" s="2" t="s">
        <v>78</v>
      </c>
      <c r="F41">
        <v>22.84</v>
      </c>
      <c r="G41">
        <v>27.85</v>
      </c>
      <c r="H41">
        <v>43.7</v>
      </c>
      <c r="I41">
        <v>43.7</v>
      </c>
      <c r="J41">
        <v>43.7</v>
      </c>
      <c r="K41">
        <v>58.61</v>
      </c>
      <c r="L41">
        <v>112.2</v>
      </c>
      <c r="M41">
        <v>4.5599999999999996</v>
      </c>
      <c r="N41" t="str">
        <f>VLOOKUP(A41,'Originales sin dirección'!V:W,2,FALSE)</f>
        <v>Internet Services and Retailing</v>
      </c>
    </row>
    <row r="42" spans="1:14" x14ac:dyDescent="0.3">
      <c r="A42" s="2" t="s">
        <v>88</v>
      </c>
      <c r="B42">
        <v>27.85</v>
      </c>
      <c r="N42" t="str">
        <f>VLOOKUP(A42,'Originales sin dirección'!V:W,2,FALSE)</f>
        <v>Internet Services and Retailing</v>
      </c>
    </row>
    <row r="43" spans="1:14" x14ac:dyDescent="0.3">
      <c r="A43" s="2" t="s">
        <v>291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 t="str">
        <f>VLOOKUP(A43,'Originales sin dirección'!V:W,2,FALSE)</f>
        <v>Electronics, Electrical Equip.</v>
      </c>
    </row>
    <row r="44" spans="1:14" x14ac:dyDescent="0.3">
      <c r="A44" s="2" t="s">
        <v>244</v>
      </c>
      <c r="B44">
        <v>0</v>
      </c>
      <c r="C44">
        <v>0</v>
      </c>
      <c r="D44">
        <v>0</v>
      </c>
      <c r="N44" t="str">
        <f>VLOOKUP(A44,'Originales sin dirección'!V:W,2,FALSE)</f>
        <v>Electronics, Electrical Equip.</v>
      </c>
    </row>
    <row r="45" spans="1:14" x14ac:dyDescent="0.3">
      <c r="A45" s="2" t="s">
        <v>91</v>
      </c>
      <c r="F45">
        <v>6.04</v>
      </c>
      <c r="G45">
        <v>6.2</v>
      </c>
      <c r="H45">
        <v>8.98</v>
      </c>
      <c r="I45">
        <v>8.98</v>
      </c>
      <c r="J45">
        <v>8.98</v>
      </c>
      <c r="K45">
        <v>6.72</v>
      </c>
      <c r="L45">
        <v>7.91</v>
      </c>
      <c r="M45">
        <v>7.27</v>
      </c>
      <c r="N45" t="str">
        <f>VLOOKUP(A45,'Originales sin dirección'!V:W,2,FALSE)</f>
        <v>Electronics, Electrical Equip.</v>
      </c>
    </row>
    <row r="46" spans="1:14" x14ac:dyDescent="0.3">
      <c r="A46" s="2" t="s">
        <v>109</v>
      </c>
      <c r="B46">
        <v>6.2</v>
      </c>
      <c r="D46">
        <v>4.92</v>
      </c>
      <c r="N46" t="str">
        <f>VLOOKUP(A46,'Originales sin dirección'!V:W,2,FALSE)</f>
        <v>Electronics, Electrical Equip.</v>
      </c>
    </row>
    <row r="47" spans="1:14" x14ac:dyDescent="0.3">
      <c r="A47" s="2" t="s">
        <v>38</v>
      </c>
      <c r="H47">
        <v>1.23</v>
      </c>
      <c r="I47">
        <v>1.23</v>
      </c>
      <c r="J47">
        <v>1.23</v>
      </c>
      <c r="K47">
        <v>-0.25</v>
      </c>
      <c r="N47" t="str">
        <f>VLOOKUP(A47,'Originales sin dirección'!V:W,2,FALSE)</f>
        <v>Computers, Office Equipment</v>
      </c>
    </row>
    <row r="48" spans="1:14" x14ac:dyDescent="0.3">
      <c r="A48" s="2" t="s">
        <v>59</v>
      </c>
      <c r="F48">
        <v>2.48</v>
      </c>
      <c r="G48">
        <v>1.43</v>
      </c>
      <c r="H48">
        <v>3.26</v>
      </c>
      <c r="I48">
        <v>3.26</v>
      </c>
      <c r="J48">
        <v>3.26</v>
      </c>
      <c r="K48">
        <v>2</v>
      </c>
      <c r="L48">
        <v>5.33</v>
      </c>
      <c r="M48">
        <v>3.05</v>
      </c>
      <c r="N48" t="str">
        <f>VLOOKUP(A48,'Originales sin dirección'!V:W,2,FALSE)</f>
        <v>Computers, Office Equipment</v>
      </c>
    </row>
    <row r="49" spans="1:14" x14ac:dyDescent="0.3">
      <c r="A49" s="2" t="s">
        <v>72</v>
      </c>
      <c r="B49">
        <v>1.43</v>
      </c>
      <c r="C49">
        <v>-6.41</v>
      </c>
      <c r="D49">
        <v>2.62</v>
      </c>
      <c r="N49" t="str">
        <f>VLOOKUP(A49,'Originales sin dirección'!V:W,2,FALSE)</f>
        <v>Computers, Office Equipment</v>
      </c>
    </row>
    <row r="50" spans="1:14" x14ac:dyDescent="0.3">
      <c r="A50" s="2" t="s">
        <v>275</v>
      </c>
      <c r="K50">
        <v>0</v>
      </c>
      <c r="N50" t="str">
        <f>VLOOKUP(A50,'Originales sin dirección'!V:W,2,FALSE)</f>
        <v>Electronics, Electrical Equip.</v>
      </c>
    </row>
    <row r="51" spans="1:14" x14ac:dyDescent="0.3">
      <c r="A51" s="2" t="s">
        <v>265</v>
      </c>
      <c r="L51">
        <v>0</v>
      </c>
      <c r="M51">
        <v>0</v>
      </c>
      <c r="N51" t="str">
        <f>VLOOKUP(A51,'Originales sin dirección'!V:W,2,FALSE)</f>
        <v>Electronics, Electrical Equip.</v>
      </c>
    </row>
    <row r="52" spans="1:14" x14ac:dyDescent="0.3">
      <c r="A52" s="2" t="s">
        <v>189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 t="str">
        <f>VLOOKUP(A52,'Originales sin dirección'!V:W,2,FALSE)</f>
        <v>Electronics, Electrical Equip.</v>
      </c>
    </row>
    <row r="53" spans="1:14" x14ac:dyDescent="0.3">
      <c r="A53" s="2" t="s">
        <v>209</v>
      </c>
      <c r="B53">
        <v>0</v>
      </c>
      <c r="C53">
        <v>0</v>
      </c>
      <c r="D53">
        <v>0</v>
      </c>
      <c r="N53" t="str">
        <f>VLOOKUP(A53,'Originales sin dirección'!V:W,2,FALSE)</f>
        <v>Electronics, Electrical Equip.</v>
      </c>
    </row>
    <row r="54" spans="1:14" x14ac:dyDescent="0.3">
      <c r="A54" s="2" t="s">
        <v>130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 t="str">
        <f>VLOOKUP(A54,'Originales sin dirección'!V:W,2,FALSE)</f>
        <v>Internet Services and Retailing</v>
      </c>
    </row>
    <row r="55" spans="1:14" x14ac:dyDescent="0.3">
      <c r="A55" s="2" t="s">
        <v>179</v>
      </c>
      <c r="B55">
        <v>0</v>
      </c>
      <c r="N55" t="str">
        <f>VLOOKUP(A55,'Originales sin dirección'!V:W,2,FALSE)</f>
        <v>Internet Services and Retailing</v>
      </c>
    </row>
    <row r="56" spans="1:14" x14ac:dyDescent="0.3">
      <c r="A56" s="2" t="s">
        <v>186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 t="str">
        <f>VLOOKUP(A56,'Originales sin dirección'!V:W,2,FALSE)</f>
        <v>Telecommunications</v>
      </c>
    </row>
    <row r="57" spans="1:14" x14ac:dyDescent="0.3">
      <c r="A57" s="2" t="s">
        <v>205</v>
      </c>
      <c r="B57">
        <v>0</v>
      </c>
      <c r="C57">
        <v>0</v>
      </c>
      <c r="D57">
        <v>0</v>
      </c>
      <c r="N57" t="str">
        <f>VLOOKUP(A57,'Originales sin dirección'!V:W,2,FALSE)</f>
        <v>Telecommunications</v>
      </c>
    </row>
    <row r="58" spans="1:14" x14ac:dyDescent="0.3">
      <c r="A58" s="2" t="s">
        <v>100</v>
      </c>
      <c r="L58">
        <v>6.97</v>
      </c>
      <c r="N58" t="str">
        <f>VLOOKUP(A58,'Originales sin dirección'!V:W,2,FALSE)</f>
        <v>Automotive Retailing, Services</v>
      </c>
    </row>
    <row r="59" spans="1:14" x14ac:dyDescent="0.3">
      <c r="A59" s="2" t="s">
        <v>142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 t="str">
        <f>VLOOKUP(A59,'Originales sin dirección'!V:W,2,FALSE)</f>
        <v>Computers, Office Equipment</v>
      </c>
    </row>
    <row r="60" spans="1:14" x14ac:dyDescent="0.3">
      <c r="A60" s="2" t="s">
        <v>180</v>
      </c>
      <c r="B60">
        <v>0</v>
      </c>
      <c r="C60">
        <v>0</v>
      </c>
      <c r="D60">
        <v>0</v>
      </c>
      <c r="N60" t="str">
        <f>VLOOKUP(A60,'Originales sin dirección'!V:W,2,FALSE)</f>
        <v>Computers, Office Equipment</v>
      </c>
    </row>
    <row r="61" spans="1:14" x14ac:dyDescent="0.3">
      <c r="A61" s="2" t="s">
        <v>296</v>
      </c>
      <c r="F61">
        <v>0</v>
      </c>
      <c r="G61">
        <v>0</v>
      </c>
      <c r="N61" t="str">
        <f>VLOOKUP(A61,'Originales sin dirección'!V:W,2,FALSE)</f>
        <v>Electronics, Electrical Equip.</v>
      </c>
    </row>
    <row r="62" spans="1:14" x14ac:dyDescent="0.3">
      <c r="A62" s="2" t="s">
        <v>170</v>
      </c>
      <c r="B62">
        <v>0</v>
      </c>
      <c r="C62">
        <v>0</v>
      </c>
      <c r="D62">
        <v>0</v>
      </c>
      <c r="N62" t="str">
        <f>VLOOKUP(A62,'Originales sin dirección'!V:W,2,FALSE)</f>
        <v>Electronics, Electrical Equip.</v>
      </c>
    </row>
    <row r="63" spans="1:14" x14ac:dyDescent="0.3">
      <c r="A63" s="2" t="s">
        <v>35</v>
      </c>
      <c r="L63">
        <v>13.77</v>
      </c>
      <c r="M63">
        <v>8.59</v>
      </c>
      <c r="N63" t="str">
        <f>VLOOKUP(A63,'Originales sin dirección'!V:W,2,FALSE)</f>
        <v>Internet Services and Retailing</v>
      </c>
    </row>
    <row r="64" spans="1:14" x14ac:dyDescent="0.3">
      <c r="A64" s="2" t="s">
        <v>183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 t="str">
        <f>VLOOKUP(A64,'Originales sin dirección'!V:W,2,FALSE)</f>
        <v>Electronics, Electrical Equip.</v>
      </c>
    </row>
    <row r="65" spans="1:14" x14ac:dyDescent="0.3">
      <c r="A65" s="2" t="s">
        <v>204</v>
      </c>
      <c r="B65">
        <v>0</v>
      </c>
      <c r="C65">
        <v>0</v>
      </c>
      <c r="D65">
        <v>0</v>
      </c>
      <c r="N65" t="str">
        <f>VLOOKUP(A65,'Originales sin dirección'!V:W,2,FALSE)</f>
        <v>Electronics, Electrical Equip.</v>
      </c>
    </row>
    <row r="66" spans="1:14" x14ac:dyDescent="0.3">
      <c r="A66" s="2" t="s">
        <v>124</v>
      </c>
      <c r="M66">
        <v>0</v>
      </c>
      <c r="N66" t="str">
        <f>VLOOKUP(A66,'Originales sin dirección'!V:W,2,FALSE)</f>
        <v>Internet Services and Retailing</v>
      </c>
    </row>
    <row r="67" spans="1:14" x14ac:dyDescent="0.3">
      <c r="A67" s="2" t="s">
        <v>96</v>
      </c>
      <c r="F67">
        <v>1.48</v>
      </c>
      <c r="G67">
        <v>2.1</v>
      </c>
      <c r="H67">
        <v>2.13</v>
      </c>
      <c r="I67">
        <v>2.13</v>
      </c>
      <c r="J67">
        <v>2.13</v>
      </c>
      <c r="K67">
        <v>5.76</v>
      </c>
      <c r="L67">
        <v>8.0500000000000007</v>
      </c>
      <c r="M67">
        <v>9.65</v>
      </c>
      <c r="N67" t="str">
        <f>VLOOKUP(A67,'Originales sin dirección'!V:W,2,FALSE)</f>
        <v>Computer Software</v>
      </c>
    </row>
    <row r="68" spans="1:14" x14ac:dyDescent="0.3">
      <c r="A68" s="2" t="s">
        <v>111</v>
      </c>
      <c r="B68">
        <v>2.1</v>
      </c>
      <c r="C68">
        <v>2</v>
      </c>
      <c r="D68">
        <v>2.58</v>
      </c>
      <c r="N68" t="str">
        <f>VLOOKUP(A68,'Originales sin dirección'!V:W,2,FALSE)</f>
        <v>Computer Software</v>
      </c>
    </row>
    <row r="69" spans="1:14" x14ac:dyDescent="0.3">
      <c r="A69" s="2" t="s">
        <v>202</v>
      </c>
      <c r="F69">
        <v>0</v>
      </c>
      <c r="N69" t="str">
        <f>VLOOKUP(A69,'Originales sin dirección'!V:W,2,FALSE)</f>
        <v>Telecommunications</v>
      </c>
    </row>
    <row r="70" spans="1:14" x14ac:dyDescent="0.3">
      <c r="A70" s="2" t="s">
        <v>211</v>
      </c>
      <c r="C70">
        <v>0</v>
      </c>
      <c r="D70">
        <v>0</v>
      </c>
      <c r="N70" t="str">
        <f>VLOOKUP(A70,'Originales sin dirección'!V:W,2,FALSE)</f>
        <v>Telecommunications</v>
      </c>
    </row>
    <row r="71" spans="1:14" x14ac:dyDescent="0.3">
      <c r="A71" s="2" t="s">
        <v>193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 t="str">
        <f>VLOOKUP(A71,'Originales sin dirección'!V:W,2,FALSE)</f>
        <v>Telecommunications</v>
      </c>
    </row>
    <row r="72" spans="1:14" x14ac:dyDescent="0.3">
      <c r="A72" s="2" t="s">
        <v>212</v>
      </c>
      <c r="B72">
        <v>0</v>
      </c>
      <c r="N72" t="str">
        <f>VLOOKUP(A72,'Originales sin dirección'!V:W,2,FALSE)</f>
        <v>Telecommunications</v>
      </c>
    </row>
    <row r="73" spans="1:14" x14ac:dyDescent="0.3">
      <c r="A73" s="2" t="s">
        <v>252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 t="str">
        <f>VLOOKUP(A73,'Originales sin dirección'!V:W,2,FALSE)</f>
        <v>Telecommunications</v>
      </c>
    </row>
    <row r="74" spans="1:14" x14ac:dyDescent="0.3">
      <c r="A74" s="2" t="s">
        <v>253</v>
      </c>
      <c r="B74">
        <v>0</v>
      </c>
      <c r="D74">
        <v>0</v>
      </c>
      <c r="N74" t="str">
        <f>VLOOKUP(A74,'Originales sin dirección'!V:W,2,FALSE)</f>
        <v>Telecommunications</v>
      </c>
    </row>
    <row r="75" spans="1:14" x14ac:dyDescent="0.3">
      <c r="A75" s="2" t="s">
        <v>84</v>
      </c>
      <c r="F75">
        <v>2.21</v>
      </c>
      <c r="G75">
        <v>2.0699999999999998</v>
      </c>
      <c r="H75">
        <v>0.9</v>
      </c>
      <c r="I75">
        <v>0.9</v>
      </c>
      <c r="J75">
        <v>0.9</v>
      </c>
      <c r="K75">
        <v>3.08</v>
      </c>
      <c r="L75">
        <v>4.55</v>
      </c>
      <c r="M75">
        <v>2.41</v>
      </c>
      <c r="N75" t="str">
        <f>VLOOKUP(A75,'Originales sin dirección'!V:W,2,FALSE)</f>
        <v>Computer Software</v>
      </c>
    </row>
    <row r="76" spans="1:14" x14ac:dyDescent="0.3">
      <c r="A76" s="2" t="s">
        <v>86</v>
      </c>
      <c r="B76">
        <v>2.0699999999999998</v>
      </c>
      <c r="C76">
        <v>1.96</v>
      </c>
      <c r="D76">
        <v>2.2599999999999998</v>
      </c>
      <c r="N76" t="str">
        <f>VLOOKUP(A76,'Originales sin dirección'!V:W,2,FALSE)</f>
        <v>Computer Software</v>
      </c>
    </row>
    <row r="77" spans="1:14" x14ac:dyDescent="0.3">
      <c r="A77" s="2" t="s">
        <v>161</v>
      </c>
      <c r="C77">
        <v>0</v>
      </c>
      <c r="D77">
        <v>0</v>
      </c>
      <c r="N77" t="str">
        <f>VLOOKUP(A77,'Originales sin dirección'!V:W,2,FALSE)</f>
        <v>Electronics, Electrical Equip.</v>
      </c>
    </row>
    <row r="78" spans="1:14" x14ac:dyDescent="0.3">
      <c r="A78" s="2" t="s">
        <v>284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 t="str">
        <f>VLOOKUP(A78,'Originales sin dirección'!V:W,2,FALSE)</f>
        <v>Electronics, Electrical Equip.</v>
      </c>
    </row>
    <row r="79" spans="1:14" x14ac:dyDescent="0.3">
      <c r="A79" s="2" t="s">
        <v>288</v>
      </c>
      <c r="B79">
        <v>0</v>
      </c>
      <c r="N79" t="str">
        <f>VLOOKUP(A79,'Originales sin dirección'!V:W,2,FALSE)</f>
        <v>Electronics, Electrical Equip.</v>
      </c>
    </row>
    <row r="80" spans="1:14" x14ac:dyDescent="0.3">
      <c r="A80" s="2" t="s">
        <v>306</v>
      </c>
      <c r="F80">
        <v>0</v>
      </c>
      <c r="N80" t="str">
        <f>VLOOKUP(A80,'Originales sin dirección'!V:W,2,FALSE)</f>
        <v>Electronics, Electrical Equip.</v>
      </c>
    </row>
    <row r="81" spans="1:14" x14ac:dyDescent="0.3">
      <c r="A81" s="2" t="s">
        <v>173</v>
      </c>
      <c r="C81">
        <v>0</v>
      </c>
      <c r="D81">
        <v>0</v>
      </c>
      <c r="N81" t="str">
        <f>VLOOKUP(A81,'Originales sin dirección'!V:W,2,FALSE)</f>
        <v>Electronics, Electrical Equip.</v>
      </c>
    </row>
    <row r="82" spans="1:14" x14ac:dyDescent="0.3">
      <c r="A82" s="2" t="s">
        <v>226</v>
      </c>
      <c r="C82">
        <v>0</v>
      </c>
      <c r="D82">
        <v>0</v>
      </c>
      <c r="N82" t="str">
        <f>VLOOKUP(A82,'Originales sin dirección'!V:W,2,FALSE)</f>
        <v>Computers, Office Equipment</v>
      </c>
    </row>
    <row r="83" spans="1:14" x14ac:dyDescent="0.3">
      <c r="A83" s="2" t="s">
        <v>167</v>
      </c>
      <c r="C83">
        <v>0</v>
      </c>
      <c r="N83" t="str">
        <f>VLOOKUP(A83,'Originales sin dirección'!V:W,2,FALSE)</f>
        <v>Computers, Office Equipment</v>
      </c>
    </row>
    <row r="84" spans="1:14" x14ac:dyDescent="0.3">
      <c r="A84" s="2" t="s">
        <v>120</v>
      </c>
      <c r="C84">
        <v>-1.44</v>
      </c>
      <c r="N84" t="str">
        <f>VLOOKUP(A84,'Originales sin dirección'!V:W,2,FALSE)</f>
        <v>Telecommunications</v>
      </c>
    </row>
    <row r="85" spans="1:14" x14ac:dyDescent="0.3">
      <c r="A85" s="2" t="s">
        <v>254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 t="str">
        <f>VLOOKUP(A85,'Originales sin dirección'!V:W,2,FALSE)</f>
        <v>Computer Software</v>
      </c>
    </row>
    <row r="86" spans="1:14" x14ac:dyDescent="0.3">
      <c r="A86" s="2" t="s">
        <v>258</v>
      </c>
      <c r="B86">
        <v>0</v>
      </c>
      <c r="N86" t="str">
        <f>VLOOKUP(A86,'Originales sin dirección'!V:W,2,FALSE)</f>
        <v>Computer Software</v>
      </c>
    </row>
    <row r="87" spans="1:14" x14ac:dyDescent="0.3">
      <c r="A87" s="2" t="s">
        <v>249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 t="str">
        <f>VLOOKUP(A87,'Originales sin dirección'!V:W,2,FALSE)</f>
        <v>Electronics, Electrical Equip.</v>
      </c>
    </row>
    <row r="88" spans="1:14" x14ac:dyDescent="0.3">
      <c r="A88" s="2" t="s">
        <v>223</v>
      </c>
      <c r="B88">
        <v>0</v>
      </c>
      <c r="C88">
        <v>0</v>
      </c>
      <c r="D88">
        <v>0</v>
      </c>
      <c r="N88" t="str">
        <f>VLOOKUP(A88,'Originales sin dirección'!V:W,2,FALSE)</f>
        <v>Electronics, Electrical Equip.</v>
      </c>
    </row>
    <row r="89" spans="1:14" x14ac:dyDescent="0.3">
      <c r="A89" s="2" t="s">
        <v>127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 t="str">
        <f>VLOOKUP(A89,'Originales sin dirección'!V:W,2,FALSE)</f>
        <v>Telecommunications</v>
      </c>
    </row>
    <row r="90" spans="1:14" x14ac:dyDescent="0.3">
      <c r="A90" s="2" t="s">
        <v>207</v>
      </c>
      <c r="B90">
        <v>0</v>
      </c>
      <c r="D90">
        <v>0</v>
      </c>
      <c r="N90" t="str">
        <f>VLOOKUP(A90,'Originales sin dirección'!V:W,2,FALSE)</f>
        <v>Telecommunications</v>
      </c>
    </row>
    <row r="91" spans="1:14" x14ac:dyDescent="0.3">
      <c r="A91" s="2" t="s">
        <v>154</v>
      </c>
      <c r="C91">
        <v>0</v>
      </c>
      <c r="D91">
        <v>0</v>
      </c>
      <c r="N91" t="str">
        <f>VLOOKUP(A91,'Originales sin dirección'!V:W,2,FALSE)</f>
        <v>Electronics, Electrical Equip.</v>
      </c>
    </row>
    <row r="92" spans="1:14" x14ac:dyDescent="0.3">
      <c r="A92" s="2" t="s">
        <v>241</v>
      </c>
      <c r="C92">
        <v>0</v>
      </c>
      <c r="D92">
        <v>0</v>
      </c>
      <c r="N92" t="str">
        <f>VLOOKUP(A92,'Originales sin dirección'!V:W,2,FALSE)</f>
        <v>Electronics, Electrical Equip.</v>
      </c>
    </row>
    <row r="93" spans="1:14" x14ac:dyDescent="0.3">
      <c r="A93" s="2" t="s">
        <v>257</v>
      </c>
      <c r="F93">
        <v>0</v>
      </c>
      <c r="N93" t="str">
        <f>VLOOKUP(A93,'Originales sin dirección'!V:W,2,FALSE)</f>
        <v>Electronics, Electrical Equip.</v>
      </c>
    </row>
    <row r="94" spans="1:14" x14ac:dyDescent="0.3">
      <c r="A94" s="2" t="s">
        <v>214</v>
      </c>
      <c r="C94">
        <v>0</v>
      </c>
      <c r="D94">
        <v>0</v>
      </c>
      <c r="N94" t="str">
        <f>VLOOKUP(A94,'Originales sin dirección'!V:W,2,FALSE)</f>
        <v>Electronics, Electrical Equip.</v>
      </c>
    </row>
    <row r="95" spans="1:14" x14ac:dyDescent="0.3">
      <c r="A95" s="2" t="s">
        <v>151</v>
      </c>
      <c r="F95">
        <v>0</v>
      </c>
      <c r="G95">
        <v>0</v>
      </c>
      <c r="H95">
        <v>0</v>
      </c>
      <c r="I95">
        <v>0</v>
      </c>
      <c r="J95">
        <v>0</v>
      </c>
      <c r="N95" t="str">
        <f>VLOOKUP(A95,'Originales sin dirección'!V:W,2,FALSE)</f>
        <v>Electronics, Electrical Equip.</v>
      </c>
    </row>
    <row r="96" spans="1:14" x14ac:dyDescent="0.3">
      <c r="A96" s="2" t="s">
        <v>177</v>
      </c>
      <c r="B96">
        <v>0</v>
      </c>
      <c r="C96">
        <v>0</v>
      </c>
      <c r="D96">
        <v>0</v>
      </c>
      <c r="N96" t="str">
        <f>VLOOKUP(A96,'Originales sin dirección'!V:W,2,FALSE)</f>
        <v>Electronics, Electrical Equip.</v>
      </c>
    </row>
    <row r="97" spans="1:14" x14ac:dyDescent="0.3">
      <c r="A97" s="2" t="s">
        <v>191</v>
      </c>
      <c r="K97">
        <v>0</v>
      </c>
      <c r="L97">
        <v>0</v>
      </c>
      <c r="M97">
        <v>0</v>
      </c>
      <c r="N97" t="str">
        <f>VLOOKUP(A97,'Originales sin dirección'!V:W,2,FALSE)</f>
        <v>Electronics, Electrical Equip.</v>
      </c>
    </row>
    <row r="98" spans="1:14" x14ac:dyDescent="0.3">
      <c r="A98" s="2" t="s">
        <v>304</v>
      </c>
      <c r="F98">
        <v>0</v>
      </c>
      <c r="G98">
        <v>0</v>
      </c>
      <c r="N98" t="str">
        <f>VLOOKUP(A98,'Originales sin dirección'!V:W,2,FALSE)</f>
        <v>Electronics, Electrical Equip.</v>
      </c>
    </row>
    <row r="99" spans="1:14" x14ac:dyDescent="0.3">
      <c r="A99" s="2" t="s">
        <v>247</v>
      </c>
      <c r="B99">
        <v>0</v>
      </c>
      <c r="C99">
        <v>0</v>
      </c>
      <c r="D99">
        <v>0</v>
      </c>
      <c r="N99" t="str">
        <f>VLOOKUP(A99,'Originales sin dirección'!V:W,2,FALSE)</f>
        <v>Electronics, Electrical Equip.</v>
      </c>
    </row>
    <row r="100" spans="1:14" x14ac:dyDescent="0.3">
      <c r="A100" s="2" t="s">
        <v>62</v>
      </c>
      <c r="F100">
        <v>2.37</v>
      </c>
      <c r="G100">
        <v>2.1</v>
      </c>
      <c r="H100">
        <v>2.85</v>
      </c>
      <c r="I100">
        <v>2.85</v>
      </c>
      <c r="J100">
        <v>2.85</v>
      </c>
      <c r="K100">
        <v>-0.75</v>
      </c>
      <c r="L100">
        <v>2.76</v>
      </c>
      <c r="M100">
        <v>-1.1299999999999999</v>
      </c>
      <c r="N100" t="str">
        <f>VLOOKUP(A100,'Originales sin dirección'!V:W,2,FALSE)</f>
        <v>Telecommunications</v>
      </c>
    </row>
    <row r="101" spans="1:14" x14ac:dyDescent="0.3">
      <c r="A101" s="2" t="s">
        <v>112</v>
      </c>
      <c r="B101">
        <v>2.1</v>
      </c>
      <c r="C101">
        <v>1.25</v>
      </c>
      <c r="D101">
        <v>3.39</v>
      </c>
      <c r="N101" t="str">
        <f>VLOOKUP(A101,'Originales sin dirección'!V:W,2,FALSE)</f>
        <v>Telecommunications</v>
      </c>
    </row>
    <row r="102" spans="1:14" x14ac:dyDescent="0.3">
      <c r="A102" s="2" t="s">
        <v>269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 t="str">
        <f>VLOOKUP(A102,'Originales sin dirección'!V:W,2,FALSE)</f>
        <v>Internet Services and Retailing</v>
      </c>
    </row>
    <row r="103" spans="1:14" x14ac:dyDescent="0.3">
      <c r="A103" s="2" t="s">
        <v>280</v>
      </c>
      <c r="B103">
        <v>0</v>
      </c>
      <c r="N103" t="str">
        <f>VLOOKUP(A103,'Originales sin dirección'!V:W,2,FALSE)</f>
        <v>Internet Services and Retailing</v>
      </c>
    </row>
    <row r="104" spans="1:14" x14ac:dyDescent="0.3">
      <c r="A104" s="2" t="s">
        <v>289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 t="str">
        <f>VLOOKUP(A104,'Originales sin dirección'!V:W,2,FALSE)</f>
        <v>Telecommunications</v>
      </c>
    </row>
    <row r="105" spans="1:14" x14ac:dyDescent="0.3">
      <c r="A105" s="2" t="s">
        <v>238</v>
      </c>
      <c r="B105">
        <v>0</v>
      </c>
      <c r="C105">
        <v>0</v>
      </c>
      <c r="D105">
        <v>0</v>
      </c>
      <c r="N105" t="str">
        <f>VLOOKUP(A105,'Originales sin dirección'!V:W,2,FALSE)</f>
        <v>Telecommunications</v>
      </c>
    </row>
    <row r="106" spans="1:14" x14ac:dyDescent="0.3">
      <c r="A106" s="2" t="s">
        <v>145</v>
      </c>
      <c r="F106">
        <v>0</v>
      </c>
      <c r="G106">
        <v>0</v>
      </c>
      <c r="N106" t="str">
        <f>VLOOKUP(A106,'Originales sin dirección'!V:W,2,FALSE)</f>
        <v>Telecommunications</v>
      </c>
    </row>
    <row r="107" spans="1:14" x14ac:dyDescent="0.3">
      <c r="A107" s="2" t="s">
        <v>156</v>
      </c>
      <c r="B107">
        <v>0</v>
      </c>
      <c r="C107">
        <v>0</v>
      </c>
      <c r="D107">
        <v>0</v>
      </c>
      <c r="N107" t="str">
        <f>VLOOKUP(A107,'Originales sin dirección'!V:W,2,FALSE)</f>
        <v>Telecommunications</v>
      </c>
    </row>
    <row r="108" spans="1:14" x14ac:dyDescent="0.3">
      <c r="A108" s="2" t="s">
        <v>305</v>
      </c>
      <c r="F108">
        <v>0</v>
      </c>
      <c r="N108" t="str">
        <f>VLOOKUP(A108,'Originales sin dirección'!V:W,2,FALSE)</f>
        <v>Telecommunications</v>
      </c>
    </row>
    <row r="109" spans="1:14" x14ac:dyDescent="0.3">
      <c r="A109" s="2" t="s">
        <v>217</v>
      </c>
      <c r="C109">
        <v>0</v>
      </c>
      <c r="D109">
        <v>0</v>
      </c>
      <c r="N109" t="str">
        <f>VLOOKUP(A109,'Originales sin dirección'!V:W,2,FALSE)</f>
        <v>Telecommunications</v>
      </c>
    </row>
    <row r="110" spans="1:14" x14ac:dyDescent="0.3">
      <c r="A110" s="2" t="s">
        <v>175</v>
      </c>
      <c r="C110">
        <v>0</v>
      </c>
      <c r="D110">
        <v>0</v>
      </c>
      <c r="N110" t="str">
        <f>VLOOKUP(A110,'Originales sin dirección'!V:W,2,FALSE)</f>
        <v>Electronics, Electrical Equip.</v>
      </c>
    </row>
    <row r="111" spans="1:14" x14ac:dyDescent="0.3">
      <c r="A111" s="2" t="s">
        <v>133</v>
      </c>
      <c r="F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N111" t="str">
        <f>VLOOKUP(A111,'Originales sin dirección'!V:W,2,FALSE)</f>
        <v>Electronics, Electrical Equip.</v>
      </c>
    </row>
    <row r="112" spans="1:14" x14ac:dyDescent="0.3">
      <c r="A112" s="2" t="s">
        <v>117</v>
      </c>
      <c r="M112">
        <v>-4.6500000000000004</v>
      </c>
      <c r="N112" t="str">
        <f>VLOOKUP(A112,'Originales sin dirección'!V:W,2,FALSE)</f>
        <v>Internet Services and Retailing</v>
      </c>
    </row>
    <row r="113" spans="1:14" x14ac:dyDescent="0.3">
      <c r="A113" s="2" t="s">
        <v>229</v>
      </c>
      <c r="C113">
        <v>0</v>
      </c>
      <c r="D113">
        <v>0</v>
      </c>
      <c r="N113" t="str">
        <f>VLOOKUP(A113,'Originales sin dirección'!V:W,2,FALSE)</f>
        <v>Telecommunications</v>
      </c>
    </row>
    <row r="114" spans="1:14" x14ac:dyDescent="0.3">
      <c r="A114" s="2" t="s">
        <v>136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 t="str">
        <f>VLOOKUP(A114,'Originales sin dirección'!V:W,2,FALSE)</f>
        <v>Telecommunications</v>
      </c>
    </row>
    <row r="115" spans="1:14" x14ac:dyDescent="0.3">
      <c r="A115" s="2" t="s">
        <v>181</v>
      </c>
      <c r="B115">
        <v>0</v>
      </c>
      <c r="C115">
        <v>0</v>
      </c>
      <c r="D115">
        <v>0</v>
      </c>
      <c r="N115" t="str">
        <f>VLOOKUP(A115,'Originales sin dirección'!V:W,2,FALSE)</f>
        <v>Telecommunications</v>
      </c>
    </row>
    <row r="116" spans="1:14" x14ac:dyDescent="0.3">
      <c r="A116" s="2" t="s">
        <v>74</v>
      </c>
      <c r="F116">
        <v>4.37</v>
      </c>
      <c r="G116">
        <v>3.21</v>
      </c>
      <c r="H116">
        <v>3.76</v>
      </c>
      <c r="I116">
        <v>3.76</v>
      </c>
      <c r="J116">
        <v>3.76</v>
      </c>
      <c r="K116">
        <v>4.3</v>
      </c>
      <c r="L116">
        <v>5.32</v>
      </c>
      <c r="M116">
        <v>5.0599999999999996</v>
      </c>
      <c r="N116" t="str">
        <f>VLOOKUP(A116,'Originales sin dirección'!V:W,2,FALSE)</f>
        <v>Telecommunications</v>
      </c>
    </row>
    <row r="117" spans="1:14" x14ac:dyDescent="0.3">
      <c r="A117" s="2" t="s">
        <v>76</v>
      </c>
      <c r="B117">
        <v>3.21</v>
      </c>
      <c r="C117">
        <v>0.31</v>
      </c>
      <c r="D117">
        <v>4</v>
      </c>
      <c r="N117" t="str">
        <f>VLOOKUP(A117,'Originales sin dirección'!V:W,2,FALSE)</f>
        <v>Telecommunications</v>
      </c>
    </row>
    <row r="118" spans="1:14" x14ac:dyDescent="0.3">
      <c r="A118" s="2" t="s">
        <v>276</v>
      </c>
      <c r="K118">
        <v>0</v>
      </c>
      <c r="N118" t="str">
        <f>VLOOKUP(A118,'Originales sin dirección'!V:W,2,FALSE)</f>
        <v>Internet Services and Retailing</v>
      </c>
    </row>
    <row r="119" spans="1:14" x14ac:dyDescent="0.3">
      <c r="A119" s="2" t="s">
        <v>139</v>
      </c>
      <c r="H119">
        <v>0</v>
      </c>
      <c r="I119">
        <v>0</v>
      </c>
      <c r="J119">
        <v>0</v>
      </c>
      <c r="L119">
        <v>0</v>
      </c>
      <c r="M119">
        <v>0</v>
      </c>
      <c r="N119" t="str">
        <f>VLOOKUP(A119,'Originales sin dirección'!V:W,2,FALSE)</f>
        <v>Internet Services and Retailing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BB9D4-D146-471A-9909-D7A7BB3DC0D5}">
  <dimension ref="A1:N188"/>
  <sheetViews>
    <sheetView topLeftCell="A108" workbookViewId="0">
      <selection activeCell="N120" sqref="N120:N188"/>
    </sheetView>
  </sheetViews>
  <sheetFormatPr baseColWidth="10" defaultRowHeight="14.4" x14ac:dyDescent="0.3"/>
  <sheetData>
    <row r="1" spans="1:14" x14ac:dyDescent="0.3">
      <c r="A1" s="3"/>
      <c r="B1" s="3">
        <v>2011</v>
      </c>
      <c r="C1" s="3">
        <v>2012</v>
      </c>
      <c r="D1" s="3">
        <v>2013</v>
      </c>
      <c r="E1" s="3">
        <v>2014</v>
      </c>
      <c r="F1" s="3">
        <v>2015</v>
      </c>
      <c r="G1" s="3">
        <v>2016</v>
      </c>
      <c r="H1" s="3">
        <v>2017</v>
      </c>
      <c r="I1" s="3">
        <v>2018</v>
      </c>
      <c r="J1" s="3">
        <v>2019</v>
      </c>
      <c r="K1" s="3">
        <v>2020</v>
      </c>
      <c r="L1" s="3">
        <v>2021</v>
      </c>
      <c r="M1" s="3">
        <v>2022</v>
      </c>
    </row>
    <row r="2" spans="1:14" x14ac:dyDescent="0.3">
      <c r="A2" s="2" t="s">
        <v>298</v>
      </c>
      <c r="G2">
        <v>20.7</v>
      </c>
      <c r="N2" t="str">
        <f>VLOOKUP(A2,'Originales sin dirección'!V:W,2,FALSE)</f>
        <v>Computers, Office Equipment</v>
      </c>
    </row>
    <row r="3" spans="1:14" x14ac:dyDescent="0.3">
      <c r="A3" s="2" t="s">
        <v>278</v>
      </c>
      <c r="F3">
        <v>1.1000000000000001</v>
      </c>
      <c r="G3">
        <v>37.200000000000003</v>
      </c>
      <c r="H3">
        <v>18.5</v>
      </c>
      <c r="I3">
        <v>18.5</v>
      </c>
      <c r="J3">
        <v>18.5</v>
      </c>
      <c r="N3" t="str">
        <f>VLOOKUP(A3,'Originales sin dirección'!V:W,2,FALSE)</f>
        <v>Computers, Office Equipment</v>
      </c>
    </row>
    <row r="4" spans="1:14" x14ac:dyDescent="0.3">
      <c r="A4" s="2" t="s">
        <v>282</v>
      </c>
      <c r="B4">
        <v>37.200000000000003</v>
      </c>
      <c r="N4" t="str">
        <f>VLOOKUP(A4,'Originales sin dirección'!V:W,2,FALSE)</f>
        <v>Internet Services and Retailing</v>
      </c>
    </row>
    <row r="5" spans="1:14" x14ac:dyDescent="0.3">
      <c r="A5" s="2" t="s">
        <v>307</v>
      </c>
      <c r="B5">
        <v>20.7</v>
      </c>
      <c r="N5" t="str">
        <f>VLOOKUP(A5,'Originales sin dirección'!V:W,2,FALSE)</f>
        <v>Telecommunications</v>
      </c>
    </row>
    <row r="6" spans="1:14" x14ac:dyDescent="0.3">
      <c r="A6" s="2" t="s">
        <v>81</v>
      </c>
      <c r="F6">
        <v>44.7</v>
      </c>
      <c r="G6">
        <v>35.6</v>
      </c>
      <c r="H6">
        <v>55.6</v>
      </c>
      <c r="I6">
        <v>55.6</v>
      </c>
      <c r="J6">
        <v>55.6</v>
      </c>
      <c r="K6">
        <v>87.9</v>
      </c>
      <c r="L6">
        <v>150.1</v>
      </c>
      <c r="M6">
        <v>197</v>
      </c>
      <c r="N6" t="str">
        <f>VLOOKUP(A6,'Originales sin dirección'!V:W,2,FALSE)</f>
        <v>Computers, Office Equipment</v>
      </c>
    </row>
    <row r="7" spans="1:14" x14ac:dyDescent="0.3">
      <c r="A7" s="2" t="s">
        <v>87</v>
      </c>
      <c r="B7">
        <v>35.6</v>
      </c>
      <c r="C7">
        <v>35</v>
      </c>
      <c r="D7">
        <v>30.001899999999999</v>
      </c>
      <c r="N7" t="str">
        <f>VLOOKUP(A7,'Originales sin dirección'!V:W,2,FALSE)</f>
        <v>Computers, Office Equipment</v>
      </c>
    </row>
    <row r="8" spans="1:14" x14ac:dyDescent="0.3">
      <c r="A8" s="2" t="s">
        <v>148</v>
      </c>
      <c r="G8">
        <v>0</v>
      </c>
      <c r="N8" t="str">
        <f>VLOOKUP(A8,'Originales sin dirección'!V:W,2,FALSE)</f>
        <v>Telecommunications</v>
      </c>
    </row>
    <row r="9" spans="1:14" x14ac:dyDescent="0.3">
      <c r="A9" s="2" t="s">
        <v>178</v>
      </c>
      <c r="B9">
        <v>0</v>
      </c>
      <c r="N9" t="str">
        <f>VLOOKUP(A9,'Originales sin dirección'!V:W,2,FALSE)</f>
        <v>Telecommunications</v>
      </c>
    </row>
    <row r="10" spans="1:14" x14ac:dyDescent="0.3">
      <c r="A10" s="2" t="s">
        <v>290</v>
      </c>
      <c r="F10">
        <v>34</v>
      </c>
      <c r="G10">
        <v>4.5999999999999996</v>
      </c>
      <c r="H10">
        <v>27.5</v>
      </c>
      <c r="I10">
        <v>27.5</v>
      </c>
      <c r="J10">
        <v>27.5</v>
      </c>
      <c r="K10">
        <v>17.3</v>
      </c>
      <c r="L10">
        <v>49.8</v>
      </c>
      <c r="M10">
        <v>19.7</v>
      </c>
      <c r="N10" t="str">
        <f>VLOOKUP(A10,'Originales sin dirección'!V:W,2,FALSE)</f>
        <v>Telecommunications</v>
      </c>
    </row>
    <row r="11" spans="1:14" x14ac:dyDescent="0.3">
      <c r="A11" s="2" t="s">
        <v>235</v>
      </c>
      <c r="B11">
        <v>4.5999999999999996</v>
      </c>
      <c r="C11">
        <v>0</v>
      </c>
      <c r="D11">
        <v>37.801900000000003</v>
      </c>
      <c r="N11" t="str">
        <f>VLOOKUP(A11,'Originales sin dirección'!V:W,2,FALSE)</f>
        <v>Telecommunications</v>
      </c>
    </row>
    <row r="12" spans="1:14" x14ac:dyDescent="0.3">
      <c r="A12" s="2" t="s">
        <v>65</v>
      </c>
      <c r="F12">
        <v>4.5</v>
      </c>
      <c r="G12">
        <v>12.3</v>
      </c>
      <c r="H12">
        <v>23.1</v>
      </c>
      <c r="I12">
        <v>23.1</v>
      </c>
      <c r="J12">
        <v>23.1</v>
      </c>
      <c r="K12">
        <v>22.8</v>
      </c>
      <c r="L12">
        <v>24.1</v>
      </c>
      <c r="M12">
        <v>-1.9</v>
      </c>
      <c r="N12" t="str">
        <f>VLOOKUP(A12,'Originales sin dirección'!V:W,2,FALSE)</f>
        <v>Internet Services and Retailing</v>
      </c>
    </row>
    <row r="13" spans="1:14" x14ac:dyDescent="0.3">
      <c r="A13" s="2" t="s">
        <v>67</v>
      </c>
      <c r="B13">
        <v>12.3</v>
      </c>
      <c r="C13">
        <v>-1</v>
      </c>
      <c r="D13">
        <v>2.8018999999999998</v>
      </c>
      <c r="N13" t="str">
        <f>VLOOKUP(A13,'Originales sin dirección'!V:W,2,FALSE)</f>
        <v>Internet Services and Retailing</v>
      </c>
    </row>
    <row r="14" spans="1:14" x14ac:dyDescent="0.3">
      <c r="A14" s="2" t="s">
        <v>272</v>
      </c>
      <c r="G14">
        <v>16</v>
      </c>
      <c r="H14">
        <v>17.899999999999999</v>
      </c>
      <c r="I14">
        <v>17.899999999999999</v>
      </c>
      <c r="J14">
        <v>17.899999999999999</v>
      </c>
      <c r="K14">
        <v>15.5</v>
      </c>
      <c r="L14">
        <v>6.5</v>
      </c>
      <c r="M14">
        <v>7.4</v>
      </c>
      <c r="N14" t="str">
        <f>VLOOKUP(A14,'Originales sin dirección'!V:W,2,FALSE)</f>
        <v>Internet Services and Retailing</v>
      </c>
    </row>
    <row r="15" spans="1:14" x14ac:dyDescent="0.3">
      <c r="A15" s="2" t="s">
        <v>281</v>
      </c>
      <c r="B15">
        <v>16</v>
      </c>
      <c r="N15" t="str">
        <f>VLOOKUP(A15,'Originales sin dirección'!V:W,2,FALSE)</f>
        <v>Internet Services and Retailing</v>
      </c>
    </row>
    <row r="16" spans="1:14" x14ac:dyDescent="0.3">
      <c r="A16" s="2" t="s">
        <v>261</v>
      </c>
      <c r="F16">
        <v>26.1</v>
      </c>
      <c r="G16">
        <v>23.8</v>
      </c>
      <c r="H16">
        <v>21.4</v>
      </c>
      <c r="I16">
        <v>21.4</v>
      </c>
      <c r="J16">
        <v>21.4</v>
      </c>
      <c r="N16" t="str">
        <f>VLOOKUP(A16,'Originales sin dirección'!V:W,2,FALSE)</f>
        <v>Telecommunications</v>
      </c>
    </row>
    <row r="17" spans="1:14" x14ac:dyDescent="0.3">
      <c r="A17" s="2" t="s">
        <v>220</v>
      </c>
      <c r="B17">
        <v>23.8</v>
      </c>
      <c r="C17">
        <v>0</v>
      </c>
      <c r="D17">
        <v>0</v>
      </c>
      <c r="N17" t="str">
        <f>VLOOKUP(A17,'Originales sin dirección'!V:W,2,FALSE)</f>
        <v>Telecommunications</v>
      </c>
    </row>
    <row r="18" spans="1:14" x14ac:dyDescent="0.3">
      <c r="A18" s="2" t="s">
        <v>259</v>
      </c>
      <c r="K18">
        <v>11.9</v>
      </c>
      <c r="N18" t="str">
        <f>VLOOKUP(A18,'Originales sin dirección'!V:W,2,FALSE)</f>
        <v>Telecommunications</v>
      </c>
    </row>
    <row r="19" spans="1:14" x14ac:dyDescent="0.3">
      <c r="A19" s="2" t="s">
        <v>196</v>
      </c>
      <c r="F19">
        <v>7.4</v>
      </c>
      <c r="G19">
        <v>5.8</v>
      </c>
      <c r="H19">
        <v>8.9</v>
      </c>
      <c r="I19">
        <v>8.9</v>
      </c>
      <c r="J19">
        <v>8.9</v>
      </c>
      <c r="K19">
        <v>3.1</v>
      </c>
      <c r="L19">
        <v>7.8</v>
      </c>
      <c r="N19" t="str">
        <f>VLOOKUP(A19,'Originales sin dirección'!V:W,2,FALSE)</f>
        <v>Computers, Office Equipment</v>
      </c>
    </row>
    <row r="20" spans="1:14" x14ac:dyDescent="0.3">
      <c r="A20" s="2" t="s">
        <v>203</v>
      </c>
      <c r="B20">
        <v>5.8</v>
      </c>
      <c r="C20">
        <v>0</v>
      </c>
      <c r="D20">
        <v>8.5018999999999991</v>
      </c>
      <c r="N20" t="str">
        <f>VLOOKUP(A20,'Originales sin dirección'!V:W,2,FALSE)</f>
        <v>Computers, Office Equipment</v>
      </c>
    </row>
    <row r="21" spans="1:14" x14ac:dyDescent="0.3">
      <c r="A21" s="2" t="s">
        <v>45</v>
      </c>
      <c r="G21">
        <v>8.8000000000000007</v>
      </c>
      <c r="H21">
        <v>3.4</v>
      </c>
      <c r="I21">
        <v>3.4</v>
      </c>
      <c r="J21">
        <v>3.4</v>
      </c>
      <c r="K21">
        <v>13.5</v>
      </c>
      <c r="L21">
        <v>33.1</v>
      </c>
      <c r="M21">
        <v>55.4</v>
      </c>
      <c r="N21" t="str">
        <f>VLOOKUP(A21,'Originales sin dirección'!V:W,2,FALSE)</f>
        <v>Telecommunications</v>
      </c>
    </row>
    <row r="22" spans="1:14" x14ac:dyDescent="0.3">
      <c r="A22" s="2" t="s">
        <v>122</v>
      </c>
      <c r="B22">
        <v>8.8000000000000007</v>
      </c>
      <c r="N22" t="str">
        <f>VLOOKUP(A22,'Originales sin dirección'!V:W,2,FALSE)</f>
        <v>Telecommunications</v>
      </c>
    </row>
    <row r="23" spans="1:14" x14ac:dyDescent="0.3">
      <c r="A23" s="2" t="s">
        <v>69</v>
      </c>
      <c r="C23">
        <v>13</v>
      </c>
      <c r="N23" t="str">
        <f>VLOOKUP(A23,'Originales sin dirección'!V:W,2,FALSE)</f>
        <v>Telecommunications</v>
      </c>
    </row>
    <row r="24" spans="1:14" x14ac:dyDescent="0.3">
      <c r="A24" s="2" t="s">
        <v>93</v>
      </c>
      <c r="F24">
        <v>15.6</v>
      </c>
      <c r="G24">
        <v>16.100000000000001</v>
      </c>
      <c r="H24">
        <v>16.399999999999999</v>
      </c>
      <c r="I24">
        <v>16.399999999999999</v>
      </c>
      <c r="J24">
        <v>16.399999999999999</v>
      </c>
      <c r="K24">
        <v>11.7</v>
      </c>
      <c r="L24">
        <v>14.7</v>
      </c>
      <c r="M24">
        <v>6.6</v>
      </c>
      <c r="N24" t="str">
        <f>VLOOKUP(A24,'Originales sin dirección'!V:W,2,FALSE)</f>
        <v>Telecommunications</v>
      </c>
    </row>
    <row r="25" spans="1:14" x14ac:dyDescent="0.3">
      <c r="A25" s="2" t="s">
        <v>110</v>
      </c>
      <c r="B25">
        <v>16.100000000000001</v>
      </c>
      <c r="D25">
        <v>13.401899999999999</v>
      </c>
      <c r="N25" t="str">
        <f>VLOOKUP(A25,'Originales sin dirección'!V:W,2,FALSE)</f>
        <v>Telecommunications</v>
      </c>
    </row>
    <row r="26" spans="1:14" x14ac:dyDescent="0.3">
      <c r="A26" s="2" t="s">
        <v>56</v>
      </c>
      <c r="M26">
        <v>0.4</v>
      </c>
      <c r="N26" t="str">
        <f>VLOOKUP(A26,'Originales sin dirección'!V:W,2,FALSE)</f>
        <v>Computer Software</v>
      </c>
    </row>
    <row r="27" spans="1:14" x14ac:dyDescent="0.3">
      <c r="A27" s="2" t="s">
        <v>31</v>
      </c>
      <c r="H27">
        <v>0</v>
      </c>
      <c r="I27">
        <v>0</v>
      </c>
      <c r="J27">
        <v>0</v>
      </c>
      <c r="K27">
        <v>131.1</v>
      </c>
      <c r="L27">
        <v>0</v>
      </c>
      <c r="M27">
        <v>0</v>
      </c>
      <c r="N27" t="str">
        <f>VLOOKUP(A27,'Originales sin dirección'!V:W,2,FALSE)</f>
        <v>Computers, Office Equipment</v>
      </c>
    </row>
    <row r="28" spans="1:14" x14ac:dyDescent="0.3">
      <c r="A28" s="2" t="s">
        <v>114</v>
      </c>
      <c r="C28">
        <v>22</v>
      </c>
      <c r="N28" t="str">
        <f>VLOOKUP(A28,'Originales sin dirección'!V:W,2,FALSE)</f>
        <v>Computers, Office Equipment</v>
      </c>
    </row>
    <row r="29" spans="1:14" x14ac:dyDescent="0.3">
      <c r="A29" s="2" t="s">
        <v>256</v>
      </c>
      <c r="F29">
        <v>11.3</v>
      </c>
      <c r="G29">
        <v>9.6</v>
      </c>
      <c r="H29">
        <v>7.2</v>
      </c>
      <c r="I29">
        <v>7.2</v>
      </c>
      <c r="J29">
        <v>7.2</v>
      </c>
      <c r="K29">
        <v>10.8</v>
      </c>
      <c r="L29">
        <v>10.199999999999999</v>
      </c>
      <c r="M29">
        <v>16.2</v>
      </c>
      <c r="N29" t="str">
        <f>VLOOKUP(A29,'Originales sin dirección'!V:W,2,FALSE)</f>
        <v>Telecommunications</v>
      </c>
    </row>
    <row r="30" spans="1:14" x14ac:dyDescent="0.3">
      <c r="A30" s="2" t="s">
        <v>164</v>
      </c>
      <c r="B30">
        <v>9.6</v>
      </c>
      <c r="C30">
        <v>0</v>
      </c>
      <c r="D30">
        <v>3.8018999999999998</v>
      </c>
      <c r="N30" t="str">
        <f>VLOOKUP(A30,'Originales sin dirección'!V:W,2,FALSE)</f>
        <v>Telecommunications</v>
      </c>
    </row>
    <row r="31" spans="1:14" x14ac:dyDescent="0.3">
      <c r="A31" s="2" t="s">
        <v>51</v>
      </c>
      <c r="C31">
        <v>0</v>
      </c>
      <c r="D31">
        <v>0</v>
      </c>
      <c r="N31" t="str">
        <f>VLOOKUP(A31,'Originales sin dirección'!V:W,2,FALSE)</f>
        <v>Telecommunications</v>
      </c>
    </row>
    <row r="32" spans="1:14" x14ac:dyDescent="0.3">
      <c r="A32" s="2" t="s">
        <v>106</v>
      </c>
      <c r="F32">
        <v>9.4</v>
      </c>
      <c r="N32" t="str">
        <f>VLOOKUP(A32,'Originales sin dirección'!V:W,2,FALSE)</f>
        <v>Computers, Office Equipment</v>
      </c>
    </row>
    <row r="33" spans="1:14" x14ac:dyDescent="0.3">
      <c r="A33" s="2" t="s">
        <v>104</v>
      </c>
      <c r="F33">
        <v>33.5</v>
      </c>
      <c r="N33" t="str">
        <f>VLOOKUP(A33,'Originales sin dirección'!V:W,2,FALSE)</f>
        <v>Electronics, Electrical Equip.</v>
      </c>
    </row>
    <row r="34" spans="1:14" x14ac:dyDescent="0.3">
      <c r="A34" s="2" t="s">
        <v>108</v>
      </c>
      <c r="C34">
        <v>19</v>
      </c>
      <c r="D34">
        <v>18.901900000000001</v>
      </c>
      <c r="N34" t="str">
        <f>VLOOKUP(A34,'Originales sin dirección'!V:W,2,FALSE)</f>
        <v>Electronics, Electrical Equip.</v>
      </c>
    </row>
    <row r="35" spans="1:14" x14ac:dyDescent="0.3">
      <c r="A35" s="2" t="s">
        <v>41</v>
      </c>
      <c r="G35">
        <v>17.3</v>
      </c>
      <c r="H35">
        <v>26.3</v>
      </c>
      <c r="I35">
        <v>26.3</v>
      </c>
      <c r="J35">
        <v>26.3</v>
      </c>
      <c r="K35">
        <v>22.7</v>
      </c>
      <c r="N35" t="str">
        <f>VLOOKUP(A35,'Originales sin dirección'!V:W,2,FALSE)</f>
        <v>Internet Services and Retailing</v>
      </c>
    </row>
    <row r="36" spans="1:14" x14ac:dyDescent="0.3">
      <c r="A36" s="2" t="s">
        <v>53</v>
      </c>
      <c r="B36">
        <v>17.3</v>
      </c>
      <c r="N36" t="str">
        <f>VLOOKUP(A36,'Originales sin dirección'!V:W,2,FALSE)</f>
        <v>Internet Services and Retailing</v>
      </c>
    </row>
    <row r="37" spans="1:14" x14ac:dyDescent="0.3">
      <c r="A37" s="2" t="s">
        <v>158</v>
      </c>
      <c r="C37">
        <v>0</v>
      </c>
      <c r="D37">
        <v>5.7019000000000002</v>
      </c>
      <c r="N37" t="str">
        <f>VLOOKUP(A37,'Originales sin dirección'!V:W,2,FALSE)</f>
        <v>Computers, Office Equipment</v>
      </c>
    </row>
    <row r="38" spans="1:14" x14ac:dyDescent="0.3">
      <c r="A38" s="2" t="s">
        <v>294</v>
      </c>
      <c r="K38">
        <v>17.8</v>
      </c>
      <c r="N38" t="str">
        <f>VLOOKUP(A38,'Originales sin dirección'!V:W,2,FALSE)</f>
        <v>Electronics, Electrical Equip.</v>
      </c>
    </row>
    <row r="39" spans="1:14" x14ac:dyDescent="0.3">
      <c r="A39" s="2" t="s">
        <v>232</v>
      </c>
      <c r="C39">
        <v>0</v>
      </c>
      <c r="N39" t="str">
        <f>VLOOKUP(A39,'Originales sin dirección'!V:W,2,FALSE)</f>
        <v>Telecommunications</v>
      </c>
    </row>
    <row r="40" spans="1:14" x14ac:dyDescent="0.3">
      <c r="A40" s="2" t="s">
        <v>48</v>
      </c>
      <c r="C40">
        <v>15</v>
      </c>
      <c r="D40">
        <v>14.8019</v>
      </c>
      <c r="N40" t="str">
        <f>VLOOKUP(A40,'Originales sin dirección'!V:W,2,FALSE)</f>
        <v>Internet Services and Retailing</v>
      </c>
    </row>
    <row r="41" spans="1:14" x14ac:dyDescent="0.3">
      <c r="A41" s="2" t="s">
        <v>78</v>
      </c>
      <c r="F41">
        <v>13.6</v>
      </c>
      <c r="G41">
        <v>14</v>
      </c>
      <c r="H41">
        <v>17.3</v>
      </c>
      <c r="I41">
        <v>17.3</v>
      </c>
      <c r="J41">
        <v>17.3</v>
      </c>
      <c r="K41">
        <v>18.100000000000001</v>
      </c>
      <c r="L41">
        <v>30.2</v>
      </c>
      <c r="M41">
        <v>23.4</v>
      </c>
      <c r="N41" t="str">
        <f>VLOOKUP(A41,'Originales sin dirección'!V:W,2,FALSE)</f>
        <v>Internet Services and Retailing</v>
      </c>
    </row>
    <row r="42" spans="1:14" x14ac:dyDescent="0.3">
      <c r="A42" s="2" t="s">
        <v>88</v>
      </c>
      <c r="B42">
        <v>14</v>
      </c>
      <c r="N42" t="str">
        <f>VLOOKUP(A42,'Originales sin dirección'!V:W,2,FALSE)</f>
        <v>Internet Services and Retailing</v>
      </c>
    </row>
    <row r="43" spans="1:14" x14ac:dyDescent="0.3">
      <c r="A43" s="2" t="s">
        <v>291</v>
      </c>
      <c r="F43">
        <v>15.1</v>
      </c>
      <c r="G43">
        <v>13.8</v>
      </c>
      <c r="H43">
        <v>10.9</v>
      </c>
      <c r="I43">
        <v>10.9</v>
      </c>
      <c r="J43">
        <v>10.9</v>
      </c>
      <c r="K43">
        <v>7.5</v>
      </c>
      <c r="L43">
        <v>10</v>
      </c>
      <c r="M43">
        <v>10.1</v>
      </c>
      <c r="N43" t="str">
        <f>VLOOKUP(A43,'Originales sin dirección'!V:W,2,FALSE)</f>
        <v>Electronics, Electrical Equip.</v>
      </c>
    </row>
    <row r="44" spans="1:14" x14ac:dyDescent="0.3">
      <c r="A44" s="2" t="s">
        <v>244</v>
      </c>
      <c r="B44">
        <v>13.8</v>
      </c>
      <c r="C44">
        <v>0</v>
      </c>
      <c r="D44">
        <v>14.001899999999999</v>
      </c>
      <c r="N44" t="str">
        <f>VLOOKUP(A44,'Originales sin dirección'!V:W,2,FALSE)</f>
        <v>Electronics, Electrical Equip.</v>
      </c>
    </row>
    <row r="45" spans="1:14" x14ac:dyDescent="0.3">
      <c r="A45" s="2" t="s">
        <v>91</v>
      </c>
      <c r="F45">
        <v>26.1</v>
      </c>
      <c r="G45">
        <v>24.8</v>
      </c>
      <c r="H45">
        <v>37.200000000000003</v>
      </c>
      <c r="I45">
        <v>37.200000000000003</v>
      </c>
      <c r="J45">
        <v>37.200000000000003</v>
      </c>
      <c r="K45">
        <v>27.2</v>
      </c>
      <c r="L45">
        <v>29.8</v>
      </c>
      <c r="M45">
        <v>29.7</v>
      </c>
      <c r="N45" t="str">
        <f>VLOOKUP(A45,'Originales sin dirección'!V:W,2,FALSE)</f>
        <v>Electronics, Electrical Equip.</v>
      </c>
    </row>
    <row r="46" spans="1:14" x14ac:dyDescent="0.3">
      <c r="A46" s="2" t="s">
        <v>109</v>
      </c>
      <c r="B46">
        <v>24.8</v>
      </c>
      <c r="D46">
        <v>22.501899999999999</v>
      </c>
      <c r="N46" t="str">
        <f>VLOOKUP(A46,'Originales sin dirección'!V:W,2,FALSE)</f>
        <v>Electronics, Electrical Equip.</v>
      </c>
    </row>
    <row r="47" spans="1:14" x14ac:dyDescent="0.3">
      <c r="A47" s="2" t="s">
        <v>38</v>
      </c>
      <c r="H47">
        <v>9</v>
      </c>
      <c r="I47">
        <v>9</v>
      </c>
      <c r="J47">
        <v>9</v>
      </c>
      <c r="K47">
        <v>-2</v>
      </c>
      <c r="N47" t="str">
        <f>VLOOKUP(A47,'Originales sin dirección'!V:W,2,FALSE)</f>
        <v>Computers, Office Equipment</v>
      </c>
    </row>
    <row r="48" spans="1:14" x14ac:dyDescent="0.3">
      <c r="A48" s="2" t="s">
        <v>59</v>
      </c>
      <c r="F48">
        <v>16.399999999999999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 t="str">
        <f>VLOOKUP(A48,'Originales sin dirección'!V:W,2,FALSE)</f>
        <v>Computers, Office Equipment</v>
      </c>
    </row>
    <row r="49" spans="1:14" x14ac:dyDescent="0.3">
      <c r="A49" s="2" t="s">
        <v>72</v>
      </c>
      <c r="B49">
        <v>0</v>
      </c>
      <c r="C49">
        <v>-56</v>
      </c>
      <c r="D49">
        <v>18.8019</v>
      </c>
      <c r="N49" t="str">
        <f>VLOOKUP(A49,'Originales sin dirección'!V:W,2,FALSE)</f>
        <v>Computers, Office Equipment</v>
      </c>
    </row>
    <row r="50" spans="1:14" x14ac:dyDescent="0.3">
      <c r="A50" s="2" t="s">
        <v>275</v>
      </c>
      <c r="K50">
        <v>12.6</v>
      </c>
      <c r="N50" t="str">
        <f>VLOOKUP(A50,'Originales sin dirección'!V:W,2,FALSE)</f>
        <v>Electronics, Electrical Equip.</v>
      </c>
    </row>
    <row r="51" spans="1:14" x14ac:dyDescent="0.3">
      <c r="A51" s="2" t="s">
        <v>265</v>
      </c>
      <c r="L51">
        <v>16.100000000000001</v>
      </c>
      <c r="M51">
        <v>16.100000000000001</v>
      </c>
      <c r="N51" t="str">
        <f>VLOOKUP(A51,'Originales sin dirección'!V:W,2,FALSE)</f>
        <v>Electronics, Electrical Equip.</v>
      </c>
    </row>
    <row r="52" spans="1:14" x14ac:dyDescent="0.3">
      <c r="A52" s="2" t="s">
        <v>189</v>
      </c>
      <c r="F52">
        <v>5.9</v>
      </c>
      <c r="G52">
        <v>8</v>
      </c>
      <c r="H52">
        <v>6.8</v>
      </c>
      <c r="I52">
        <v>6.8</v>
      </c>
      <c r="J52">
        <v>6.8</v>
      </c>
      <c r="K52">
        <v>14.8</v>
      </c>
      <c r="L52">
        <v>14.5</v>
      </c>
      <c r="M52">
        <v>12.9</v>
      </c>
      <c r="N52" t="str">
        <f>VLOOKUP(A52,'Originales sin dirección'!V:W,2,FALSE)</f>
        <v>Electronics, Electrical Equip.</v>
      </c>
    </row>
    <row r="53" spans="1:14" x14ac:dyDescent="0.3">
      <c r="A53" s="2" t="s">
        <v>209</v>
      </c>
      <c r="B53">
        <v>8</v>
      </c>
      <c r="C53">
        <v>0</v>
      </c>
      <c r="D53">
        <v>10.3019</v>
      </c>
      <c r="N53" t="str">
        <f>VLOOKUP(A53,'Originales sin dirección'!V:W,2,FALSE)</f>
        <v>Electronics, Electrical Equip.</v>
      </c>
    </row>
    <row r="54" spans="1:14" x14ac:dyDescent="0.3">
      <c r="A54" s="2" t="s">
        <v>130</v>
      </c>
      <c r="F54">
        <v>-31.7</v>
      </c>
      <c r="G54">
        <v>-11.7</v>
      </c>
      <c r="H54">
        <v>-4.3</v>
      </c>
      <c r="I54">
        <v>-4.3</v>
      </c>
      <c r="J54">
        <v>-4.3</v>
      </c>
      <c r="K54">
        <v>24.9</v>
      </c>
      <c r="L54">
        <v>-1.7</v>
      </c>
      <c r="M54">
        <v>5</v>
      </c>
      <c r="N54" t="str">
        <f>VLOOKUP(A54,'Originales sin dirección'!V:W,2,FALSE)</f>
        <v>Internet Services and Retailing</v>
      </c>
    </row>
    <row r="55" spans="1:14" x14ac:dyDescent="0.3">
      <c r="A55" s="2" t="s">
        <v>179</v>
      </c>
      <c r="B55">
        <v>-11.7</v>
      </c>
      <c r="N55" t="str">
        <f>VLOOKUP(A55,'Originales sin dirección'!V:W,2,FALSE)</f>
        <v>Internet Services and Retailing</v>
      </c>
    </row>
    <row r="56" spans="1:14" x14ac:dyDescent="0.3">
      <c r="A56" s="2" t="s">
        <v>186</v>
      </c>
      <c r="F56">
        <v>14</v>
      </c>
      <c r="G56">
        <v>15.8</v>
      </c>
      <c r="H56">
        <v>14.7</v>
      </c>
      <c r="I56">
        <v>14.7</v>
      </c>
      <c r="J56">
        <v>14.7</v>
      </c>
      <c r="K56">
        <v>14.3</v>
      </c>
      <c r="L56">
        <v>14.6</v>
      </c>
      <c r="M56">
        <v>13</v>
      </c>
      <c r="N56" t="str">
        <f>VLOOKUP(A56,'Originales sin dirección'!V:W,2,FALSE)</f>
        <v>Telecommunications</v>
      </c>
    </row>
    <row r="57" spans="1:14" x14ac:dyDescent="0.3">
      <c r="A57" s="2" t="s">
        <v>205</v>
      </c>
      <c r="B57">
        <v>15.8</v>
      </c>
      <c r="C57">
        <v>0</v>
      </c>
      <c r="D57">
        <v>12.501899999999999</v>
      </c>
      <c r="N57" t="str">
        <f>VLOOKUP(A57,'Originales sin dirección'!V:W,2,FALSE)</f>
        <v>Telecommunications</v>
      </c>
    </row>
    <row r="58" spans="1:14" x14ac:dyDescent="0.3">
      <c r="A58" s="2" t="s">
        <v>100</v>
      </c>
      <c r="L58">
        <v>22</v>
      </c>
      <c r="N58" t="str">
        <f>VLOOKUP(A58,'Originales sin dirección'!V:W,2,FALSE)</f>
        <v>Automotive Retailing, Services</v>
      </c>
    </row>
    <row r="59" spans="1:14" x14ac:dyDescent="0.3">
      <c r="A59" s="2" t="s">
        <v>142</v>
      </c>
      <c r="F59">
        <v>-4.3</v>
      </c>
      <c r="G59">
        <v>16.600000000000001</v>
      </c>
      <c r="H59">
        <v>17.600000000000001</v>
      </c>
      <c r="I59">
        <v>17.600000000000001</v>
      </c>
      <c r="J59">
        <v>17.600000000000001</v>
      </c>
      <c r="K59">
        <v>33.1</v>
      </c>
      <c r="L59">
        <v>40.700000000000003</v>
      </c>
      <c r="M59">
        <v>28.8</v>
      </c>
      <c r="N59" t="str">
        <f>VLOOKUP(A59,'Originales sin dirección'!V:W,2,FALSE)</f>
        <v>Computers, Office Equipment</v>
      </c>
    </row>
    <row r="60" spans="1:14" x14ac:dyDescent="0.3">
      <c r="A60" s="2" t="s">
        <v>180</v>
      </c>
      <c r="B60">
        <v>16.600000000000001</v>
      </c>
      <c r="C60">
        <v>0</v>
      </c>
      <c r="D60">
        <v>27.101900000000001</v>
      </c>
      <c r="N60" t="str">
        <f>VLOOKUP(A60,'Originales sin dirección'!V:W,2,FALSE)</f>
        <v>Computers, Office Equipment</v>
      </c>
    </row>
    <row r="61" spans="1:14" x14ac:dyDescent="0.3">
      <c r="A61" s="2" t="s">
        <v>296</v>
      </c>
      <c r="F61">
        <v>8.1999999999999993</v>
      </c>
      <c r="G61">
        <v>7.3</v>
      </c>
      <c r="N61" t="str">
        <f>VLOOKUP(A61,'Originales sin dirección'!V:W,2,FALSE)</f>
        <v>Electronics, Electrical Equip.</v>
      </c>
    </row>
    <row r="62" spans="1:14" x14ac:dyDescent="0.3">
      <c r="A62" s="2" t="s">
        <v>170</v>
      </c>
      <c r="B62">
        <v>7.3</v>
      </c>
      <c r="C62">
        <v>0</v>
      </c>
      <c r="D62">
        <v>3.9018999999999999</v>
      </c>
      <c r="N62" t="str">
        <f>VLOOKUP(A62,'Originales sin dirección'!V:W,2,FALSE)</f>
        <v>Electronics, Electrical Equip.</v>
      </c>
    </row>
    <row r="63" spans="1:14" x14ac:dyDescent="0.3">
      <c r="A63" s="2" t="s">
        <v>35</v>
      </c>
      <c r="L63">
        <v>31.5</v>
      </c>
      <c r="M63">
        <v>18.5</v>
      </c>
      <c r="N63" t="str">
        <f>VLOOKUP(A63,'Originales sin dirección'!V:W,2,FALSE)</f>
        <v>Internet Services and Retailing</v>
      </c>
    </row>
    <row r="64" spans="1:14" x14ac:dyDescent="0.3">
      <c r="A64" s="2" t="s">
        <v>183</v>
      </c>
      <c r="F64">
        <v>11.6</v>
      </c>
      <c r="G64">
        <v>10.6</v>
      </c>
      <c r="H64">
        <v>9.4</v>
      </c>
      <c r="I64">
        <v>9.4</v>
      </c>
      <c r="J64">
        <v>9.4</v>
      </c>
      <c r="K64">
        <v>7.3</v>
      </c>
      <c r="L64">
        <v>7.4</v>
      </c>
      <c r="M64">
        <v>6.5</v>
      </c>
      <c r="N64" t="str">
        <f>VLOOKUP(A64,'Originales sin dirección'!V:W,2,FALSE)</f>
        <v>Electronics, Electrical Equip.</v>
      </c>
    </row>
    <row r="65" spans="1:14" x14ac:dyDescent="0.3">
      <c r="A65" s="2" t="s">
        <v>204</v>
      </c>
      <c r="B65">
        <v>10.6</v>
      </c>
      <c r="C65">
        <v>0</v>
      </c>
      <c r="D65">
        <v>10.3019</v>
      </c>
      <c r="N65" t="str">
        <f>VLOOKUP(A65,'Originales sin dirección'!V:W,2,FALSE)</f>
        <v>Electronics, Electrical Equip.</v>
      </c>
    </row>
    <row r="66" spans="1:14" x14ac:dyDescent="0.3">
      <c r="A66" s="2" t="s">
        <v>124</v>
      </c>
      <c r="M66">
        <v>-5.3</v>
      </c>
      <c r="N66" t="str">
        <f>VLOOKUP(A66,'Originales sin dirección'!V:W,2,FALSE)</f>
        <v>Internet Services and Retailing</v>
      </c>
    </row>
    <row r="67" spans="1:14" x14ac:dyDescent="0.3">
      <c r="A67" s="2" t="s">
        <v>96</v>
      </c>
      <c r="F67">
        <v>15.2</v>
      </c>
      <c r="G67">
        <v>23.3</v>
      </c>
      <c r="H67">
        <v>20</v>
      </c>
      <c r="I67">
        <v>20</v>
      </c>
      <c r="J67">
        <v>20</v>
      </c>
      <c r="K67">
        <v>37.4</v>
      </c>
      <c r="L67">
        <v>43.2</v>
      </c>
      <c r="M67">
        <v>43.7</v>
      </c>
      <c r="N67" t="str">
        <f>VLOOKUP(A67,'Originales sin dirección'!V:W,2,FALSE)</f>
        <v>Computer Software</v>
      </c>
    </row>
    <row r="68" spans="1:14" x14ac:dyDescent="0.3">
      <c r="A68" s="2" t="s">
        <v>111</v>
      </c>
      <c r="B68">
        <v>23.3</v>
      </c>
      <c r="C68">
        <v>26</v>
      </c>
      <c r="D68">
        <v>27.701899999999998</v>
      </c>
      <c r="N68" t="str">
        <f>VLOOKUP(A68,'Originales sin dirección'!V:W,2,FALSE)</f>
        <v>Computer Software</v>
      </c>
    </row>
    <row r="69" spans="1:14" x14ac:dyDescent="0.3">
      <c r="A69" s="2" t="s">
        <v>202</v>
      </c>
      <c r="F69">
        <v>7.8</v>
      </c>
      <c r="N69" t="str">
        <f>VLOOKUP(A69,'Originales sin dirección'!V:W,2,FALSE)</f>
        <v>Telecommunications</v>
      </c>
    </row>
    <row r="70" spans="1:14" x14ac:dyDescent="0.3">
      <c r="A70" s="2" t="s">
        <v>211</v>
      </c>
      <c r="C70">
        <v>0</v>
      </c>
      <c r="D70">
        <v>7.1018999999999997</v>
      </c>
      <c r="N70" t="str">
        <f>VLOOKUP(A70,'Originales sin dirección'!V:W,2,FALSE)</f>
        <v>Telecommunications</v>
      </c>
    </row>
    <row r="71" spans="1:14" x14ac:dyDescent="0.3">
      <c r="A71" s="2" t="s">
        <v>193</v>
      </c>
      <c r="G71">
        <v>9.1</v>
      </c>
      <c r="H71">
        <v>9.1999999999999993</v>
      </c>
      <c r="I71">
        <v>9.1999999999999993</v>
      </c>
      <c r="J71">
        <v>9.1999999999999993</v>
      </c>
      <c r="K71">
        <v>12.6</v>
      </c>
      <c r="L71">
        <v>15.4</v>
      </c>
      <c r="M71">
        <v>13.9</v>
      </c>
      <c r="N71" t="str">
        <f>VLOOKUP(A71,'Originales sin dirección'!V:W,2,FALSE)</f>
        <v>Telecommunications</v>
      </c>
    </row>
    <row r="72" spans="1:14" x14ac:dyDescent="0.3">
      <c r="A72" s="2" t="s">
        <v>212</v>
      </c>
      <c r="B72">
        <v>9.1</v>
      </c>
      <c r="N72" t="str">
        <f>VLOOKUP(A72,'Originales sin dirección'!V:W,2,FALSE)</f>
        <v>Telecommunications</v>
      </c>
    </row>
    <row r="73" spans="1:14" x14ac:dyDescent="0.3">
      <c r="A73" s="2" t="s">
        <v>252</v>
      </c>
      <c r="F73">
        <v>8.8000000000000007</v>
      </c>
      <c r="G73">
        <v>10</v>
      </c>
      <c r="H73">
        <v>6.6</v>
      </c>
      <c r="I73">
        <v>6.6</v>
      </c>
      <c r="J73">
        <v>6.6</v>
      </c>
      <c r="K73">
        <v>13.1</v>
      </c>
      <c r="L73">
        <v>0.7</v>
      </c>
      <c r="M73">
        <v>6.7</v>
      </c>
      <c r="N73" t="str">
        <f>VLOOKUP(A73,'Originales sin dirección'!V:W,2,FALSE)</f>
        <v>Telecommunications</v>
      </c>
    </row>
    <row r="74" spans="1:14" x14ac:dyDescent="0.3">
      <c r="A74" s="2" t="s">
        <v>253</v>
      </c>
      <c r="B74">
        <v>10</v>
      </c>
      <c r="D74">
        <v>7.4019000000000004</v>
      </c>
      <c r="N74" t="str">
        <f>VLOOKUP(A74,'Originales sin dirección'!V:W,2,FALSE)</f>
        <v>Telecommunications</v>
      </c>
    </row>
    <row r="75" spans="1:14" x14ac:dyDescent="0.3">
      <c r="A75" s="2" t="s">
        <v>84</v>
      </c>
      <c r="F75">
        <v>20.399999999999999</v>
      </c>
      <c r="G75">
        <v>18.8</v>
      </c>
      <c r="H75">
        <v>8.4</v>
      </c>
      <c r="I75">
        <v>8.4</v>
      </c>
      <c r="J75">
        <v>8.4</v>
      </c>
      <c r="K75">
        <v>83.9</v>
      </c>
      <c r="L75">
        <v>262.39999999999998</v>
      </c>
      <c r="M75">
        <v>0</v>
      </c>
      <c r="N75" t="str">
        <f>VLOOKUP(A75,'Originales sin dirección'!V:W,2,FALSE)</f>
        <v>Computer Software</v>
      </c>
    </row>
    <row r="76" spans="1:14" x14ac:dyDescent="0.3">
      <c r="A76" s="2" t="s">
        <v>86</v>
      </c>
      <c r="B76">
        <v>18.8</v>
      </c>
      <c r="C76">
        <v>23</v>
      </c>
      <c r="D76">
        <v>24.501899999999999</v>
      </c>
      <c r="N76" t="str">
        <f>VLOOKUP(A76,'Originales sin dirección'!V:W,2,FALSE)</f>
        <v>Computer Software</v>
      </c>
    </row>
    <row r="77" spans="1:14" x14ac:dyDescent="0.3">
      <c r="A77" s="2" t="s">
        <v>161</v>
      </c>
      <c r="C77">
        <v>0</v>
      </c>
      <c r="D77">
        <v>8.0018999999999991</v>
      </c>
      <c r="N77" t="str">
        <f>VLOOKUP(A77,'Originales sin dirección'!V:W,2,FALSE)</f>
        <v>Electronics, Electrical Equip.</v>
      </c>
    </row>
    <row r="78" spans="1:14" x14ac:dyDescent="0.3">
      <c r="A78" s="2" t="s">
        <v>284</v>
      </c>
      <c r="F78">
        <v>10.6</v>
      </c>
      <c r="G78">
        <v>9.8000000000000007</v>
      </c>
      <c r="H78">
        <v>14.8</v>
      </c>
      <c r="I78">
        <v>14.8</v>
      </c>
      <c r="J78">
        <v>14.8</v>
      </c>
      <c r="K78">
        <v>6.6</v>
      </c>
      <c r="L78">
        <v>8.6999999999999993</v>
      </c>
      <c r="M78">
        <v>7.2</v>
      </c>
      <c r="N78" t="str">
        <f>VLOOKUP(A78,'Originales sin dirección'!V:W,2,FALSE)</f>
        <v>Electronics, Electrical Equip.</v>
      </c>
    </row>
    <row r="79" spans="1:14" x14ac:dyDescent="0.3">
      <c r="A79" s="2" t="s">
        <v>288</v>
      </c>
      <c r="B79">
        <v>9.8000000000000007</v>
      </c>
      <c r="N79" t="str">
        <f>VLOOKUP(A79,'Originales sin dirección'!V:W,2,FALSE)</f>
        <v>Electronics, Electrical Equip.</v>
      </c>
    </row>
    <row r="80" spans="1:14" x14ac:dyDescent="0.3">
      <c r="A80" s="2" t="s">
        <v>306</v>
      </c>
      <c r="F80">
        <v>5.6</v>
      </c>
      <c r="N80" t="str">
        <f>VLOOKUP(A80,'Originales sin dirección'!V:W,2,FALSE)</f>
        <v>Electronics, Electrical Equip.</v>
      </c>
    </row>
    <row r="81" spans="1:14" x14ac:dyDescent="0.3">
      <c r="A81" s="2" t="s">
        <v>173</v>
      </c>
      <c r="C81">
        <v>0</v>
      </c>
      <c r="D81">
        <v>10.001899999999999</v>
      </c>
      <c r="N81" t="str">
        <f>VLOOKUP(A81,'Originales sin dirección'!V:W,2,FALSE)</f>
        <v>Electronics, Electrical Equip.</v>
      </c>
    </row>
    <row r="82" spans="1:14" x14ac:dyDescent="0.3">
      <c r="A82" s="2" t="s">
        <v>226</v>
      </c>
      <c r="C82">
        <v>0</v>
      </c>
      <c r="D82">
        <v>15.2019</v>
      </c>
      <c r="N82" t="str">
        <f>VLOOKUP(A82,'Originales sin dirección'!V:W,2,FALSE)</f>
        <v>Computers, Office Equipment</v>
      </c>
    </row>
    <row r="83" spans="1:14" x14ac:dyDescent="0.3">
      <c r="A83" s="2" t="s">
        <v>167</v>
      </c>
      <c r="C83">
        <v>0</v>
      </c>
      <c r="N83" t="str">
        <f>VLOOKUP(A83,'Originales sin dirección'!V:W,2,FALSE)</f>
        <v>Computers, Office Equipment</v>
      </c>
    </row>
    <row r="84" spans="1:14" x14ac:dyDescent="0.3">
      <c r="A84" s="2" t="s">
        <v>120</v>
      </c>
      <c r="C84">
        <v>-61</v>
      </c>
      <c r="N84" t="str">
        <f>VLOOKUP(A84,'Originales sin dirección'!V:W,2,FALSE)</f>
        <v>Telecommunications</v>
      </c>
    </row>
    <row r="85" spans="1:14" x14ac:dyDescent="0.3">
      <c r="A85" s="2" t="s">
        <v>254</v>
      </c>
      <c r="F85">
        <v>13.4</v>
      </c>
      <c r="G85">
        <v>14.5</v>
      </c>
      <c r="H85">
        <v>14.6</v>
      </c>
      <c r="I85">
        <v>14.6</v>
      </c>
      <c r="J85">
        <v>14.6</v>
      </c>
      <c r="K85">
        <v>16.100000000000001</v>
      </c>
      <c r="L85">
        <v>14.1</v>
      </c>
      <c r="M85">
        <v>5.6</v>
      </c>
      <c r="N85" t="str">
        <f>VLOOKUP(A85,'Originales sin dirección'!V:W,2,FALSE)</f>
        <v>Computer Software</v>
      </c>
    </row>
    <row r="86" spans="1:14" x14ac:dyDescent="0.3">
      <c r="A86" s="2" t="s">
        <v>258</v>
      </c>
      <c r="B86">
        <v>14.5</v>
      </c>
      <c r="N86" t="str">
        <f>VLOOKUP(A86,'Originales sin dirección'!V:W,2,FALSE)</f>
        <v>Computer Software</v>
      </c>
    </row>
    <row r="87" spans="1:14" x14ac:dyDescent="0.3">
      <c r="A87" s="2" t="s">
        <v>249</v>
      </c>
      <c r="F87">
        <v>6.9</v>
      </c>
      <c r="G87">
        <v>9</v>
      </c>
      <c r="H87">
        <v>11.6</v>
      </c>
      <c r="I87">
        <v>11.6</v>
      </c>
      <c r="J87">
        <v>11.6</v>
      </c>
      <c r="K87">
        <v>9.6</v>
      </c>
      <c r="L87">
        <v>13.6</v>
      </c>
      <c r="M87">
        <v>13.5</v>
      </c>
      <c r="N87" t="str">
        <f>VLOOKUP(A87,'Originales sin dirección'!V:W,2,FALSE)</f>
        <v>Electronics, Electrical Equip.</v>
      </c>
    </row>
    <row r="88" spans="1:14" x14ac:dyDescent="0.3">
      <c r="A88" s="2" t="s">
        <v>223</v>
      </c>
      <c r="B88">
        <v>9</v>
      </c>
      <c r="C88">
        <v>0</v>
      </c>
      <c r="D88">
        <v>10.601900000000001</v>
      </c>
      <c r="N88" t="str">
        <f>VLOOKUP(A88,'Originales sin dirección'!V:W,2,FALSE)</f>
        <v>Electronics, Electrical Equip.</v>
      </c>
    </row>
    <row r="89" spans="1:14" x14ac:dyDescent="0.3">
      <c r="A89" s="2" t="s">
        <v>127</v>
      </c>
      <c r="F89">
        <v>17</v>
      </c>
      <c r="G89">
        <v>40.9</v>
      </c>
      <c r="H89">
        <v>18.5</v>
      </c>
      <c r="I89">
        <v>18.5</v>
      </c>
      <c r="J89">
        <v>18.5</v>
      </c>
      <c r="K89">
        <v>51</v>
      </c>
      <c r="L89">
        <v>-18.5</v>
      </c>
      <c r="M89">
        <v>-10.5</v>
      </c>
      <c r="N89" t="str">
        <f>VLOOKUP(A89,'Originales sin dirección'!V:W,2,FALSE)</f>
        <v>Telecommunications</v>
      </c>
    </row>
    <row r="90" spans="1:14" x14ac:dyDescent="0.3">
      <c r="A90" s="2" t="s">
        <v>207</v>
      </c>
      <c r="B90">
        <v>40.9</v>
      </c>
      <c r="D90">
        <v>30.8019</v>
      </c>
      <c r="N90" t="str">
        <f>VLOOKUP(A90,'Originales sin dirección'!V:W,2,FALSE)</f>
        <v>Telecommunications</v>
      </c>
    </row>
    <row r="91" spans="1:14" x14ac:dyDescent="0.3">
      <c r="A91" s="2" t="s">
        <v>154</v>
      </c>
      <c r="C91">
        <v>0</v>
      </c>
      <c r="D91">
        <v>3.5019</v>
      </c>
      <c r="N91" t="str">
        <f>VLOOKUP(A91,'Originales sin dirección'!V:W,2,FALSE)</f>
        <v>Electronics, Electrical Equip.</v>
      </c>
    </row>
    <row r="92" spans="1:14" x14ac:dyDescent="0.3">
      <c r="A92" s="2" t="s">
        <v>241</v>
      </c>
      <c r="C92">
        <v>0</v>
      </c>
      <c r="D92">
        <v>14.8019</v>
      </c>
      <c r="N92" t="str">
        <f>VLOOKUP(A92,'Originales sin dirección'!V:W,2,FALSE)</f>
        <v>Electronics, Electrical Equip.</v>
      </c>
    </row>
    <row r="93" spans="1:14" x14ac:dyDescent="0.3">
      <c r="A93" s="2" t="s">
        <v>257</v>
      </c>
      <c r="F93">
        <v>21.7</v>
      </c>
      <c r="N93" t="str">
        <f>VLOOKUP(A93,'Originales sin dirección'!V:W,2,FALSE)</f>
        <v>Electronics, Electrical Equip.</v>
      </c>
    </row>
    <row r="94" spans="1:14" x14ac:dyDescent="0.3">
      <c r="A94" s="2" t="s">
        <v>214</v>
      </c>
      <c r="C94">
        <v>0</v>
      </c>
      <c r="D94">
        <v>6.3018999999999998</v>
      </c>
      <c r="N94" t="str">
        <f>VLOOKUP(A94,'Originales sin dirección'!V:W,2,FALSE)</f>
        <v>Electronics, Electrical Equip.</v>
      </c>
    </row>
    <row r="95" spans="1:14" x14ac:dyDescent="0.3">
      <c r="A95" s="2" t="s">
        <v>151</v>
      </c>
      <c r="F95">
        <v>5.6</v>
      </c>
      <c r="G95">
        <v>3</v>
      </c>
      <c r="H95">
        <v>24.4</v>
      </c>
      <c r="I95">
        <v>24.4</v>
      </c>
      <c r="J95">
        <v>24.4</v>
      </c>
      <c r="N95" t="str">
        <f>VLOOKUP(A95,'Originales sin dirección'!V:W,2,FALSE)</f>
        <v>Electronics, Electrical Equip.</v>
      </c>
    </row>
    <row r="96" spans="1:14" x14ac:dyDescent="0.3">
      <c r="A96" s="2" t="s">
        <v>177</v>
      </c>
      <c r="B96">
        <v>3</v>
      </c>
      <c r="C96">
        <v>0</v>
      </c>
      <c r="D96">
        <v>-5.8000999999999996</v>
      </c>
      <c r="N96" t="str">
        <f>VLOOKUP(A96,'Originales sin dirección'!V:W,2,FALSE)</f>
        <v>Electronics, Electrical Equip.</v>
      </c>
    </row>
    <row r="97" spans="1:14" x14ac:dyDescent="0.3">
      <c r="A97" s="2" t="s">
        <v>191</v>
      </c>
      <c r="K97">
        <v>21.9</v>
      </c>
      <c r="L97">
        <v>13.3</v>
      </c>
      <c r="M97">
        <v>12.7</v>
      </c>
      <c r="N97" t="str">
        <f>VLOOKUP(A97,'Originales sin dirección'!V:W,2,FALSE)</f>
        <v>Electronics, Electrical Equip.</v>
      </c>
    </row>
    <row r="98" spans="1:14" x14ac:dyDescent="0.3">
      <c r="A98" s="2" t="s">
        <v>304</v>
      </c>
      <c r="F98">
        <v>11.2</v>
      </c>
      <c r="G98">
        <v>12.5</v>
      </c>
      <c r="N98" t="str">
        <f>VLOOKUP(A98,'Originales sin dirección'!V:W,2,FALSE)</f>
        <v>Electronics, Electrical Equip.</v>
      </c>
    </row>
    <row r="99" spans="1:14" x14ac:dyDescent="0.3">
      <c r="A99" s="2" t="s">
        <v>247</v>
      </c>
      <c r="B99">
        <v>12.5</v>
      </c>
      <c r="C99">
        <v>0</v>
      </c>
      <c r="D99">
        <v>19.901900000000001</v>
      </c>
      <c r="N99" t="str">
        <f>VLOOKUP(A99,'Originales sin dirección'!V:W,2,FALSE)</f>
        <v>Electronics, Electrical Equip.</v>
      </c>
    </row>
    <row r="100" spans="1:14" x14ac:dyDescent="0.3">
      <c r="A100" s="2" t="s">
        <v>62</v>
      </c>
      <c r="F100">
        <v>10.9</v>
      </c>
      <c r="G100">
        <v>10.5</v>
      </c>
      <c r="H100">
        <v>10.5</v>
      </c>
      <c r="I100">
        <v>10.5</v>
      </c>
      <c r="J100">
        <v>10.5</v>
      </c>
      <c r="K100">
        <v>-3.2</v>
      </c>
      <c r="L100">
        <v>12.1</v>
      </c>
      <c r="M100">
        <v>-8.6999999999999993</v>
      </c>
      <c r="N100" t="str">
        <f>VLOOKUP(A100,'Originales sin dirección'!V:W,2,FALSE)</f>
        <v>Telecommunications</v>
      </c>
    </row>
    <row r="101" spans="1:14" x14ac:dyDescent="0.3">
      <c r="A101" s="2" t="s">
        <v>112</v>
      </c>
      <c r="B101">
        <v>10.5</v>
      </c>
      <c r="C101">
        <v>8</v>
      </c>
      <c r="D101">
        <v>20.101900000000001</v>
      </c>
      <c r="N101" t="str">
        <f>VLOOKUP(A101,'Originales sin dirección'!V:W,2,FALSE)</f>
        <v>Telecommunications</v>
      </c>
    </row>
    <row r="102" spans="1:14" x14ac:dyDescent="0.3">
      <c r="A102" s="2" t="s">
        <v>269</v>
      </c>
      <c r="G102">
        <v>24.6</v>
      </c>
      <c r="H102">
        <v>25.3</v>
      </c>
      <c r="I102">
        <v>25.3</v>
      </c>
      <c r="J102">
        <v>25.3</v>
      </c>
      <c r="K102">
        <v>21.5</v>
      </c>
      <c r="L102">
        <v>27.5</v>
      </c>
      <c r="M102">
        <v>26.8</v>
      </c>
      <c r="N102" t="str">
        <f>VLOOKUP(A102,'Originales sin dirección'!V:W,2,FALSE)</f>
        <v>Internet Services and Retailing</v>
      </c>
    </row>
    <row r="103" spans="1:14" x14ac:dyDescent="0.3">
      <c r="A103" s="2" t="s">
        <v>280</v>
      </c>
      <c r="B103">
        <v>24.6</v>
      </c>
      <c r="N103" t="str">
        <f>VLOOKUP(A103,'Originales sin dirección'!V:W,2,FALSE)</f>
        <v>Internet Services and Retailing</v>
      </c>
    </row>
    <row r="104" spans="1:14" x14ac:dyDescent="0.3">
      <c r="A104" s="2" t="s">
        <v>289</v>
      </c>
      <c r="F104">
        <v>15.7</v>
      </c>
      <c r="G104">
        <v>13.7</v>
      </c>
      <c r="H104">
        <v>19.2</v>
      </c>
      <c r="I104">
        <v>19.2</v>
      </c>
      <c r="J104">
        <v>19.2</v>
      </c>
      <c r="K104">
        <v>13.1</v>
      </c>
      <c r="L104">
        <v>38.1</v>
      </c>
      <c r="M104">
        <v>7.9</v>
      </c>
      <c r="N104" t="str">
        <f>VLOOKUP(A104,'Originales sin dirección'!V:W,2,FALSE)</f>
        <v>Telecommunications</v>
      </c>
    </row>
    <row r="105" spans="1:14" x14ac:dyDescent="0.3">
      <c r="A105" s="2" t="s">
        <v>238</v>
      </c>
      <c r="B105">
        <v>13.7</v>
      </c>
      <c r="C105">
        <v>0</v>
      </c>
      <c r="D105">
        <v>20.901900000000001</v>
      </c>
      <c r="N105" t="str">
        <f>VLOOKUP(A105,'Originales sin dirección'!V:W,2,FALSE)</f>
        <v>Telecommunications</v>
      </c>
    </row>
    <row r="106" spans="1:14" x14ac:dyDescent="0.3">
      <c r="A106" s="2" t="s">
        <v>145</v>
      </c>
      <c r="F106">
        <v>-0.4</v>
      </c>
      <c r="G106">
        <v>8.9</v>
      </c>
      <c r="N106" t="str">
        <f>VLOOKUP(A106,'Originales sin dirección'!V:W,2,FALSE)</f>
        <v>Telecommunications</v>
      </c>
    </row>
    <row r="107" spans="1:14" x14ac:dyDescent="0.3">
      <c r="A107" s="2" t="s">
        <v>156</v>
      </c>
      <c r="B107">
        <v>8.9</v>
      </c>
      <c r="C107">
        <v>0</v>
      </c>
      <c r="D107">
        <v>-3.8001</v>
      </c>
      <c r="N107" t="str">
        <f>VLOOKUP(A107,'Originales sin dirección'!V:W,2,FALSE)</f>
        <v>Telecommunications</v>
      </c>
    </row>
    <row r="108" spans="1:14" x14ac:dyDescent="0.3">
      <c r="A108" s="2" t="s">
        <v>305</v>
      </c>
      <c r="F108">
        <v>32.5</v>
      </c>
      <c r="N108" t="str">
        <f>VLOOKUP(A108,'Originales sin dirección'!V:W,2,FALSE)</f>
        <v>Telecommunications</v>
      </c>
    </row>
    <row r="109" spans="1:14" x14ac:dyDescent="0.3">
      <c r="A109" s="2" t="s">
        <v>217</v>
      </c>
      <c r="C109">
        <v>0</v>
      </c>
      <c r="D109">
        <v>33.901899999999998</v>
      </c>
      <c r="N109" t="str">
        <f>VLOOKUP(A109,'Originales sin dirección'!V:W,2,FALSE)</f>
        <v>Telecommunications</v>
      </c>
    </row>
    <row r="110" spans="1:14" x14ac:dyDescent="0.3">
      <c r="A110" s="2" t="s">
        <v>175</v>
      </c>
      <c r="C110">
        <v>0</v>
      </c>
      <c r="D110">
        <v>4.3018999999999998</v>
      </c>
      <c r="N110" t="str">
        <f>VLOOKUP(A110,'Originales sin dirección'!V:W,2,FALSE)</f>
        <v>Electronics, Electrical Equip.</v>
      </c>
    </row>
    <row r="111" spans="1:14" x14ac:dyDescent="0.3">
      <c r="A111" s="2" t="s">
        <v>133</v>
      </c>
      <c r="F111">
        <v>-130.9</v>
      </c>
      <c r="H111">
        <v>69.400000000000006</v>
      </c>
      <c r="I111">
        <v>69.400000000000006</v>
      </c>
      <c r="J111">
        <v>69.400000000000006</v>
      </c>
      <c r="K111">
        <v>10.199999999999999</v>
      </c>
      <c r="L111">
        <v>17.399999999999999</v>
      </c>
      <c r="N111" t="str">
        <f>VLOOKUP(A111,'Originales sin dirección'!V:W,2,FALSE)</f>
        <v>Electronics, Electrical Equip.</v>
      </c>
    </row>
    <row r="112" spans="1:14" x14ac:dyDescent="0.3">
      <c r="A112" s="2" t="s">
        <v>117</v>
      </c>
      <c r="M112">
        <v>-124.5</v>
      </c>
      <c r="N112" t="str">
        <f>VLOOKUP(A112,'Originales sin dirección'!V:W,2,FALSE)</f>
        <v>Internet Services and Retailing</v>
      </c>
    </row>
    <row r="113" spans="1:14" x14ac:dyDescent="0.3">
      <c r="A113" s="2" t="s">
        <v>229</v>
      </c>
      <c r="C113">
        <v>0</v>
      </c>
      <c r="D113">
        <v>10.901899999999999</v>
      </c>
      <c r="N113" t="str">
        <f>VLOOKUP(A113,'Originales sin dirección'!V:W,2,FALSE)</f>
        <v>Telecommunications</v>
      </c>
    </row>
    <row r="114" spans="1:14" x14ac:dyDescent="0.3">
      <c r="A114" s="2" t="s">
        <v>136</v>
      </c>
      <c r="F114">
        <v>-6.4</v>
      </c>
      <c r="G114">
        <v>-8.9</v>
      </c>
      <c r="H114">
        <v>-13.3</v>
      </c>
      <c r="I114">
        <v>-13.3</v>
      </c>
      <c r="J114">
        <v>-13.3</v>
      </c>
      <c r="K114">
        <v>0.2</v>
      </c>
      <c r="L114">
        <v>4</v>
      </c>
      <c r="M114">
        <v>17.899999999999999</v>
      </c>
      <c r="N114" t="str">
        <f>VLOOKUP(A114,'Originales sin dirección'!V:W,2,FALSE)</f>
        <v>Telecommunications</v>
      </c>
    </row>
    <row r="115" spans="1:14" x14ac:dyDescent="0.3">
      <c r="A115" s="2" t="s">
        <v>181</v>
      </c>
      <c r="B115">
        <v>-8.9</v>
      </c>
      <c r="C115">
        <v>0</v>
      </c>
      <c r="D115">
        <v>79.801900000000003</v>
      </c>
      <c r="N115" t="str">
        <f>VLOOKUP(A115,'Originales sin dirección'!V:W,2,FALSE)</f>
        <v>Telecommunications</v>
      </c>
    </row>
    <row r="116" spans="1:14" x14ac:dyDescent="0.3">
      <c r="A116" s="2" t="s">
        <v>74</v>
      </c>
      <c r="F116">
        <v>108.8</v>
      </c>
      <c r="G116">
        <v>58.3</v>
      </c>
      <c r="H116">
        <v>29.2</v>
      </c>
      <c r="I116">
        <v>29.2</v>
      </c>
      <c r="J116">
        <v>29.2</v>
      </c>
      <c r="K116">
        <v>26.2</v>
      </c>
      <c r="L116">
        <v>27</v>
      </c>
      <c r="M116">
        <v>23.3</v>
      </c>
      <c r="N116" t="str">
        <f>VLOOKUP(A116,'Originales sin dirección'!V:W,2,FALSE)</f>
        <v>Telecommunications</v>
      </c>
    </row>
    <row r="117" spans="1:14" x14ac:dyDescent="0.3">
      <c r="A117" s="2" t="s">
        <v>76</v>
      </c>
      <c r="B117">
        <v>58.3</v>
      </c>
      <c r="C117">
        <v>3</v>
      </c>
      <c r="D117">
        <v>29.601900000000001</v>
      </c>
      <c r="N117" t="str">
        <f>VLOOKUP(A117,'Originales sin dirección'!V:W,2,FALSE)</f>
        <v>Telecommunications</v>
      </c>
    </row>
    <row r="118" spans="1:14" x14ac:dyDescent="0.3">
      <c r="A118" s="2" t="s">
        <v>276</v>
      </c>
      <c r="K118">
        <v>15.6</v>
      </c>
      <c r="N118" t="str">
        <f>VLOOKUP(A118,'Originales sin dirección'!V:W,2,FALSE)</f>
        <v>Internet Services and Retailing</v>
      </c>
    </row>
    <row r="119" spans="1:14" x14ac:dyDescent="0.3">
      <c r="A119" s="2" t="s">
        <v>139</v>
      </c>
      <c r="H119">
        <v>19.7</v>
      </c>
      <c r="I119">
        <v>19.7</v>
      </c>
      <c r="J119">
        <v>19.7</v>
      </c>
      <c r="L119">
        <v>13.9</v>
      </c>
      <c r="M119">
        <v>1.8</v>
      </c>
      <c r="N119" t="str">
        <f>VLOOKUP(A119,'Originales sin dirección'!V:W,2,FALSE)</f>
        <v>Internet Services and Retailing</v>
      </c>
    </row>
    <row r="120" spans="1:14" x14ac:dyDescent="0.3">
      <c r="A120" t="s">
        <v>278</v>
      </c>
      <c r="G120">
        <v>21.9</v>
      </c>
      <c r="N120" t="s">
        <v>347</v>
      </c>
    </row>
    <row r="121" spans="1:14" x14ac:dyDescent="0.3">
      <c r="A121" t="s">
        <v>282</v>
      </c>
      <c r="B121">
        <v>21.9</v>
      </c>
      <c r="N121" t="s">
        <v>347</v>
      </c>
    </row>
    <row r="122" spans="1:14" x14ac:dyDescent="0.3">
      <c r="A122" t="s">
        <v>645</v>
      </c>
      <c r="D122">
        <v>10.7019</v>
      </c>
      <c r="N122" t="s">
        <v>347</v>
      </c>
    </row>
    <row r="123" spans="1:14" x14ac:dyDescent="0.3">
      <c r="A123" t="s">
        <v>622</v>
      </c>
      <c r="F123">
        <v>9.3000000000000007</v>
      </c>
      <c r="G123">
        <v>10.5</v>
      </c>
      <c r="H123">
        <v>8.1999999999999993</v>
      </c>
      <c r="I123">
        <v>8.1999999999999993</v>
      </c>
      <c r="J123">
        <v>8.1999999999999993</v>
      </c>
      <c r="K123">
        <v>7.2</v>
      </c>
      <c r="L123">
        <v>8.6999999999999993</v>
      </c>
      <c r="M123">
        <v>2.1</v>
      </c>
      <c r="N123" t="s">
        <v>347</v>
      </c>
    </row>
    <row r="124" spans="1:14" x14ac:dyDescent="0.3">
      <c r="A124" t="s">
        <v>652</v>
      </c>
      <c r="B124">
        <v>10.5</v>
      </c>
      <c r="N124" t="s">
        <v>347</v>
      </c>
    </row>
    <row r="125" spans="1:14" x14ac:dyDescent="0.3">
      <c r="A125" t="s">
        <v>604</v>
      </c>
      <c r="F125">
        <v>15.3</v>
      </c>
      <c r="N125" t="s">
        <v>347</v>
      </c>
    </row>
    <row r="126" spans="1:14" x14ac:dyDescent="0.3">
      <c r="A126" t="s">
        <v>559</v>
      </c>
      <c r="C126">
        <v>0</v>
      </c>
      <c r="D126">
        <v>14.401899999999999</v>
      </c>
      <c r="N126" t="s">
        <v>347</v>
      </c>
    </row>
    <row r="127" spans="1:14" x14ac:dyDescent="0.3">
      <c r="A127" t="s">
        <v>594</v>
      </c>
      <c r="G127">
        <v>15.3</v>
      </c>
      <c r="H127">
        <v>12.8</v>
      </c>
      <c r="I127">
        <v>12.8</v>
      </c>
      <c r="J127">
        <v>12.8</v>
      </c>
      <c r="K127">
        <v>5.8</v>
      </c>
      <c r="L127">
        <v>17.3</v>
      </c>
      <c r="M127">
        <v>20.3</v>
      </c>
      <c r="N127" t="s">
        <v>347</v>
      </c>
    </row>
    <row r="128" spans="1:14" x14ac:dyDescent="0.3">
      <c r="A128" t="s">
        <v>609</v>
      </c>
      <c r="B128">
        <v>15.3</v>
      </c>
      <c r="N128" t="s">
        <v>347</v>
      </c>
    </row>
    <row r="129" spans="1:14" x14ac:dyDescent="0.3">
      <c r="A129" t="s">
        <v>441</v>
      </c>
      <c r="F129">
        <v>12.8</v>
      </c>
      <c r="G129">
        <v>12</v>
      </c>
      <c r="H129">
        <v>11.2</v>
      </c>
      <c r="I129">
        <v>11.2</v>
      </c>
      <c r="J129">
        <v>11.2</v>
      </c>
      <c r="K129">
        <v>-1</v>
      </c>
      <c r="L129">
        <v>15.7</v>
      </c>
      <c r="M129">
        <v>10.199999999999999</v>
      </c>
      <c r="N129" t="s">
        <v>347</v>
      </c>
    </row>
    <row r="130" spans="1:14" x14ac:dyDescent="0.3">
      <c r="A130" t="s">
        <v>491</v>
      </c>
      <c r="B130">
        <v>12</v>
      </c>
      <c r="C130">
        <v>0</v>
      </c>
      <c r="D130">
        <v>12.2019</v>
      </c>
      <c r="N130" t="s">
        <v>347</v>
      </c>
    </row>
    <row r="131" spans="1:14" x14ac:dyDescent="0.3">
      <c r="A131" t="s">
        <v>614</v>
      </c>
      <c r="L131">
        <v>3.2</v>
      </c>
      <c r="M131">
        <v>15.4</v>
      </c>
      <c r="N131" t="s">
        <v>347</v>
      </c>
    </row>
    <row r="132" spans="1:14" x14ac:dyDescent="0.3">
      <c r="A132" t="s">
        <v>419</v>
      </c>
      <c r="F132">
        <v>21.8</v>
      </c>
      <c r="G132">
        <v>20.6</v>
      </c>
      <c r="H132">
        <v>16.8</v>
      </c>
      <c r="I132">
        <v>16.8</v>
      </c>
      <c r="J132">
        <v>16.8</v>
      </c>
      <c r="K132">
        <v>-7.3</v>
      </c>
      <c r="L132">
        <v>12.4</v>
      </c>
      <c r="M132">
        <v>0.5</v>
      </c>
      <c r="N132" t="s">
        <v>347</v>
      </c>
    </row>
    <row r="133" spans="1:14" x14ac:dyDescent="0.3">
      <c r="A133" t="s">
        <v>524</v>
      </c>
      <c r="B133">
        <v>20.6</v>
      </c>
      <c r="C133">
        <v>0</v>
      </c>
      <c r="D133">
        <v>20.601900000000001</v>
      </c>
      <c r="N133" t="s">
        <v>347</v>
      </c>
    </row>
    <row r="134" spans="1:14" x14ac:dyDescent="0.3">
      <c r="A134" t="s">
        <v>567</v>
      </c>
      <c r="C134">
        <v>0</v>
      </c>
      <c r="N134" t="s">
        <v>347</v>
      </c>
    </row>
    <row r="135" spans="1:14" x14ac:dyDescent="0.3">
      <c r="A135" t="s">
        <v>603</v>
      </c>
      <c r="F135">
        <v>16.100000000000001</v>
      </c>
      <c r="G135">
        <v>15.4</v>
      </c>
      <c r="N135" t="s">
        <v>347</v>
      </c>
    </row>
    <row r="136" spans="1:14" x14ac:dyDescent="0.3">
      <c r="A136" t="s">
        <v>607</v>
      </c>
      <c r="B136">
        <v>15.4</v>
      </c>
      <c r="D136">
        <v>15.401899999999999</v>
      </c>
      <c r="N136" t="s">
        <v>347</v>
      </c>
    </row>
    <row r="137" spans="1:14" x14ac:dyDescent="0.3">
      <c r="A137" t="s">
        <v>601</v>
      </c>
      <c r="H137">
        <v>11.6</v>
      </c>
      <c r="I137">
        <v>11.6</v>
      </c>
      <c r="J137">
        <v>11.6</v>
      </c>
      <c r="K137">
        <v>5.6</v>
      </c>
      <c r="L137">
        <v>33.200000000000003</v>
      </c>
      <c r="N137" t="s">
        <v>347</v>
      </c>
    </row>
    <row r="138" spans="1:14" x14ac:dyDescent="0.3">
      <c r="A138" t="s">
        <v>627</v>
      </c>
      <c r="F138">
        <v>7.3</v>
      </c>
      <c r="G138">
        <v>8</v>
      </c>
      <c r="H138">
        <v>7.1</v>
      </c>
      <c r="I138">
        <v>7.1</v>
      </c>
      <c r="J138">
        <v>7.1</v>
      </c>
      <c r="K138">
        <v>3.4</v>
      </c>
      <c r="L138">
        <v>6.6</v>
      </c>
      <c r="M138">
        <v>7</v>
      </c>
      <c r="N138" t="s">
        <v>347</v>
      </c>
    </row>
    <row r="139" spans="1:14" x14ac:dyDescent="0.3">
      <c r="A139" t="s">
        <v>531</v>
      </c>
      <c r="B139">
        <v>8</v>
      </c>
      <c r="C139">
        <v>0</v>
      </c>
      <c r="D139">
        <v>12.2019</v>
      </c>
      <c r="N139" t="s">
        <v>347</v>
      </c>
    </row>
    <row r="140" spans="1:14" x14ac:dyDescent="0.3">
      <c r="A140" t="s">
        <v>399</v>
      </c>
      <c r="M140">
        <v>13.1</v>
      </c>
      <c r="N140" t="s">
        <v>347</v>
      </c>
    </row>
    <row r="141" spans="1:14" x14ac:dyDescent="0.3">
      <c r="A141" t="s">
        <v>684</v>
      </c>
      <c r="D141">
        <v>28.901900000000001</v>
      </c>
      <c r="N141" t="s">
        <v>347</v>
      </c>
    </row>
    <row r="142" spans="1:14" x14ac:dyDescent="0.3">
      <c r="A142" t="s">
        <v>368</v>
      </c>
      <c r="F142">
        <v>25.7</v>
      </c>
      <c r="G142">
        <v>15.8</v>
      </c>
      <c r="H142">
        <v>10.199999999999999</v>
      </c>
      <c r="I142">
        <v>10.199999999999999</v>
      </c>
      <c r="J142">
        <v>10.199999999999999</v>
      </c>
      <c r="K142">
        <v>-4.2</v>
      </c>
      <c r="L142">
        <v>37</v>
      </c>
      <c r="M142">
        <v>-4.5999999999999996</v>
      </c>
      <c r="N142" t="s">
        <v>347</v>
      </c>
    </row>
    <row r="143" spans="1:14" x14ac:dyDescent="0.3">
      <c r="A143" t="s">
        <v>374</v>
      </c>
      <c r="B143">
        <v>15.8</v>
      </c>
      <c r="C143">
        <v>36</v>
      </c>
      <c r="D143">
        <v>27.101900000000001</v>
      </c>
      <c r="N143" t="s">
        <v>347</v>
      </c>
    </row>
    <row r="144" spans="1:14" x14ac:dyDescent="0.3">
      <c r="A144" t="s">
        <v>479</v>
      </c>
      <c r="F144">
        <v>30</v>
      </c>
      <c r="G144">
        <v>19.600000000000001</v>
      </c>
      <c r="H144">
        <v>9.1</v>
      </c>
      <c r="I144">
        <v>9.1</v>
      </c>
      <c r="J144">
        <v>9.1</v>
      </c>
      <c r="K144">
        <v>4.5</v>
      </c>
      <c r="N144" t="s">
        <v>347</v>
      </c>
    </row>
    <row r="145" spans="1:14" x14ac:dyDescent="0.3">
      <c r="A145" t="s">
        <v>489</v>
      </c>
      <c r="B145">
        <v>19.600000000000001</v>
      </c>
      <c r="D145">
        <v>26.701899999999998</v>
      </c>
      <c r="N145" t="s">
        <v>347</v>
      </c>
    </row>
    <row r="146" spans="1:14" x14ac:dyDescent="0.3">
      <c r="A146" t="s">
        <v>350</v>
      </c>
      <c r="F146">
        <v>24.3</v>
      </c>
      <c r="G146">
        <v>21.5</v>
      </c>
      <c r="H146">
        <v>20.6</v>
      </c>
      <c r="I146">
        <v>20.6</v>
      </c>
      <c r="J146">
        <v>20.6</v>
      </c>
      <c r="K146">
        <v>14.3</v>
      </c>
      <c r="L146">
        <v>16.8</v>
      </c>
      <c r="M146">
        <v>14.7</v>
      </c>
      <c r="N146" t="s">
        <v>347</v>
      </c>
    </row>
    <row r="147" spans="1:14" x14ac:dyDescent="0.3">
      <c r="A147" t="s">
        <v>355</v>
      </c>
      <c r="B147">
        <v>21.5</v>
      </c>
      <c r="C147">
        <v>17</v>
      </c>
      <c r="D147">
        <v>12.501899999999999</v>
      </c>
      <c r="N147" t="s">
        <v>347</v>
      </c>
    </row>
    <row r="148" spans="1:14" x14ac:dyDescent="0.3">
      <c r="A148" t="s">
        <v>473</v>
      </c>
      <c r="F148">
        <v>4.8</v>
      </c>
      <c r="G148">
        <v>8.6999999999999993</v>
      </c>
      <c r="H148">
        <v>7.4</v>
      </c>
      <c r="I148">
        <v>7.4</v>
      </c>
      <c r="J148">
        <v>7.4</v>
      </c>
      <c r="K148">
        <v>7.6</v>
      </c>
      <c r="L148">
        <v>7.3</v>
      </c>
      <c r="M148">
        <v>5.7</v>
      </c>
      <c r="N148" t="s">
        <v>347</v>
      </c>
    </row>
    <row r="149" spans="1:14" x14ac:dyDescent="0.3">
      <c r="A149" t="s">
        <v>493</v>
      </c>
      <c r="B149">
        <v>8.6999999999999993</v>
      </c>
      <c r="C149">
        <v>0</v>
      </c>
      <c r="D149">
        <v>10.001899999999999</v>
      </c>
      <c r="N149" t="s">
        <v>347</v>
      </c>
    </row>
    <row r="150" spans="1:14" x14ac:dyDescent="0.3">
      <c r="A150" t="s">
        <v>660</v>
      </c>
      <c r="F150">
        <v>10.7</v>
      </c>
      <c r="G150">
        <v>8.4</v>
      </c>
      <c r="H150">
        <v>2.2999999999999998</v>
      </c>
      <c r="I150">
        <v>2.2999999999999998</v>
      </c>
      <c r="J150">
        <v>2.2999999999999998</v>
      </c>
      <c r="K150">
        <v>1.9</v>
      </c>
      <c r="L150">
        <v>6.8</v>
      </c>
      <c r="M150">
        <v>8.6999999999999993</v>
      </c>
      <c r="N150" t="s">
        <v>347</v>
      </c>
    </row>
    <row r="151" spans="1:14" x14ac:dyDescent="0.3">
      <c r="A151" t="s">
        <v>552</v>
      </c>
      <c r="B151">
        <v>8.4</v>
      </c>
      <c r="C151">
        <v>0</v>
      </c>
      <c r="D151">
        <v>15.901899999999999</v>
      </c>
      <c r="N151" t="s">
        <v>347</v>
      </c>
    </row>
    <row r="152" spans="1:14" x14ac:dyDescent="0.3">
      <c r="A152" t="s">
        <v>382</v>
      </c>
      <c r="F152">
        <v>15.1</v>
      </c>
      <c r="N152" t="s">
        <v>347</v>
      </c>
    </row>
    <row r="153" spans="1:14" x14ac:dyDescent="0.3">
      <c r="A153" t="s">
        <v>388</v>
      </c>
      <c r="C153">
        <v>11</v>
      </c>
      <c r="D153">
        <v>9.6019000000000005</v>
      </c>
      <c r="N153" t="s">
        <v>347</v>
      </c>
    </row>
    <row r="154" spans="1:14" x14ac:dyDescent="0.3">
      <c r="A154" t="s">
        <v>426</v>
      </c>
      <c r="G154">
        <v>11.5</v>
      </c>
      <c r="H154">
        <v>6.6</v>
      </c>
      <c r="I154">
        <v>6.6</v>
      </c>
      <c r="J154">
        <v>6.6</v>
      </c>
      <c r="K154">
        <v>-1.3</v>
      </c>
      <c r="L154">
        <v>6.3</v>
      </c>
      <c r="M154">
        <v>1.2</v>
      </c>
      <c r="N154" t="s">
        <v>347</v>
      </c>
    </row>
    <row r="155" spans="1:14" x14ac:dyDescent="0.3">
      <c r="A155" t="s">
        <v>617</v>
      </c>
      <c r="B155">
        <v>11.5</v>
      </c>
      <c r="N155" t="s">
        <v>347</v>
      </c>
    </row>
    <row r="156" spans="1:14" x14ac:dyDescent="0.3">
      <c r="A156" t="s">
        <v>597</v>
      </c>
      <c r="M156">
        <v>16.7</v>
      </c>
      <c r="N156" t="s">
        <v>347</v>
      </c>
    </row>
    <row r="157" spans="1:14" x14ac:dyDescent="0.3">
      <c r="A157" t="s">
        <v>655</v>
      </c>
      <c r="F157">
        <v>22.5</v>
      </c>
      <c r="G157">
        <v>20.8</v>
      </c>
      <c r="H157">
        <v>21.5</v>
      </c>
      <c r="I157">
        <v>21.5</v>
      </c>
      <c r="J157">
        <v>21.5</v>
      </c>
      <c r="K157">
        <v>6.7</v>
      </c>
      <c r="L157">
        <v>12.8</v>
      </c>
      <c r="M157">
        <v>5.4</v>
      </c>
      <c r="N157" t="s">
        <v>347</v>
      </c>
    </row>
    <row r="158" spans="1:14" x14ac:dyDescent="0.3">
      <c r="A158" t="s">
        <v>511</v>
      </c>
      <c r="B158">
        <v>20.8</v>
      </c>
      <c r="C158">
        <v>0</v>
      </c>
      <c r="D158">
        <v>16.201899999999998</v>
      </c>
      <c r="N158" t="s">
        <v>347</v>
      </c>
    </row>
    <row r="159" spans="1:14" x14ac:dyDescent="0.3">
      <c r="A159" t="s">
        <v>503</v>
      </c>
      <c r="C159">
        <v>0</v>
      </c>
      <c r="N159" t="s">
        <v>347</v>
      </c>
    </row>
    <row r="160" spans="1:14" x14ac:dyDescent="0.3">
      <c r="A160" t="s">
        <v>581</v>
      </c>
      <c r="F160">
        <v>12.6</v>
      </c>
      <c r="G160">
        <v>16.600000000000001</v>
      </c>
      <c r="H160">
        <v>14.3</v>
      </c>
      <c r="I160">
        <v>14.3</v>
      </c>
      <c r="J160">
        <v>14.3</v>
      </c>
      <c r="N160" t="s">
        <v>347</v>
      </c>
    </row>
    <row r="161" spans="1:14" x14ac:dyDescent="0.3">
      <c r="A161" t="s">
        <v>589</v>
      </c>
      <c r="B161">
        <v>16.600000000000001</v>
      </c>
      <c r="D161">
        <v>11.7019</v>
      </c>
      <c r="N161" t="s">
        <v>347</v>
      </c>
    </row>
    <row r="162" spans="1:14" x14ac:dyDescent="0.3">
      <c r="A162" t="s">
        <v>639</v>
      </c>
      <c r="F162">
        <v>14.5</v>
      </c>
      <c r="G162">
        <v>10.199999999999999</v>
      </c>
      <c r="H162">
        <v>5.6</v>
      </c>
      <c r="I162">
        <v>5.6</v>
      </c>
      <c r="J162">
        <v>5.6</v>
      </c>
      <c r="K162">
        <v>-3.1</v>
      </c>
      <c r="N162" t="s">
        <v>347</v>
      </c>
    </row>
    <row r="163" spans="1:14" x14ac:dyDescent="0.3">
      <c r="A163" t="s">
        <v>465</v>
      </c>
      <c r="B163">
        <v>10.199999999999999</v>
      </c>
      <c r="C163">
        <v>0</v>
      </c>
      <c r="D163">
        <v>23.701899999999998</v>
      </c>
      <c r="N163" t="s">
        <v>347</v>
      </c>
    </row>
    <row r="164" spans="1:14" x14ac:dyDescent="0.3">
      <c r="A164" t="s">
        <v>434</v>
      </c>
      <c r="F164">
        <v>9.1</v>
      </c>
      <c r="G164">
        <v>12.1</v>
      </c>
      <c r="H164">
        <v>5.0999999999999996</v>
      </c>
      <c r="I164">
        <v>5.0999999999999996</v>
      </c>
      <c r="J164">
        <v>5.0999999999999996</v>
      </c>
      <c r="K164">
        <v>-9.5</v>
      </c>
      <c r="L164">
        <v>4.5</v>
      </c>
      <c r="M164">
        <v>4.0999999999999996</v>
      </c>
      <c r="N164" t="s">
        <v>347</v>
      </c>
    </row>
    <row r="165" spans="1:14" x14ac:dyDescent="0.3">
      <c r="A165" t="s">
        <v>562</v>
      </c>
      <c r="B165">
        <v>12.1</v>
      </c>
      <c r="C165">
        <v>0</v>
      </c>
      <c r="D165">
        <v>8.4018999999999995</v>
      </c>
      <c r="N165" t="s">
        <v>347</v>
      </c>
    </row>
    <row r="166" spans="1:14" x14ac:dyDescent="0.3">
      <c r="A166" t="s">
        <v>545</v>
      </c>
      <c r="C166">
        <v>0</v>
      </c>
      <c r="N166" t="s">
        <v>347</v>
      </c>
    </row>
    <row r="167" spans="1:14" x14ac:dyDescent="0.3">
      <c r="A167" t="s">
        <v>456</v>
      </c>
      <c r="F167">
        <v>8.6999999999999993</v>
      </c>
      <c r="G167">
        <v>14.3</v>
      </c>
      <c r="H167">
        <v>17.100000000000001</v>
      </c>
      <c r="I167">
        <v>17.100000000000001</v>
      </c>
      <c r="J167">
        <v>17.100000000000001</v>
      </c>
      <c r="N167" t="s">
        <v>347</v>
      </c>
    </row>
    <row r="168" spans="1:14" x14ac:dyDescent="0.3">
      <c r="A168" t="s">
        <v>459</v>
      </c>
      <c r="B168">
        <v>14.3</v>
      </c>
      <c r="D168">
        <v>-32.400100000000002</v>
      </c>
      <c r="N168" t="s">
        <v>347</v>
      </c>
    </row>
    <row r="169" spans="1:14" x14ac:dyDescent="0.3">
      <c r="A169" t="s">
        <v>413</v>
      </c>
      <c r="F169">
        <v>10.3</v>
      </c>
      <c r="G169">
        <v>11.7</v>
      </c>
      <c r="H169">
        <v>9.6</v>
      </c>
      <c r="I169">
        <v>9.6</v>
      </c>
      <c r="J169">
        <v>9.6</v>
      </c>
      <c r="K169">
        <v>-30.1</v>
      </c>
      <c r="L169">
        <v>3.4</v>
      </c>
      <c r="M169">
        <v>-1.2</v>
      </c>
      <c r="N169" t="s">
        <v>347</v>
      </c>
    </row>
    <row r="170" spans="1:14" x14ac:dyDescent="0.3">
      <c r="A170" t="s">
        <v>590</v>
      </c>
      <c r="B170">
        <v>11.7</v>
      </c>
      <c r="N170" t="s">
        <v>347</v>
      </c>
    </row>
    <row r="171" spans="1:14" x14ac:dyDescent="0.3">
      <c r="A171" t="s">
        <v>542</v>
      </c>
      <c r="C171">
        <v>0</v>
      </c>
      <c r="D171">
        <v>2.5019</v>
      </c>
      <c r="N171" t="s">
        <v>347</v>
      </c>
    </row>
    <row r="172" spans="1:14" x14ac:dyDescent="0.3">
      <c r="A172" t="s">
        <v>636</v>
      </c>
      <c r="F172">
        <v>6.8</v>
      </c>
      <c r="G172">
        <v>8.4</v>
      </c>
      <c r="H172">
        <v>8</v>
      </c>
      <c r="I172">
        <v>8</v>
      </c>
      <c r="J172">
        <v>8</v>
      </c>
      <c r="K172">
        <v>3.8</v>
      </c>
      <c r="L172">
        <v>6.5</v>
      </c>
      <c r="N172" t="s">
        <v>347</v>
      </c>
    </row>
    <row r="173" spans="1:14" x14ac:dyDescent="0.3">
      <c r="A173" t="s">
        <v>214</v>
      </c>
      <c r="B173">
        <v>8.4</v>
      </c>
      <c r="N173" t="s">
        <v>347</v>
      </c>
    </row>
    <row r="174" spans="1:14" x14ac:dyDescent="0.3">
      <c r="A174" t="s">
        <v>666</v>
      </c>
      <c r="L174">
        <v>26.4</v>
      </c>
      <c r="M174">
        <v>23</v>
      </c>
      <c r="N174" t="s">
        <v>347</v>
      </c>
    </row>
    <row r="175" spans="1:14" x14ac:dyDescent="0.3">
      <c r="A175" t="s">
        <v>518</v>
      </c>
      <c r="C175">
        <v>0</v>
      </c>
      <c r="N175" t="s">
        <v>347</v>
      </c>
    </row>
    <row r="176" spans="1:14" x14ac:dyDescent="0.3">
      <c r="A176" t="s">
        <v>625</v>
      </c>
      <c r="F176">
        <v>10.9</v>
      </c>
      <c r="G176">
        <v>14.3</v>
      </c>
      <c r="H176">
        <v>12</v>
      </c>
      <c r="I176">
        <v>12</v>
      </c>
      <c r="J176">
        <v>12</v>
      </c>
      <c r="K176">
        <v>8.6</v>
      </c>
      <c r="L176">
        <v>9.1</v>
      </c>
      <c r="M176">
        <v>10.5</v>
      </c>
      <c r="N176" t="s">
        <v>347</v>
      </c>
    </row>
    <row r="177" spans="1:14" x14ac:dyDescent="0.3">
      <c r="A177" t="s">
        <v>647</v>
      </c>
      <c r="B177">
        <v>14.3</v>
      </c>
      <c r="D177">
        <v>8.6019000000000005</v>
      </c>
      <c r="N177" t="s">
        <v>347</v>
      </c>
    </row>
    <row r="178" spans="1:14" x14ac:dyDescent="0.3">
      <c r="A178" t="s">
        <v>630</v>
      </c>
      <c r="F178">
        <v>12.9</v>
      </c>
      <c r="G178">
        <v>10.7</v>
      </c>
      <c r="H178">
        <v>9.6999999999999993</v>
      </c>
      <c r="I178">
        <v>9.6999999999999993</v>
      </c>
      <c r="J178">
        <v>9.6999999999999993</v>
      </c>
      <c r="K178">
        <v>10</v>
      </c>
      <c r="L178">
        <v>11.7</v>
      </c>
      <c r="M178">
        <v>8.5</v>
      </c>
      <c r="N178" t="s">
        <v>347</v>
      </c>
    </row>
    <row r="179" spans="1:14" x14ac:dyDescent="0.3">
      <c r="A179" t="s">
        <v>577</v>
      </c>
      <c r="B179">
        <v>10.7</v>
      </c>
      <c r="C179">
        <v>0</v>
      </c>
      <c r="D179">
        <v>13.001899999999999</v>
      </c>
      <c r="N179" t="s">
        <v>347</v>
      </c>
    </row>
    <row r="180" spans="1:14" x14ac:dyDescent="0.3">
      <c r="A180" t="s">
        <v>362</v>
      </c>
      <c r="K180">
        <v>3.2</v>
      </c>
      <c r="L180">
        <v>18.3</v>
      </c>
      <c r="M180">
        <v>28.1</v>
      </c>
      <c r="N180" t="s">
        <v>347</v>
      </c>
    </row>
    <row r="181" spans="1:14" x14ac:dyDescent="0.3">
      <c r="A181" t="s">
        <v>406</v>
      </c>
      <c r="F181">
        <v>13.8</v>
      </c>
      <c r="G181">
        <v>12.4</v>
      </c>
      <c r="H181">
        <v>-47.4</v>
      </c>
      <c r="I181">
        <v>-47.4</v>
      </c>
      <c r="J181">
        <v>-47.4</v>
      </c>
      <c r="K181">
        <v>-24</v>
      </c>
      <c r="L181">
        <v>-26.2</v>
      </c>
      <c r="N181" t="s">
        <v>347</v>
      </c>
    </row>
    <row r="182" spans="1:14" x14ac:dyDescent="0.3">
      <c r="A182" t="s">
        <v>521</v>
      </c>
      <c r="B182">
        <v>12.4</v>
      </c>
      <c r="C182">
        <v>0</v>
      </c>
      <c r="D182">
        <v>21.101900000000001</v>
      </c>
      <c r="N182" t="s">
        <v>347</v>
      </c>
    </row>
    <row r="183" spans="1:14" x14ac:dyDescent="0.3">
      <c r="A183" t="s">
        <v>450</v>
      </c>
      <c r="F183">
        <v>-1.6</v>
      </c>
      <c r="G183">
        <v>6.1</v>
      </c>
      <c r="N183" t="s">
        <v>347</v>
      </c>
    </row>
    <row r="184" spans="1:14" x14ac:dyDescent="0.3">
      <c r="A184" t="s">
        <v>468</v>
      </c>
      <c r="B184">
        <v>6.1</v>
      </c>
      <c r="C184">
        <v>0</v>
      </c>
      <c r="D184">
        <v>10.001899999999999</v>
      </c>
      <c r="N184" t="s">
        <v>347</v>
      </c>
    </row>
    <row r="185" spans="1:14" x14ac:dyDescent="0.3">
      <c r="A185" t="s">
        <v>658</v>
      </c>
      <c r="F185">
        <v>18</v>
      </c>
      <c r="G185">
        <v>14.5</v>
      </c>
      <c r="H185">
        <v>20.6</v>
      </c>
      <c r="I185">
        <v>20.6</v>
      </c>
      <c r="J185">
        <v>20.6</v>
      </c>
      <c r="K185">
        <v>11.8</v>
      </c>
      <c r="L185">
        <v>24.5</v>
      </c>
      <c r="M185">
        <v>20.7</v>
      </c>
      <c r="N185" t="s">
        <v>347</v>
      </c>
    </row>
    <row r="186" spans="1:14" x14ac:dyDescent="0.3">
      <c r="A186" t="s">
        <v>688</v>
      </c>
      <c r="B186">
        <v>14.5</v>
      </c>
      <c r="N186" t="s">
        <v>347</v>
      </c>
    </row>
    <row r="187" spans="1:14" x14ac:dyDescent="0.3">
      <c r="A187" t="s">
        <v>539</v>
      </c>
      <c r="C187">
        <v>0</v>
      </c>
      <c r="D187">
        <v>4.6018999999999997</v>
      </c>
      <c r="N187" t="s">
        <v>347</v>
      </c>
    </row>
    <row r="188" spans="1:14" x14ac:dyDescent="0.3">
      <c r="A188" t="s">
        <v>599</v>
      </c>
      <c r="H188">
        <v>10.7</v>
      </c>
      <c r="I188">
        <v>10.7</v>
      </c>
      <c r="J188">
        <v>10.7</v>
      </c>
      <c r="K188">
        <v>6.5</v>
      </c>
      <c r="L188">
        <v>11.1</v>
      </c>
      <c r="M188">
        <v>8.6</v>
      </c>
      <c r="N188" t="s">
        <v>347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9A13A-3EC8-4E58-8C81-EAF6866E068E}">
  <dimension ref="A1:N188"/>
  <sheetViews>
    <sheetView topLeftCell="A108" workbookViewId="0">
      <selection activeCell="N120" sqref="N120:N188"/>
    </sheetView>
  </sheetViews>
  <sheetFormatPr baseColWidth="10" defaultRowHeight="14.4" x14ac:dyDescent="0.3"/>
  <sheetData>
    <row r="1" spans="1:14" x14ac:dyDescent="0.3">
      <c r="A1" s="3"/>
      <c r="B1" s="3">
        <v>2011</v>
      </c>
      <c r="C1" s="3">
        <v>2012</v>
      </c>
      <c r="D1" s="3">
        <v>2013</v>
      </c>
      <c r="E1" s="3">
        <v>2014</v>
      </c>
      <c r="F1" s="3">
        <v>2015</v>
      </c>
      <c r="G1" s="3">
        <v>2016</v>
      </c>
      <c r="H1" s="3">
        <v>2017</v>
      </c>
      <c r="I1" s="3">
        <v>2018</v>
      </c>
      <c r="J1" s="3">
        <v>2019</v>
      </c>
      <c r="K1" s="3">
        <v>2020</v>
      </c>
      <c r="L1" s="3">
        <v>2021</v>
      </c>
      <c r="M1" s="3">
        <v>2022</v>
      </c>
    </row>
    <row r="2" spans="1:14" x14ac:dyDescent="0.3">
      <c r="A2" s="2" t="s">
        <v>298</v>
      </c>
      <c r="G2">
        <v>6.7</v>
      </c>
      <c r="N2" t="str">
        <f>VLOOKUP(A2,'Originales sin dirección'!V:W,2,FALSE)</f>
        <v>Computers, Office Equipment</v>
      </c>
    </row>
    <row r="3" spans="1:14" x14ac:dyDescent="0.3">
      <c r="A3" s="2" t="s">
        <v>278</v>
      </c>
      <c r="F3">
        <v>0.4</v>
      </c>
      <c r="G3">
        <v>11.799999999999999</v>
      </c>
      <c r="H3">
        <v>13.1</v>
      </c>
      <c r="I3">
        <v>13.1</v>
      </c>
      <c r="J3">
        <v>13.1</v>
      </c>
      <c r="N3" t="str">
        <f>VLOOKUP(A3,'Originales sin dirección'!V:W,2,FALSE)</f>
        <v>Computers, Office Equipment</v>
      </c>
    </row>
    <row r="4" spans="1:14" x14ac:dyDescent="0.3">
      <c r="A4" s="2" t="s">
        <v>282</v>
      </c>
      <c r="B4">
        <v>11.799999999999999</v>
      </c>
      <c r="N4" t="str">
        <f>VLOOKUP(A4,'Originales sin dirección'!V:W,2,FALSE)</f>
        <v>Internet Services and Retailing</v>
      </c>
    </row>
    <row r="5" spans="1:14" x14ac:dyDescent="0.3">
      <c r="A5" s="2" t="s">
        <v>307</v>
      </c>
      <c r="B5">
        <v>6.7</v>
      </c>
      <c r="N5" t="str">
        <f>VLOOKUP(A5,'Originales sin dirección'!V:W,2,FALSE)</f>
        <v>Telecommunications</v>
      </c>
    </row>
    <row r="6" spans="1:14" x14ac:dyDescent="0.3">
      <c r="A6" s="2" t="s">
        <v>81</v>
      </c>
      <c r="F6">
        <v>18.399999999999999</v>
      </c>
      <c r="G6">
        <v>14.2</v>
      </c>
      <c r="H6">
        <v>16.3</v>
      </c>
      <c r="I6">
        <v>16.3</v>
      </c>
      <c r="J6">
        <v>16.3</v>
      </c>
      <c r="K6">
        <v>17.7</v>
      </c>
      <c r="L6">
        <v>27</v>
      </c>
      <c r="M6">
        <v>28.3</v>
      </c>
      <c r="N6" t="str">
        <f>VLOOKUP(A6,'Originales sin dirección'!V:W,2,FALSE)</f>
        <v>Computers, Office Equipment</v>
      </c>
    </row>
    <row r="7" spans="1:14" x14ac:dyDescent="0.3">
      <c r="A7" s="2" t="s">
        <v>87</v>
      </c>
      <c r="B7">
        <v>14.2</v>
      </c>
      <c r="C7">
        <v>23.703299999999999</v>
      </c>
      <c r="D7">
        <v>17.901900000000001</v>
      </c>
      <c r="N7" t="str">
        <f>VLOOKUP(A7,'Originales sin dirección'!V:W,2,FALSE)</f>
        <v>Computers, Office Equipment</v>
      </c>
    </row>
    <row r="8" spans="1:14" x14ac:dyDescent="0.3">
      <c r="A8" s="2" t="s">
        <v>148</v>
      </c>
      <c r="G8">
        <v>-2</v>
      </c>
      <c r="N8" t="str">
        <f>VLOOKUP(A8,'Originales sin dirección'!V:W,2,FALSE)</f>
        <v>Telecommunications</v>
      </c>
    </row>
    <row r="9" spans="1:14" x14ac:dyDescent="0.3">
      <c r="A9" s="2" t="s">
        <v>178</v>
      </c>
      <c r="B9">
        <v>-2</v>
      </c>
      <c r="N9" t="str">
        <f>VLOOKUP(A9,'Originales sin dirección'!V:W,2,FALSE)</f>
        <v>Telecommunications</v>
      </c>
    </row>
    <row r="10" spans="1:14" x14ac:dyDescent="0.3">
      <c r="A10" s="2" t="s">
        <v>290</v>
      </c>
      <c r="F10">
        <v>2.9</v>
      </c>
      <c r="G10">
        <v>0.6</v>
      </c>
      <c r="H10">
        <v>3.8</v>
      </c>
      <c r="I10">
        <v>3.8</v>
      </c>
      <c r="J10">
        <v>3.8</v>
      </c>
      <c r="K10">
        <v>2.7</v>
      </c>
      <c r="L10">
        <v>11.5</v>
      </c>
      <c r="M10">
        <v>4.5999999999999996</v>
      </c>
      <c r="N10" t="str">
        <f>VLOOKUP(A10,'Originales sin dirección'!V:W,2,FALSE)</f>
        <v>Telecommunications</v>
      </c>
    </row>
    <row r="11" spans="1:14" x14ac:dyDescent="0.3">
      <c r="A11" s="2" t="s">
        <v>235</v>
      </c>
      <c r="B11">
        <v>0.6</v>
      </c>
      <c r="C11">
        <v>8.9911999999999992</v>
      </c>
      <c r="D11">
        <v>7.5019</v>
      </c>
      <c r="N11" t="str">
        <f>VLOOKUP(A11,'Originales sin dirección'!V:W,2,FALSE)</f>
        <v>Telecommunications</v>
      </c>
    </row>
    <row r="12" spans="1:14" x14ac:dyDescent="0.3">
      <c r="A12" s="2" t="s">
        <v>65</v>
      </c>
      <c r="F12">
        <v>0.9</v>
      </c>
      <c r="G12">
        <v>2.8</v>
      </c>
      <c r="H12">
        <v>6.2</v>
      </c>
      <c r="I12">
        <v>6.2</v>
      </c>
      <c r="J12">
        <v>6.2</v>
      </c>
      <c r="K12">
        <v>6.6</v>
      </c>
      <c r="L12">
        <v>7.9</v>
      </c>
      <c r="M12">
        <v>-0.6</v>
      </c>
      <c r="N12" t="str">
        <f>VLOOKUP(A12,'Originales sin dirección'!V:W,2,FALSE)</f>
        <v>Internet Services and Retailing</v>
      </c>
    </row>
    <row r="13" spans="1:14" x14ac:dyDescent="0.3">
      <c r="A13" s="2" t="s">
        <v>67</v>
      </c>
      <c r="B13">
        <v>2.8</v>
      </c>
      <c r="C13">
        <v>-0.1198</v>
      </c>
      <c r="D13">
        <v>0.70189999999999997</v>
      </c>
      <c r="N13" t="str">
        <f>VLOOKUP(A13,'Originales sin dirección'!V:W,2,FALSE)</f>
        <v>Internet Services and Retailing</v>
      </c>
    </row>
    <row r="14" spans="1:14" x14ac:dyDescent="0.3">
      <c r="A14" s="2" t="s">
        <v>272</v>
      </c>
      <c r="G14">
        <v>8.8000000000000007</v>
      </c>
      <c r="H14">
        <v>9.1</v>
      </c>
      <c r="I14">
        <v>9.1</v>
      </c>
      <c r="J14">
        <v>9.1</v>
      </c>
      <c r="K14">
        <v>8.6</v>
      </c>
      <c r="L14">
        <v>3.6</v>
      </c>
      <c r="M14">
        <v>4.2</v>
      </c>
      <c r="N14" t="str">
        <f>VLOOKUP(A14,'Originales sin dirección'!V:W,2,FALSE)</f>
        <v>Internet Services and Retailing</v>
      </c>
    </row>
    <row r="15" spans="1:14" x14ac:dyDescent="0.3">
      <c r="A15" s="2" t="s">
        <v>281</v>
      </c>
      <c r="B15">
        <v>8.8000000000000007</v>
      </c>
      <c r="N15" t="str">
        <f>VLOOKUP(A15,'Originales sin dirección'!V:W,2,FALSE)</f>
        <v>Internet Services and Retailing</v>
      </c>
    </row>
    <row r="16" spans="1:14" x14ac:dyDescent="0.3">
      <c r="A16" s="2" t="s">
        <v>261</v>
      </c>
      <c r="F16">
        <v>6.4</v>
      </c>
      <c r="G16">
        <v>4.7</v>
      </c>
      <c r="H16">
        <v>4.7</v>
      </c>
      <c r="I16">
        <v>4.7</v>
      </c>
      <c r="J16">
        <v>4.7</v>
      </c>
      <c r="N16" t="str">
        <f>VLOOKUP(A16,'Originales sin dirección'!V:W,2,FALSE)</f>
        <v>Telecommunications</v>
      </c>
    </row>
    <row r="17" spans="1:14" x14ac:dyDescent="0.3">
      <c r="A17" s="2" t="s">
        <v>220</v>
      </c>
      <c r="B17">
        <v>4.7</v>
      </c>
      <c r="C17">
        <v>8.7609999999999992</v>
      </c>
      <c r="D17">
        <v>7.7019000000000002</v>
      </c>
      <c r="N17" t="str">
        <f>VLOOKUP(A17,'Originales sin dirección'!V:W,2,FALSE)</f>
        <v>Telecommunications</v>
      </c>
    </row>
    <row r="18" spans="1:14" x14ac:dyDescent="0.3">
      <c r="A18" s="2" t="s">
        <v>259</v>
      </c>
      <c r="K18">
        <v>2.7</v>
      </c>
      <c r="N18" t="str">
        <f>VLOOKUP(A18,'Originales sin dirección'!V:W,2,FALSE)</f>
        <v>Telecommunications</v>
      </c>
    </row>
    <row r="19" spans="1:14" x14ac:dyDescent="0.3">
      <c r="A19" s="2" t="s">
        <v>196</v>
      </c>
      <c r="F19">
        <v>4.9000000000000004</v>
      </c>
      <c r="G19">
        <v>3.1</v>
      </c>
      <c r="H19">
        <v>5.0999999999999996</v>
      </c>
      <c r="I19">
        <v>5.0999999999999996</v>
      </c>
      <c r="J19">
        <v>5.0999999999999996</v>
      </c>
      <c r="K19">
        <v>1.7</v>
      </c>
      <c r="L19">
        <v>4.7</v>
      </c>
      <c r="N19" t="str">
        <f>VLOOKUP(A19,'Originales sin dirección'!V:W,2,FALSE)</f>
        <v>Computers, Office Equipment</v>
      </c>
    </row>
    <row r="20" spans="1:14" x14ac:dyDescent="0.3">
      <c r="A20" s="2" t="s">
        <v>203</v>
      </c>
      <c r="B20">
        <v>3.1</v>
      </c>
      <c r="C20">
        <v>6.1504000000000003</v>
      </c>
      <c r="D20">
        <v>5.9019000000000004</v>
      </c>
      <c r="N20" t="str">
        <f>VLOOKUP(A20,'Originales sin dirección'!V:W,2,FALSE)</f>
        <v>Computers, Office Equipment</v>
      </c>
    </row>
    <row r="21" spans="1:14" x14ac:dyDescent="0.3">
      <c r="A21" s="2" t="s">
        <v>45</v>
      </c>
      <c r="G21">
        <v>2.4</v>
      </c>
      <c r="H21">
        <v>0.8</v>
      </c>
      <c r="I21">
        <v>0.8</v>
      </c>
      <c r="J21">
        <v>0.8</v>
      </c>
      <c r="K21">
        <v>2.2000000000000002</v>
      </c>
      <c r="L21">
        <v>3.3</v>
      </c>
      <c r="M21">
        <v>3.5</v>
      </c>
      <c r="N21" t="str">
        <f>VLOOKUP(A21,'Originales sin dirección'!V:W,2,FALSE)</f>
        <v>Telecommunications</v>
      </c>
    </row>
    <row r="22" spans="1:14" x14ac:dyDescent="0.3">
      <c r="A22" s="2" t="s">
        <v>122</v>
      </c>
      <c r="B22">
        <v>2.4</v>
      </c>
      <c r="N22" t="str">
        <f>VLOOKUP(A22,'Originales sin dirección'!V:W,2,FALSE)</f>
        <v>Telecommunications</v>
      </c>
    </row>
    <row r="23" spans="1:14" x14ac:dyDescent="0.3">
      <c r="A23" s="2" t="s">
        <v>69</v>
      </c>
      <c r="C23">
        <v>3.7601</v>
      </c>
      <c r="N23" t="str">
        <f>VLOOKUP(A23,'Originales sin dirección'!V:W,2,FALSE)</f>
        <v>Telecommunications</v>
      </c>
    </row>
    <row r="24" spans="1:14" x14ac:dyDescent="0.3">
      <c r="A24" s="2" t="s">
        <v>93</v>
      </c>
      <c r="F24">
        <v>4.9000000000000004</v>
      </c>
      <c r="G24">
        <v>4.8</v>
      </c>
      <c r="H24">
        <v>4.7</v>
      </c>
      <c r="I24">
        <v>4.7</v>
      </c>
      <c r="J24">
        <v>4.7</v>
      </c>
      <c r="K24">
        <v>3.8</v>
      </c>
      <c r="L24">
        <v>5.0999999999999996</v>
      </c>
      <c r="M24">
        <v>2.1</v>
      </c>
      <c r="N24" t="str">
        <f>VLOOKUP(A24,'Originales sin dirección'!V:W,2,FALSE)</f>
        <v>Telecommunications</v>
      </c>
    </row>
    <row r="25" spans="1:14" x14ac:dyDescent="0.3">
      <c r="A25" s="2" t="s">
        <v>110</v>
      </c>
      <c r="B25">
        <v>4.8</v>
      </c>
      <c r="D25">
        <v>4.3018999999999998</v>
      </c>
      <c r="N25" t="str">
        <f>VLOOKUP(A25,'Originales sin dirección'!V:W,2,FALSE)</f>
        <v>Telecommunications</v>
      </c>
    </row>
    <row r="26" spans="1:14" x14ac:dyDescent="0.3">
      <c r="A26" s="2" t="s">
        <v>56</v>
      </c>
      <c r="M26">
        <v>0.2</v>
      </c>
      <c r="N26" t="str">
        <f>VLOOKUP(A26,'Originales sin dirección'!V:W,2,FALSE)</f>
        <v>Computer Software</v>
      </c>
    </row>
    <row r="27" spans="1:14" x14ac:dyDescent="0.3">
      <c r="A27" s="2" t="s">
        <v>31</v>
      </c>
      <c r="H27">
        <v>-2.1</v>
      </c>
      <c r="I27">
        <v>-2.1</v>
      </c>
      <c r="J27">
        <v>-2.1</v>
      </c>
      <c r="K27">
        <v>2.6</v>
      </c>
      <c r="L27">
        <v>6</v>
      </c>
      <c r="M27">
        <v>2.7</v>
      </c>
      <c r="N27" t="str">
        <f>VLOOKUP(A27,'Originales sin dirección'!V:W,2,FALSE)</f>
        <v>Computers, Office Equipment</v>
      </c>
    </row>
    <row r="28" spans="1:14" x14ac:dyDescent="0.3">
      <c r="A28" s="2" t="s">
        <v>114</v>
      </c>
      <c r="C28">
        <v>4.9894999999999996</v>
      </c>
      <c r="N28" t="str">
        <f>VLOOKUP(A28,'Originales sin dirección'!V:W,2,FALSE)</f>
        <v>Computers, Office Equipment</v>
      </c>
    </row>
    <row r="29" spans="1:14" x14ac:dyDescent="0.3">
      <c r="A29" s="2" t="s">
        <v>256</v>
      </c>
      <c r="F29">
        <v>2.2999999999999998</v>
      </c>
      <c r="G29">
        <v>1.9</v>
      </c>
      <c r="H29">
        <v>1.5</v>
      </c>
      <c r="I29">
        <v>1.5</v>
      </c>
      <c r="J29">
        <v>1.5</v>
      </c>
      <c r="K29">
        <v>1.5</v>
      </c>
      <c r="L29">
        <v>1.5</v>
      </c>
      <c r="M29">
        <v>2.6</v>
      </c>
      <c r="N29" t="str">
        <f>VLOOKUP(A29,'Originales sin dirección'!V:W,2,FALSE)</f>
        <v>Telecommunications</v>
      </c>
    </row>
    <row r="30" spans="1:14" x14ac:dyDescent="0.3">
      <c r="A30" s="2" t="s">
        <v>164</v>
      </c>
      <c r="B30">
        <v>1.9</v>
      </c>
      <c r="C30">
        <v>-4.7462</v>
      </c>
      <c r="D30">
        <v>0.80189999999999995</v>
      </c>
      <c r="N30" t="str">
        <f>VLOOKUP(A30,'Originales sin dirección'!V:W,2,FALSE)</f>
        <v>Telecommunications</v>
      </c>
    </row>
    <row r="31" spans="1:14" x14ac:dyDescent="0.3">
      <c r="A31" s="2" t="s">
        <v>51</v>
      </c>
      <c r="C31">
        <v>14.3469</v>
      </c>
      <c r="D31">
        <v>13.101900000000001</v>
      </c>
      <c r="N31" t="str">
        <f>VLOOKUP(A31,'Originales sin dirección'!V:W,2,FALSE)</f>
        <v>Telecommunications</v>
      </c>
    </row>
    <row r="32" spans="1:14" x14ac:dyDescent="0.3">
      <c r="A32" s="2" t="s">
        <v>106</v>
      </c>
      <c r="F32">
        <v>4.3</v>
      </c>
      <c r="N32" t="str">
        <f>VLOOKUP(A32,'Originales sin dirección'!V:W,2,FALSE)</f>
        <v>Computers, Office Equipment</v>
      </c>
    </row>
    <row r="33" spans="1:14" x14ac:dyDescent="0.3">
      <c r="A33" s="2" t="s">
        <v>104</v>
      </c>
      <c r="F33">
        <v>12.3</v>
      </c>
      <c r="N33" t="str">
        <f>VLOOKUP(A33,'Originales sin dirección'!V:W,2,FALSE)</f>
        <v>Electronics, Electrical Equip.</v>
      </c>
    </row>
    <row r="34" spans="1:14" x14ac:dyDescent="0.3">
      <c r="A34" s="2" t="s">
        <v>108</v>
      </c>
      <c r="C34">
        <v>8.2627000000000006</v>
      </c>
      <c r="D34">
        <v>8.1019000000000005</v>
      </c>
      <c r="N34" t="str">
        <f>VLOOKUP(A34,'Originales sin dirección'!V:W,2,FALSE)</f>
        <v>Electronics, Electrical Equip.</v>
      </c>
    </row>
    <row r="35" spans="1:14" x14ac:dyDescent="0.3">
      <c r="A35" s="2" t="s">
        <v>41</v>
      </c>
      <c r="G35">
        <v>15.7</v>
      </c>
      <c r="H35">
        <v>22.7</v>
      </c>
      <c r="I35">
        <v>22.7</v>
      </c>
      <c r="J35">
        <v>22.7</v>
      </c>
      <c r="K35">
        <v>18.3</v>
      </c>
      <c r="N35" t="str">
        <f>VLOOKUP(A35,'Originales sin dirección'!V:W,2,FALSE)</f>
        <v>Internet Services and Retailing</v>
      </c>
    </row>
    <row r="36" spans="1:14" x14ac:dyDescent="0.3">
      <c r="A36" s="2" t="s">
        <v>53</v>
      </c>
      <c r="B36">
        <v>15.7</v>
      </c>
      <c r="N36" t="str">
        <f>VLOOKUP(A36,'Originales sin dirección'!V:W,2,FALSE)</f>
        <v>Internet Services and Retailing</v>
      </c>
    </row>
    <row r="37" spans="1:14" x14ac:dyDescent="0.3">
      <c r="A37" s="2" t="s">
        <v>158</v>
      </c>
      <c r="C37">
        <v>-2.7069000000000001</v>
      </c>
      <c r="D37">
        <v>1.6019000000000001</v>
      </c>
      <c r="N37" t="str">
        <f>VLOOKUP(A37,'Originales sin dirección'!V:W,2,FALSE)</f>
        <v>Computers, Office Equipment</v>
      </c>
    </row>
    <row r="38" spans="1:14" x14ac:dyDescent="0.3">
      <c r="A38" s="2" t="s">
        <v>294</v>
      </c>
      <c r="K38">
        <v>3.9</v>
      </c>
      <c r="N38" t="str">
        <f>VLOOKUP(A38,'Originales sin dirección'!V:W,2,FALSE)</f>
        <v>Electronics, Electrical Equip.</v>
      </c>
    </row>
    <row r="39" spans="1:14" x14ac:dyDescent="0.3">
      <c r="A39" s="2" t="s">
        <v>232</v>
      </c>
      <c r="C39">
        <v>0.88849999999999996</v>
      </c>
      <c r="N39" t="str">
        <f>VLOOKUP(A39,'Originales sin dirección'!V:W,2,FALSE)</f>
        <v>Telecommunications</v>
      </c>
    </row>
    <row r="40" spans="1:14" x14ac:dyDescent="0.3">
      <c r="A40" s="2" t="s">
        <v>48</v>
      </c>
      <c r="C40">
        <v>11.446899999999999</v>
      </c>
      <c r="D40">
        <v>11.601900000000001</v>
      </c>
      <c r="N40" t="str">
        <f>VLOOKUP(A40,'Originales sin dirección'!V:W,2,FALSE)</f>
        <v>Internet Services and Retailing</v>
      </c>
    </row>
    <row r="41" spans="1:14" x14ac:dyDescent="0.3">
      <c r="A41" s="2" t="s">
        <v>78</v>
      </c>
      <c r="F41">
        <v>11.1</v>
      </c>
      <c r="G41">
        <v>11.6</v>
      </c>
      <c r="H41">
        <v>13.2</v>
      </c>
      <c r="I41">
        <v>13.2</v>
      </c>
      <c r="J41">
        <v>13.2</v>
      </c>
      <c r="K41">
        <v>12.6</v>
      </c>
      <c r="L41">
        <v>21.2</v>
      </c>
      <c r="M41">
        <v>16.399999999999999</v>
      </c>
      <c r="N41" t="str">
        <f>VLOOKUP(A41,'Originales sin dirección'!V:W,2,FALSE)</f>
        <v>Internet Services and Retailing</v>
      </c>
    </row>
    <row r="42" spans="1:14" x14ac:dyDescent="0.3">
      <c r="A42" s="2" t="s">
        <v>88</v>
      </c>
      <c r="B42">
        <v>11.6</v>
      </c>
      <c r="N42" t="str">
        <f>VLOOKUP(A42,'Originales sin dirección'!V:W,2,FALSE)</f>
        <v>Internet Services and Retailing</v>
      </c>
    </row>
    <row r="43" spans="1:14" x14ac:dyDescent="0.3">
      <c r="A43" s="2" t="s">
        <v>291</v>
      </c>
      <c r="F43">
        <v>6.6</v>
      </c>
      <c r="G43">
        <v>5.7</v>
      </c>
      <c r="H43">
        <v>3.9</v>
      </c>
      <c r="I43">
        <v>3.9</v>
      </c>
      <c r="J43">
        <v>3.9</v>
      </c>
      <c r="K43">
        <v>2.6</v>
      </c>
      <c r="L43">
        <v>3.5</v>
      </c>
      <c r="M43">
        <v>3.5</v>
      </c>
      <c r="N43" t="str">
        <f>VLOOKUP(A43,'Originales sin dirección'!V:W,2,FALSE)</f>
        <v>Electronics, Electrical Equip.</v>
      </c>
    </row>
    <row r="44" spans="1:14" x14ac:dyDescent="0.3">
      <c r="A44" s="2" t="s">
        <v>244</v>
      </c>
      <c r="B44">
        <v>5.7</v>
      </c>
      <c r="C44">
        <v>4.5518999999999998</v>
      </c>
      <c r="D44">
        <v>4.6018999999999997</v>
      </c>
      <c r="N44" t="str">
        <f>VLOOKUP(A44,'Originales sin dirección'!V:W,2,FALSE)</f>
        <v>Electronics, Electrical Equip.</v>
      </c>
    </row>
    <row r="45" spans="1:14" x14ac:dyDescent="0.3">
      <c r="A45" s="2" t="s">
        <v>91</v>
      </c>
      <c r="F45">
        <v>9.6999999999999993</v>
      </c>
      <c r="G45">
        <v>8.9</v>
      </c>
      <c r="H45">
        <v>11.7</v>
      </c>
      <c r="I45">
        <v>11.7</v>
      </c>
      <c r="J45">
        <v>11.7</v>
      </c>
      <c r="K45">
        <v>7.4</v>
      </c>
      <c r="L45">
        <v>8.6</v>
      </c>
      <c r="M45">
        <v>8</v>
      </c>
      <c r="N45" t="str">
        <f>VLOOKUP(A45,'Originales sin dirección'!V:W,2,FALSE)</f>
        <v>Electronics, Electrical Equip.</v>
      </c>
    </row>
    <row r="46" spans="1:14" x14ac:dyDescent="0.3">
      <c r="A46" s="2" t="s">
        <v>109</v>
      </c>
      <c r="B46">
        <v>8.9</v>
      </c>
      <c r="D46">
        <v>8.6019000000000005</v>
      </c>
      <c r="N46" t="str">
        <f>VLOOKUP(A46,'Originales sin dirección'!V:W,2,FALSE)</f>
        <v>Electronics, Electrical Equip.</v>
      </c>
    </row>
    <row r="47" spans="1:14" x14ac:dyDescent="0.3">
      <c r="A47" s="2" t="s">
        <v>38</v>
      </c>
      <c r="H47">
        <v>3.4</v>
      </c>
      <c r="I47">
        <v>3.4</v>
      </c>
      <c r="J47">
        <v>3.4</v>
      </c>
      <c r="K47">
        <v>-0.6</v>
      </c>
      <c r="N47" t="str">
        <f>VLOOKUP(A47,'Originales sin dirección'!V:W,2,FALSE)</f>
        <v>Computers, Office Equipment</v>
      </c>
    </row>
    <row r="48" spans="1:14" x14ac:dyDescent="0.3">
      <c r="A48" s="2" t="s">
        <v>59</v>
      </c>
      <c r="F48">
        <v>4.3</v>
      </c>
      <c r="G48">
        <v>8.6</v>
      </c>
      <c r="H48">
        <v>15.4</v>
      </c>
      <c r="I48">
        <v>15.4</v>
      </c>
      <c r="J48">
        <v>15.4</v>
      </c>
      <c r="K48">
        <v>8.1999999999999993</v>
      </c>
      <c r="L48">
        <v>16.8</v>
      </c>
      <c r="M48">
        <v>8.3000000000000007</v>
      </c>
      <c r="N48" t="str">
        <f>VLOOKUP(A48,'Originales sin dirección'!V:W,2,FALSE)</f>
        <v>Computers, Office Equipment</v>
      </c>
    </row>
    <row r="49" spans="1:14" x14ac:dyDescent="0.3">
      <c r="A49" s="2" t="s">
        <v>72</v>
      </c>
      <c r="B49">
        <v>8.6</v>
      </c>
      <c r="C49">
        <v>-11.6303</v>
      </c>
      <c r="D49">
        <v>4.8018999999999998</v>
      </c>
      <c r="N49" t="str">
        <f>VLOOKUP(A49,'Originales sin dirección'!V:W,2,FALSE)</f>
        <v>Computers, Office Equipment</v>
      </c>
    </row>
    <row r="50" spans="1:14" x14ac:dyDescent="0.3">
      <c r="A50" s="2" t="s">
        <v>275</v>
      </c>
      <c r="K50">
        <v>4.0999999999999996</v>
      </c>
      <c r="N50" t="str">
        <f>VLOOKUP(A50,'Originales sin dirección'!V:W,2,FALSE)</f>
        <v>Electronics, Electrical Equip.</v>
      </c>
    </row>
    <row r="51" spans="1:14" x14ac:dyDescent="0.3">
      <c r="A51" s="2" t="s">
        <v>265</v>
      </c>
      <c r="L51">
        <v>5.9</v>
      </c>
      <c r="M51">
        <v>6.4</v>
      </c>
      <c r="N51" t="str">
        <f>VLOOKUP(A51,'Originales sin dirección'!V:W,2,FALSE)</f>
        <v>Electronics, Electrical Equip.</v>
      </c>
    </row>
    <row r="52" spans="1:14" x14ac:dyDescent="0.3">
      <c r="A52" s="2" t="s">
        <v>189</v>
      </c>
      <c r="F52">
        <v>1.3</v>
      </c>
      <c r="G52">
        <v>2.5</v>
      </c>
      <c r="H52">
        <v>2.2999999999999998</v>
      </c>
      <c r="I52">
        <v>2.2999999999999998</v>
      </c>
      <c r="J52">
        <v>2.2999999999999998</v>
      </c>
      <c r="K52">
        <v>4.4000000000000004</v>
      </c>
      <c r="L52">
        <v>4.5</v>
      </c>
      <c r="M52">
        <v>5.0999999999999996</v>
      </c>
      <c r="N52" t="str">
        <f>VLOOKUP(A52,'Originales sin dirección'!V:W,2,FALSE)</f>
        <v>Electronics, Electrical Equip.</v>
      </c>
    </row>
    <row r="53" spans="1:14" x14ac:dyDescent="0.3">
      <c r="A53" s="2" t="s">
        <v>209</v>
      </c>
      <c r="B53">
        <v>2.5</v>
      </c>
      <c r="C53">
        <v>2.0232000000000001</v>
      </c>
      <c r="D53">
        <v>2.5019</v>
      </c>
      <c r="N53" t="str">
        <f>VLOOKUP(A53,'Originales sin dirección'!V:W,2,FALSE)</f>
        <v>Electronics, Electrical Equip.</v>
      </c>
    </row>
    <row r="54" spans="1:14" x14ac:dyDescent="0.3">
      <c r="A54" s="2" t="s">
        <v>130</v>
      </c>
      <c r="F54">
        <v>-11.4</v>
      </c>
      <c r="G54">
        <v>-2.5</v>
      </c>
      <c r="H54">
        <v>-1.2</v>
      </c>
      <c r="I54">
        <v>-1.2</v>
      </c>
      <c r="J54">
        <v>-1.2</v>
      </c>
      <c r="K54">
        <v>11.1</v>
      </c>
      <c r="L54">
        <v>-0.7</v>
      </c>
      <c r="M54">
        <v>1.8</v>
      </c>
      <c r="N54" t="str">
        <f>VLOOKUP(A54,'Originales sin dirección'!V:W,2,FALSE)</f>
        <v>Internet Services and Retailing</v>
      </c>
    </row>
    <row r="55" spans="1:14" x14ac:dyDescent="0.3">
      <c r="A55" s="2" t="s">
        <v>179</v>
      </c>
      <c r="B55">
        <v>-2.5</v>
      </c>
      <c r="N55" t="str">
        <f>VLOOKUP(A55,'Originales sin dirección'!V:W,2,FALSE)</f>
        <v>Internet Services and Retailing</v>
      </c>
    </row>
    <row r="56" spans="1:14" x14ac:dyDescent="0.3">
      <c r="A56" s="2" t="s">
        <v>186</v>
      </c>
      <c r="F56">
        <v>8</v>
      </c>
      <c r="G56">
        <v>9</v>
      </c>
      <c r="H56">
        <v>8.4</v>
      </c>
      <c r="I56">
        <v>8.4</v>
      </c>
      <c r="J56">
        <v>8.4</v>
      </c>
      <c r="K56">
        <v>6.5</v>
      </c>
      <c r="L56">
        <v>6.6</v>
      </c>
      <c r="M56">
        <v>5.6</v>
      </c>
      <c r="N56" t="str">
        <f>VLOOKUP(A56,'Originales sin dirección'!V:W,2,FALSE)</f>
        <v>Telecommunications</v>
      </c>
    </row>
    <row r="57" spans="1:14" x14ac:dyDescent="0.3">
      <c r="A57" s="2" t="s">
        <v>205</v>
      </c>
      <c r="B57">
        <v>9</v>
      </c>
      <c r="C57">
        <v>6.6912000000000003</v>
      </c>
      <c r="D57">
        <v>6.7019000000000002</v>
      </c>
      <c r="N57" t="str">
        <f>VLOOKUP(A57,'Originales sin dirección'!V:W,2,FALSE)</f>
        <v>Telecommunications</v>
      </c>
    </row>
    <row r="58" spans="1:14" x14ac:dyDescent="0.3">
      <c r="A58" s="2" t="s">
        <v>100</v>
      </c>
      <c r="L58">
        <v>4.4000000000000004</v>
      </c>
      <c r="N58" t="str">
        <f>VLOOKUP(A58,'Originales sin dirección'!V:W,2,FALSE)</f>
        <v>Automotive Retailing, Services</v>
      </c>
    </row>
    <row r="59" spans="1:14" x14ac:dyDescent="0.3">
      <c r="A59" s="2" t="s">
        <v>142</v>
      </c>
      <c r="F59">
        <v>-0.5</v>
      </c>
      <c r="G59">
        <v>2</v>
      </c>
      <c r="H59">
        <v>2</v>
      </c>
      <c r="I59">
        <v>2</v>
      </c>
      <c r="J59">
        <v>2</v>
      </c>
      <c r="K59">
        <v>3.1</v>
      </c>
      <c r="L59">
        <v>4.5999999999999996</v>
      </c>
      <c r="M59">
        <v>4.0999999999999996</v>
      </c>
      <c r="N59" t="str">
        <f>VLOOKUP(A59,'Originales sin dirección'!V:W,2,FALSE)</f>
        <v>Computers, Office Equipment</v>
      </c>
    </row>
    <row r="60" spans="1:14" x14ac:dyDescent="0.3">
      <c r="A60" s="2" t="s">
        <v>180</v>
      </c>
      <c r="B60">
        <v>2</v>
      </c>
      <c r="C60">
        <v>3.7623000000000002</v>
      </c>
      <c r="D60">
        <v>4.5019</v>
      </c>
      <c r="N60" t="str">
        <f>VLOOKUP(A60,'Originales sin dirección'!V:W,2,FALSE)</f>
        <v>Computers, Office Equipment</v>
      </c>
    </row>
    <row r="61" spans="1:14" x14ac:dyDescent="0.3">
      <c r="A61" s="2" t="s">
        <v>296</v>
      </c>
      <c r="F61">
        <v>4.4000000000000004</v>
      </c>
      <c r="G61">
        <v>3.8</v>
      </c>
      <c r="N61" t="str">
        <f>VLOOKUP(A61,'Originales sin dirección'!V:W,2,FALSE)</f>
        <v>Electronics, Electrical Equip.</v>
      </c>
    </row>
    <row r="62" spans="1:14" x14ac:dyDescent="0.3">
      <c r="A62" s="2" t="s">
        <v>170</v>
      </c>
      <c r="B62">
        <v>3.8</v>
      </c>
      <c r="C62">
        <v>0.90629999999999999</v>
      </c>
      <c r="D62">
        <v>1.9018999999999999</v>
      </c>
      <c r="N62" t="str">
        <f>VLOOKUP(A62,'Originales sin dirección'!V:W,2,FALSE)</f>
        <v>Electronics, Electrical Equip.</v>
      </c>
    </row>
    <row r="63" spans="1:14" x14ac:dyDescent="0.3">
      <c r="A63" s="2" t="s">
        <v>35</v>
      </c>
      <c r="L63">
        <v>23.7</v>
      </c>
      <c r="M63">
        <v>12.5</v>
      </c>
      <c r="N63" t="str">
        <f>VLOOKUP(A63,'Originales sin dirección'!V:W,2,FALSE)</f>
        <v>Internet Services and Retailing</v>
      </c>
    </row>
    <row r="64" spans="1:14" x14ac:dyDescent="0.3">
      <c r="A64" s="2" t="s">
        <v>183</v>
      </c>
      <c r="F64">
        <v>5.3</v>
      </c>
      <c r="G64">
        <v>5.2</v>
      </c>
      <c r="H64">
        <v>5.2</v>
      </c>
      <c r="I64">
        <v>5.2</v>
      </c>
      <c r="J64">
        <v>5.2</v>
      </c>
      <c r="K64">
        <v>4.2</v>
      </c>
      <c r="L64">
        <v>4.3</v>
      </c>
      <c r="M64">
        <v>3.8</v>
      </c>
      <c r="N64" t="str">
        <f>VLOOKUP(A64,'Originales sin dirección'!V:W,2,FALSE)</f>
        <v>Electronics, Electrical Equip.</v>
      </c>
    </row>
    <row r="65" spans="1:14" x14ac:dyDescent="0.3">
      <c r="A65" s="2" t="s">
        <v>204</v>
      </c>
      <c r="B65">
        <v>5.2</v>
      </c>
      <c r="C65">
        <v>2.3073999999999999</v>
      </c>
      <c r="D65">
        <v>4.4019000000000004</v>
      </c>
      <c r="N65" t="str">
        <f>VLOOKUP(A65,'Originales sin dirección'!V:W,2,FALSE)</f>
        <v>Electronics, Electrical Equip.</v>
      </c>
    </row>
    <row r="66" spans="1:14" x14ac:dyDescent="0.3">
      <c r="A66" s="2" t="s">
        <v>124</v>
      </c>
      <c r="M66">
        <v>-2.8</v>
      </c>
      <c r="N66" t="str">
        <f>VLOOKUP(A66,'Originales sin dirección'!V:W,2,FALSE)</f>
        <v>Internet Services and Retailing</v>
      </c>
    </row>
    <row r="67" spans="1:14" x14ac:dyDescent="0.3">
      <c r="A67" s="2" t="s">
        <v>96</v>
      </c>
      <c r="F67">
        <v>6.9</v>
      </c>
      <c r="G67">
        <v>8.6999999999999993</v>
      </c>
      <c r="H67">
        <v>6.4</v>
      </c>
      <c r="I67">
        <v>6.4</v>
      </c>
      <c r="J67">
        <v>6.4</v>
      </c>
      <c r="K67">
        <v>14.7</v>
      </c>
      <c r="L67">
        <v>18.399999999999999</v>
      </c>
      <c r="M67">
        <v>19.899999999999999</v>
      </c>
      <c r="N67" t="str">
        <f>VLOOKUP(A67,'Originales sin dirección'!V:W,2,FALSE)</f>
        <v>Computer Software</v>
      </c>
    </row>
    <row r="68" spans="1:14" x14ac:dyDescent="0.3">
      <c r="A68" s="2" t="s">
        <v>111</v>
      </c>
      <c r="B68">
        <v>8.6999999999999993</v>
      </c>
      <c r="C68">
        <v>14</v>
      </c>
      <c r="D68">
        <v>15.3019</v>
      </c>
      <c r="N68" t="str">
        <f>VLOOKUP(A68,'Originales sin dirección'!V:W,2,FALSE)</f>
        <v>Computer Software</v>
      </c>
    </row>
    <row r="69" spans="1:14" x14ac:dyDescent="0.3">
      <c r="A69" s="2" t="s">
        <v>202</v>
      </c>
      <c r="F69">
        <v>3.3</v>
      </c>
      <c r="N69" t="str">
        <f>VLOOKUP(A69,'Originales sin dirección'!V:W,2,FALSE)</f>
        <v>Telecommunications</v>
      </c>
    </row>
    <row r="70" spans="1:14" x14ac:dyDescent="0.3">
      <c r="A70" s="2" t="s">
        <v>211</v>
      </c>
      <c r="C70">
        <v>3.0184000000000002</v>
      </c>
      <c r="D70">
        <v>3.0019</v>
      </c>
      <c r="N70" t="str">
        <f>VLOOKUP(A70,'Originales sin dirección'!V:W,2,FALSE)</f>
        <v>Telecommunications</v>
      </c>
    </row>
    <row r="71" spans="1:14" x14ac:dyDescent="0.3">
      <c r="A71" s="2" t="s">
        <v>193</v>
      </c>
      <c r="G71">
        <v>3.9</v>
      </c>
      <c r="H71">
        <v>3.8</v>
      </c>
      <c r="I71">
        <v>3.8</v>
      </c>
      <c r="J71">
        <v>3.8</v>
      </c>
      <c r="K71">
        <v>4.2</v>
      </c>
      <c r="L71">
        <v>5.3</v>
      </c>
      <c r="M71">
        <v>4.7</v>
      </c>
      <c r="N71" t="str">
        <f>VLOOKUP(A71,'Originales sin dirección'!V:W,2,FALSE)</f>
        <v>Telecommunications</v>
      </c>
    </row>
    <row r="72" spans="1:14" x14ac:dyDescent="0.3">
      <c r="A72" s="2" t="s">
        <v>212</v>
      </c>
      <c r="B72">
        <v>3.9</v>
      </c>
      <c r="N72" t="str">
        <f>VLOOKUP(A72,'Originales sin dirección'!V:W,2,FALSE)</f>
        <v>Telecommunications</v>
      </c>
    </row>
    <row r="73" spans="1:14" x14ac:dyDescent="0.3">
      <c r="A73" s="2" t="s">
        <v>252</v>
      </c>
      <c r="F73">
        <v>3</v>
      </c>
      <c r="G73">
        <v>3.3</v>
      </c>
      <c r="H73">
        <v>2.1</v>
      </c>
      <c r="I73">
        <v>2.1</v>
      </c>
      <c r="J73">
        <v>2.1</v>
      </c>
      <c r="K73">
        <v>4.2</v>
      </c>
      <c r="L73">
        <v>0.2</v>
      </c>
      <c r="M73">
        <v>1.9</v>
      </c>
      <c r="N73" t="str">
        <f>VLOOKUP(A73,'Originales sin dirección'!V:W,2,FALSE)</f>
        <v>Telecommunications</v>
      </c>
    </row>
    <row r="74" spans="1:14" x14ac:dyDescent="0.3">
      <c r="A74" s="2" t="s">
        <v>253</v>
      </c>
      <c r="B74">
        <v>3.3</v>
      </c>
      <c r="D74">
        <v>2.1019000000000001</v>
      </c>
      <c r="N74" t="str">
        <f>VLOOKUP(A74,'Originales sin dirección'!V:W,2,FALSE)</f>
        <v>Telecommunications</v>
      </c>
    </row>
    <row r="75" spans="1:14" x14ac:dyDescent="0.3">
      <c r="A75" s="2" t="s">
        <v>84</v>
      </c>
      <c r="F75">
        <v>9</v>
      </c>
      <c r="G75">
        <v>7.9</v>
      </c>
      <c r="H75">
        <v>2.8</v>
      </c>
      <c r="I75">
        <v>2.8</v>
      </c>
      <c r="J75">
        <v>2.8</v>
      </c>
      <c r="K75">
        <v>8.8000000000000007</v>
      </c>
      <c r="L75">
        <v>10.5</v>
      </c>
      <c r="M75">
        <v>6.1</v>
      </c>
      <c r="N75" t="str">
        <f>VLOOKUP(A75,'Originales sin dirección'!V:W,2,FALSE)</f>
        <v>Computer Software</v>
      </c>
    </row>
    <row r="76" spans="1:14" x14ac:dyDescent="0.3">
      <c r="A76" s="2" t="s">
        <v>86</v>
      </c>
      <c r="B76">
        <v>7.9</v>
      </c>
      <c r="C76">
        <v>12.742699999999999</v>
      </c>
      <c r="D76">
        <v>13.401899999999999</v>
      </c>
      <c r="N76" t="str">
        <f>VLOOKUP(A76,'Originales sin dirección'!V:W,2,FALSE)</f>
        <v>Computer Software</v>
      </c>
    </row>
    <row r="77" spans="1:14" x14ac:dyDescent="0.3">
      <c r="A77" s="2" t="s">
        <v>161</v>
      </c>
      <c r="C77">
        <v>-15.817299999999999</v>
      </c>
      <c r="D77">
        <v>2.4018999999999999</v>
      </c>
      <c r="N77" t="str">
        <f>VLOOKUP(A77,'Originales sin dirección'!V:W,2,FALSE)</f>
        <v>Electronics, Electrical Equip.</v>
      </c>
    </row>
    <row r="78" spans="1:14" x14ac:dyDescent="0.3">
      <c r="A78" s="2" t="s">
        <v>284</v>
      </c>
      <c r="F78">
        <v>3.2</v>
      </c>
      <c r="G78">
        <v>2.6</v>
      </c>
      <c r="H78">
        <v>4.7</v>
      </c>
      <c r="I78">
        <v>4.7</v>
      </c>
      <c r="J78">
        <v>4.7</v>
      </c>
      <c r="K78">
        <v>2.5</v>
      </c>
      <c r="L78">
        <v>3.4</v>
      </c>
      <c r="M78">
        <v>3.2</v>
      </c>
      <c r="N78" t="str">
        <f>VLOOKUP(A78,'Originales sin dirección'!V:W,2,FALSE)</f>
        <v>Electronics, Electrical Equip.</v>
      </c>
    </row>
    <row r="79" spans="1:14" x14ac:dyDescent="0.3">
      <c r="A79" s="2" t="s">
        <v>288</v>
      </c>
      <c r="B79">
        <v>2.6</v>
      </c>
      <c r="N79" t="str">
        <f>VLOOKUP(A79,'Originales sin dirección'!V:W,2,FALSE)</f>
        <v>Electronics, Electrical Equip.</v>
      </c>
    </row>
    <row r="80" spans="1:14" x14ac:dyDescent="0.3">
      <c r="A80" s="2" t="s">
        <v>306</v>
      </c>
      <c r="F80">
        <v>2.1</v>
      </c>
      <c r="N80" t="str">
        <f>VLOOKUP(A80,'Originales sin dirección'!V:W,2,FALSE)</f>
        <v>Electronics, Electrical Equip.</v>
      </c>
    </row>
    <row r="81" spans="1:14" x14ac:dyDescent="0.3">
      <c r="A81" s="2" t="s">
        <v>173</v>
      </c>
      <c r="C81">
        <v>0.75770000000000004</v>
      </c>
      <c r="D81">
        <v>4.2019000000000002</v>
      </c>
      <c r="N81" t="str">
        <f>VLOOKUP(A81,'Originales sin dirección'!V:W,2,FALSE)</f>
        <v>Electronics, Electrical Equip.</v>
      </c>
    </row>
    <row r="82" spans="1:14" x14ac:dyDescent="0.3">
      <c r="A82" s="2" t="s">
        <v>226</v>
      </c>
      <c r="C82">
        <v>3.9859</v>
      </c>
      <c r="D82">
        <v>3.3018999999999998</v>
      </c>
      <c r="N82" t="str">
        <f>VLOOKUP(A82,'Originales sin dirección'!V:W,2,FALSE)</f>
        <v>Computers, Office Equipment</v>
      </c>
    </row>
    <row r="83" spans="1:14" x14ac:dyDescent="0.3">
      <c r="A83" s="2" t="s">
        <v>167</v>
      </c>
      <c r="C83">
        <v>1.5568</v>
      </c>
      <c r="N83" t="str">
        <f>VLOOKUP(A83,'Originales sin dirección'!V:W,2,FALSE)</f>
        <v>Computers, Office Equipment</v>
      </c>
    </row>
    <row r="84" spans="1:14" x14ac:dyDescent="0.3">
      <c r="A84" s="2" t="s">
        <v>120</v>
      </c>
      <c r="C84">
        <v>-8.3886000000000003</v>
      </c>
      <c r="N84" t="str">
        <f>VLOOKUP(A84,'Originales sin dirección'!V:W,2,FALSE)</f>
        <v>Telecommunications</v>
      </c>
    </row>
    <row r="85" spans="1:14" x14ac:dyDescent="0.3">
      <c r="A85" s="2" t="s">
        <v>254</v>
      </c>
      <c r="F85">
        <v>7.6</v>
      </c>
      <c r="G85">
        <v>8.6</v>
      </c>
      <c r="H85">
        <v>8.1999999999999993</v>
      </c>
      <c r="I85">
        <v>8.1999999999999993</v>
      </c>
      <c r="J85">
        <v>8.1999999999999993</v>
      </c>
      <c r="K85">
        <v>8.1999999999999993</v>
      </c>
      <c r="L85">
        <v>7.7</v>
      </c>
      <c r="M85">
        <v>3.1</v>
      </c>
      <c r="N85" t="str">
        <f>VLOOKUP(A85,'Originales sin dirección'!V:W,2,FALSE)</f>
        <v>Computer Software</v>
      </c>
    </row>
    <row r="86" spans="1:14" x14ac:dyDescent="0.3">
      <c r="A86" s="2" t="s">
        <v>258</v>
      </c>
      <c r="B86">
        <v>8.6</v>
      </c>
      <c r="N86" t="str">
        <f>VLOOKUP(A86,'Originales sin dirección'!V:W,2,FALSE)</f>
        <v>Computer Software</v>
      </c>
    </row>
    <row r="87" spans="1:14" x14ac:dyDescent="0.3">
      <c r="A87" s="2" t="s">
        <v>249</v>
      </c>
      <c r="F87">
        <v>3.4</v>
      </c>
      <c r="G87">
        <v>4.4000000000000004</v>
      </c>
      <c r="H87">
        <v>5.7</v>
      </c>
      <c r="I87">
        <v>5.7</v>
      </c>
      <c r="J87">
        <v>5.7</v>
      </c>
      <c r="K87">
        <v>4</v>
      </c>
      <c r="L87">
        <v>6.1</v>
      </c>
      <c r="M87">
        <v>5.9</v>
      </c>
      <c r="N87" t="str">
        <f>VLOOKUP(A87,'Originales sin dirección'!V:W,2,FALSE)</f>
        <v>Electronics, Electrical Equip.</v>
      </c>
    </row>
    <row r="88" spans="1:14" x14ac:dyDescent="0.3">
      <c r="A88" s="2" t="s">
        <v>223</v>
      </c>
      <c r="B88">
        <v>4.4000000000000004</v>
      </c>
      <c r="C88">
        <v>4.9614000000000003</v>
      </c>
      <c r="D88">
        <v>4.9019000000000004</v>
      </c>
      <c r="N88" t="str">
        <f>VLOOKUP(A88,'Originales sin dirección'!V:W,2,FALSE)</f>
        <v>Electronics, Electrical Equip.</v>
      </c>
    </row>
    <row r="89" spans="1:14" x14ac:dyDescent="0.3">
      <c r="A89" s="2" t="s">
        <v>127</v>
      </c>
      <c r="F89">
        <v>2.1</v>
      </c>
      <c r="G89">
        <v>6</v>
      </c>
      <c r="H89">
        <v>3.9</v>
      </c>
      <c r="I89">
        <v>3.9</v>
      </c>
      <c r="J89">
        <v>3.9</v>
      </c>
      <c r="K89">
        <v>11.4</v>
      </c>
      <c r="L89">
        <v>-3.9</v>
      </c>
      <c r="M89">
        <v>-2.2000000000000002</v>
      </c>
      <c r="N89" t="str">
        <f>VLOOKUP(A89,'Originales sin dirección'!V:W,2,FALSE)</f>
        <v>Telecommunications</v>
      </c>
    </row>
    <row r="90" spans="1:14" x14ac:dyDescent="0.3">
      <c r="A90" s="2" t="s">
        <v>207</v>
      </c>
      <c r="B90">
        <v>6</v>
      </c>
      <c r="D90">
        <v>3.6019000000000001</v>
      </c>
      <c r="N90" t="str">
        <f>VLOOKUP(A90,'Originales sin dirección'!V:W,2,FALSE)</f>
        <v>Telecommunications</v>
      </c>
    </row>
    <row r="91" spans="1:14" x14ac:dyDescent="0.3">
      <c r="A91" s="2" t="s">
        <v>154</v>
      </c>
      <c r="C91">
        <v>-29.568300000000001</v>
      </c>
      <c r="D91">
        <v>0.50190000000000001</v>
      </c>
      <c r="N91" t="str">
        <f>VLOOKUP(A91,'Originales sin dirección'!V:W,2,FALSE)</f>
        <v>Electronics, Electrical Equip.</v>
      </c>
    </row>
    <row r="92" spans="1:14" x14ac:dyDescent="0.3">
      <c r="A92" s="2" t="s">
        <v>241</v>
      </c>
      <c r="C92">
        <v>4.1512000000000002</v>
      </c>
      <c r="D92">
        <v>4.1018999999999997</v>
      </c>
      <c r="N92" t="str">
        <f>VLOOKUP(A92,'Originales sin dirección'!V:W,2,FALSE)</f>
        <v>Electronics, Electrical Equip.</v>
      </c>
    </row>
    <row r="93" spans="1:14" x14ac:dyDescent="0.3">
      <c r="A93" s="2" t="s">
        <v>257</v>
      </c>
      <c r="F93">
        <v>6.2</v>
      </c>
      <c r="N93" t="str">
        <f>VLOOKUP(A93,'Originales sin dirección'!V:W,2,FALSE)</f>
        <v>Electronics, Electrical Equip.</v>
      </c>
    </row>
    <row r="94" spans="1:14" x14ac:dyDescent="0.3">
      <c r="A94" s="2" t="s">
        <v>214</v>
      </c>
      <c r="C94">
        <v>1.87</v>
      </c>
      <c r="D94">
        <v>2.7019000000000002</v>
      </c>
      <c r="N94" t="str">
        <f>VLOOKUP(A94,'Originales sin dirección'!V:W,2,FALSE)</f>
        <v>Electronics, Electrical Equip.</v>
      </c>
    </row>
    <row r="95" spans="1:14" x14ac:dyDescent="0.3">
      <c r="A95" s="2" t="s">
        <v>151</v>
      </c>
      <c r="F95">
        <v>0.8</v>
      </c>
      <c r="G95">
        <v>0.4</v>
      </c>
      <c r="H95">
        <v>4.4000000000000004</v>
      </c>
      <c r="I95">
        <v>4.4000000000000004</v>
      </c>
      <c r="J95">
        <v>4.4000000000000004</v>
      </c>
      <c r="N95" t="str">
        <f>VLOOKUP(A95,'Originales sin dirección'!V:W,2,FALSE)</f>
        <v>Electronics, Electrical Equip.</v>
      </c>
    </row>
    <row r="96" spans="1:14" x14ac:dyDescent="0.3">
      <c r="A96" s="2" t="s">
        <v>177</v>
      </c>
      <c r="B96">
        <v>0.4</v>
      </c>
      <c r="C96">
        <v>0.34289999999999998</v>
      </c>
      <c r="D96">
        <v>-0.90010000000000001</v>
      </c>
      <c r="N96" t="str">
        <f>VLOOKUP(A96,'Originales sin dirección'!V:W,2,FALSE)</f>
        <v>Electronics, Electrical Equip.</v>
      </c>
    </row>
    <row r="97" spans="1:14" x14ac:dyDescent="0.3">
      <c r="A97" s="2" t="s">
        <v>191</v>
      </c>
      <c r="K97">
        <v>4.5999999999999996</v>
      </c>
      <c r="L97">
        <v>3.1</v>
      </c>
      <c r="M97">
        <v>2.9</v>
      </c>
      <c r="N97" t="str">
        <f>VLOOKUP(A97,'Originales sin dirección'!V:W,2,FALSE)</f>
        <v>Electronics, Electrical Equip.</v>
      </c>
    </row>
    <row r="98" spans="1:14" x14ac:dyDescent="0.3">
      <c r="A98" s="2" t="s">
        <v>304</v>
      </c>
      <c r="F98">
        <v>8</v>
      </c>
      <c r="G98">
        <v>8.9</v>
      </c>
      <c r="N98" t="str">
        <f>VLOOKUP(A98,'Originales sin dirección'!V:W,2,FALSE)</f>
        <v>Electronics, Electrical Equip.</v>
      </c>
    </row>
    <row r="99" spans="1:14" x14ac:dyDescent="0.3">
      <c r="A99" s="2" t="s">
        <v>247</v>
      </c>
      <c r="B99">
        <v>8.9</v>
      </c>
      <c r="C99">
        <v>12.1698</v>
      </c>
      <c r="D99">
        <v>13.401899999999999</v>
      </c>
      <c r="N99" t="str">
        <f>VLOOKUP(A99,'Originales sin dirección'!V:W,2,FALSE)</f>
        <v>Electronics, Electrical Equip.</v>
      </c>
    </row>
    <row r="100" spans="1:14" x14ac:dyDescent="0.3">
      <c r="A100" s="2" t="s">
        <v>62</v>
      </c>
      <c r="F100">
        <v>3.3</v>
      </c>
      <c r="G100">
        <v>3.2</v>
      </c>
      <c r="H100">
        <v>3.6</v>
      </c>
      <c r="I100">
        <v>3.6</v>
      </c>
      <c r="J100">
        <v>3.6</v>
      </c>
      <c r="K100">
        <v>-1</v>
      </c>
      <c r="L100">
        <v>3.6</v>
      </c>
      <c r="M100">
        <v>-2.1</v>
      </c>
      <c r="N100" t="str">
        <f>VLOOKUP(A100,'Originales sin dirección'!V:W,2,FALSE)</f>
        <v>Telecommunications</v>
      </c>
    </row>
    <row r="101" spans="1:14" x14ac:dyDescent="0.3">
      <c r="A101" s="2" t="s">
        <v>112</v>
      </c>
      <c r="B101">
        <v>3.2</v>
      </c>
      <c r="C101">
        <v>2.6675</v>
      </c>
      <c r="D101">
        <v>6.6018999999999997</v>
      </c>
      <c r="N101" t="str">
        <f>VLOOKUP(A101,'Originales sin dirección'!V:W,2,FALSE)</f>
        <v>Telecommunications</v>
      </c>
    </row>
    <row r="102" spans="1:14" x14ac:dyDescent="0.3">
      <c r="A102" s="2" t="s">
        <v>269</v>
      </c>
      <c r="G102">
        <v>10.9</v>
      </c>
      <c r="H102">
        <v>11.3</v>
      </c>
      <c r="I102">
        <v>11.3</v>
      </c>
      <c r="J102">
        <v>11.3</v>
      </c>
      <c r="K102">
        <v>11.3</v>
      </c>
      <c r="L102">
        <v>13.7</v>
      </c>
      <c r="M102">
        <v>12.2</v>
      </c>
      <c r="N102" t="str">
        <f>VLOOKUP(A102,'Originales sin dirección'!V:W,2,FALSE)</f>
        <v>Internet Services and Retailing</v>
      </c>
    </row>
    <row r="103" spans="1:14" x14ac:dyDescent="0.3">
      <c r="A103" s="2" t="s">
        <v>280</v>
      </c>
      <c r="B103">
        <v>10.9</v>
      </c>
      <c r="N103" t="str">
        <f>VLOOKUP(A103,'Originales sin dirección'!V:W,2,FALSE)</f>
        <v>Internet Services and Retailing</v>
      </c>
    </row>
    <row r="104" spans="1:14" x14ac:dyDescent="0.3">
      <c r="A104" s="2" t="s">
        <v>289</v>
      </c>
      <c r="F104">
        <v>2.2999999999999998</v>
      </c>
      <c r="G104">
        <v>2</v>
      </c>
      <c r="H104">
        <v>3</v>
      </c>
      <c r="I104">
        <v>3</v>
      </c>
      <c r="J104">
        <v>3</v>
      </c>
      <c r="K104">
        <v>1.4</v>
      </c>
      <c r="L104">
        <v>7.7</v>
      </c>
      <c r="M104">
        <v>1.8</v>
      </c>
      <c r="N104" t="str">
        <f>VLOOKUP(A104,'Originales sin dirección'!V:W,2,FALSE)</f>
        <v>Telecommunications</v>
      </c>
    </row>
    <row r="105" spans="1:14" x14ac:dyDescent="0.3">
      <c r="A105" s="2" t="s">
        <v>238</v>
      </c>
      <c r="B105">
        <v>2</v>
      </c>
      <c r="C105">
        <v>2.9508999999999999</v>
      </c>
      <c r="D105">
        <v>3.7019000000000002</v>
      </c>
      <c r="N105" t="str">
        <f>VLOOKUP(A105,'Originales sin dirección'!V:W,2,FALSE)</f>
        <v>Telecommunications</v>
      </c>
    </row>
    <row r="106" spans="1:14" x14ac:dyDescent="0.3">
      <c r="A106" s="2" t="s">
        <v>145</v>
      </c>
      <c r="F106">
        <v>-0.1</v>
      </c>
      <c r="G106">
        <v>2.7</v>
      </c>
      <c r="N106" t="str">
        <f>VLOOKUP(A106,'Originales sin dirección'!V:W,2,FALSE)</f>
        <v>Telecommunications</v>
      </c>
    </row>
    <row r="107" spans="1:14" x14ac:dyDescent="0.3">
      <c r="A107" s="2" t="s">
        <v>156</v>
      </c>
      <c r="B107">
        <v>2.7</v>
      </c>
      <c r="C107">
        <v>-2.0451999999999999</v>
      </c>
      <c r="D107">
        <v>-0.90010000000000001</v>
      </c>
      <c r="N107" t="str">
        <f>VLOOKUP(A107,'Originales sin dirección'!V:W,2,FALSE)</f>
        <v>Telecommunications</v>
      </c>
    </row>
    <row r="108" spans="1:14" x14ac:dyDescent="0.3">
      <c r="A108" s="2" t="s">
        <v>305</v>
      </c>
      <c r="F108">
        <v>11.3</v>
      </c>
      <c r="N108" t="str">
        <f>VLOOKUP(A108,'Originales sin dirección'!V:W,2,FALSE)</f>
        <v>Telecommunications</v>
      </c>
    </row>
    <row r="109" spans="1:14" x14ac:dyDescent="0.3">
      <c r="A109" s="2" t="s">
        <v>217</v>
      </c>
      <c r="C109">
        <v>8.67</v>
      </c>
      <c r="D109">
        <v>11.101900000000001</v>
      </c>
      <c r="N109" t="str">
        <f>VLOOKUP(A109,'Originales sin dirección'!V:W,2,FALSE)</f>
        <v>Telecommunications</v>
      </c>
    </row>
    <row r="110" spans="1:14" x14ac:dyDescent="0.3">
      <c r="A110" s="2" t="s">
        <v>175</v>
      </c>
      <c r="C110">
        <v>1.4372</v>
      </c>
      <c r="D110">
        <v>0.80189999999999995</v>
      </c>
      <c r="N110" t="str">
        <f>VLOOKUP(A110,'Originales sin dirección'!V:W,2,FALSE)</f>
        <v>Electronics, Electrical Equip.</v>
      </c>
    </row>
    <row r="111" spans="1:14" x14ac:dyDescent="0.3">
      <c r="A111" s="2" t="s">
        <v>133</v>
      </c>
      <c r="F111">
        <v>-7.9</v>
      </c>
      <c r="H111">
        <v>23.5</v>
      </c>
      <c r="I111">
        <v>23.5</v>
      </c>
      <c r="J111">
        <v>23.5</v>
      </c>
      <c r="K111">
        <v>3.4</v>
      </c>
      <c r="L111">
        <v>5.6</v>
      </c>
      <c r="N111" t="str">
        <f>VLOOKUP(A111,'Originales sin dirección'!V:W,2,FALSE)</f>
        <v>Electronics, Electrical Equip.</v>
      </c>
    </row>
    <row r="112" spans="1:14" x14ac:dyDescent="0.3">
      <c r="A112" s="2" t="s">
        <v>117</v>
      </c>
      <c r="M112">
        <v>-28.5</v>
      </c>
      <c r="N112" t="str">
        <f>VLOOKUP(A112,'Originales sin dirección'!V:W,2,FALSE)</f>
        <v>Internet Services and Retailing</v>
      </c>
    </row>
    <row r="113" spans="1:14" x14ac:dyDescent="0.3">
      <c r="A113" s="2" t="s">
        <v>229</v>
      </c>
      <c r="C113">
        <v>0.26869999999999999</v>
      </c>
      <c r="D113">
        <v>3.9018999999999999</v>
      </c>
      <c r="N113" t="str">
        <f>VLOOKUP(A113,'Originales sin dirección'!V:W,2,FALSE)</f>
        <v>Telecommunications</v>
      </c>
    </row>
    <row r="114" spans="1:14" x14ac:dyDescent="0.3">
      <c r="A114" s="2" t="s">
        <v>136</v>
      </c>
      <c r="F114">
        <v>-3.2</v>
      </c>
      <c r="G114">
        <v>-4.2</v>
      </c>
      <c r="H114">
        <v>-5.8</v>
      </c>
      <c r="I114">
        <v>-5.8</v>
      </c>
      <c r="J114">
        <v>-5.8</v>
      </c>
      <c r="K114">
        <v>0.1</v>
      </c>
      <c r="L114">
        <v>1.4</v>
      </c>
      <c r="M114">
        <v>7.3</v>
      </c>
      <c r="N114" t="str">
        <f>VLOOKUP(A114,'Originales sin dirección'!V:W,2,FALSE)</f>
        <v>Telecommunications</v>
      </c>
    </row>
    <row r="115" spans="1:14" x14ac:dyDescent="0.3">
      <c r="A115" s="2" t="s">
        <v>181</v>
      </c>
      <c r="B115">
        <v>-4.2</v>
      </c>
      <c r="C115">
        <v>0.31269999999999998</v>
      </c>
      <c r="D115">
        <v>46.301900000000003</v>
      </c>
      <c r="N115" t="str">
        <f>VLOOKUP(A115,'Originales sin dirección'!V:W,2,FALSE)</f>
        <v>Telecommunications</v>
      </c>
    </row>
    <row r="116" spans="1:14" x14ac:dyDescent="0.3">
      <c r="A116" s="2" t="s">
        <v>74</v>
      </c>
      <c r="F116">
        <v>7.3</v>
      </c>
      <c r="G116">
        <v>5.4</v>
      </c>
      <c r="H116">
        <v>5.9</v>
      </c>
      <c r="I116">
        <v>5.9</v>
      </c>
      <c r="J116">
        <v>5.9</v>
      </c>
      <c r="K116">
        <v>5.6</v>
      </c>
      <c r="L116">
        <v>6</v>
      </c>
      <c r="M116">
        <v>5.6</v>
      </c>
      <c r="N116" t="str">
        <f>VLOOKUP(A116,'Originales sin dirección'!V:W,2,FALSE)</f>
        <v>Telecommunications</v>
      </c>
    </row>
    <row r="117" spans="1:14" x14ac:dyDescent="0.3">
      <c r="A117" s="2" t="s">
        <v>76</v>
      </c>
      <c r="B117">
        <v>5.4</v>
      </c>
      <c r="C117">
        <v>0.38850000000000001</v>
      </c>
      <c r="D117">
        <v>4.2019000000000002</v>
      </c>
      <c r="N117" t="str">
        <f>VLOOKUP(A117,'Originales sin dirección'!V:W,2,FALSE)</f>
        <v>Telecommunications</v>
      </c>
    </row>
    <row r="118" spans="1:14" x14ac:dyDescent="0.3">
      <c r="A118" s="2" t="s">
        <v>276</v>
      </c>
      <c r="K118">
        <v>7.6</v>
      </c>
      <c r="N118" t="str">
        <f>VLOOKUP(A118,'Originales sin dirección'!V:W,2,FALSE)</f>
        <v>Internet Services and Retailing</v>
      </c>
    </row>
    <row r="119" spans="1:14" x14ac:dyDescent="0.3">
      <c r="A119" s="2" t="s">
        <v>139</v>
      </c>
      <c r="H119">
        <v>9.6999999999999993</v>
      </c>
      <c r="I119">
        <v>9.6999999999999993</v>
      </c>
      <c r="J119">
        <v>9.6999999999999993</v>
      </c>
      <c r="L119">
        <v>6.5</v>
      </c>
      <c r="M119">
        <v>0.9</v>
      </c>
      <c r="N119" t="str">
        <f>VLOOKUP(A119,'Originales sin dirección'!V:W,2,FALSE)</f>
        <v>Internet Services and Retailing</v>
      </c>
    </row>
    <row r="120" spans="1:14" x14ac:dyDescent="0.3">
      <c r="A120" t="s">
        <v>278</v>
      </c>
      <c r="G120">
        <v>13.2</v>
      </c>
      <c r="N120" t="s">
        <v>347</v>
      </c>
    </row>
    <row r="121" spans="1:14" x14ac:dyDescent="0.3">
      <c r="A121" t="s">
        <v>282</v>
      </c>
      <c r="B121">
        <v>13.2</v>
      </c>
      <c r="N121" t="s">
        <v>347</v>
      </c>
    </row>
    <row r="122" spans="1:14" x14ac:dyDescent="0.3">
      <c r="A122" t="s">
        <v>645</v>
      </c>
      <c r="D122">
        <v>3.6019000000000001</v>
      </c>
      <c r="N122" t="s">
        <v>347</v>
      </c>
    </row>
    <row r="123" spans="1:14" x14ac:dyDescent="0.3">
      <c r="A123" t="s">
        <v>622</v>
      </c>
      <c r="F123">
        <v>3.2</v>
      </c>
      <c r="G123">
        <v>3.9</v>
      </c>
      <c r="H123">
        <v>2.9</v>
      </c>
      <c r="I123">
        <v>2.9</v>
      </c>
      <c r="J123">
        <v>2.9</v>
      </c>
      <c r="K123">
        <v>2.7</v>
      </c>
      <c r="L123">
        <v>3.6</v>
      </c>
      <c r="M123">
        <v>0.9</v>
      </c>
      <c r="N123" t="s">
        <v>347</v>
      </c>
    </row>
    <row r="124" spans="1:14" x14ac:dyDescent="0.3">
      <c r="A124" t="s">
        <v>652</v>
      </c>
      <c r="B124">
        <v>3.9</v>
      </c>
      <c r="N124" t="s">
        <v>347</v>
      </c>
    </row>
    <row r="125" spans="1:14" x14ac:dyDescent="0.3">
      <c r="A125" t="s">
        <v>604</v>
      </c>
      <c r="F125">
        <v>3.8</v>
      </c>
      <c r="N125" t="s">
        <v>347</v>
      </c>
    </row>
    <row r="126" spans="1:14" x14ac:dyDescent="0.3">
      <c r="A126" t="s">
        <v>559</v>
      </c>
      <c r="C126">
        <v>3.7679999999999998</v>
      </c>
      <c r="D126">
        <v>3.7019000000000002</v>
      </c>
      <c r="N126" t="s">
        <v>347</v>
      </c>
    </row>
    <row r="127" spans="1:14" x14ac:dyDescent="0.3">
      <c r="A127" t="s">
        <v>594</v>
      </c>
      <c r="G127">
        <v>3.8</v>
      </c>
      <c r="H127">
        <v>3.5</v>
      </c>
      <c r="I127">
        <v>3.5</v>
      </c>
      <c r="J127">
        <v>3.5</v>
      </c>
      <c r="K127">
        <v>1.6</v>
      </c>
      <c r="L127">
        <v>5.6</v>
      </c>
      <c r="M127">
        <v>7.2</v>
      </c>
      <c r="N127" t="s">
        <v>347</v>
      </c>
    </row>
    <row r="128" spans="1:14" x14ac:dyDescent="0.3">
      <c r="A128" t="s">
        <v>609</v>
      </c>
      <c r="B128">
        <v>3.8</v>
      </c>
      <c r="N128" t="s">
        <v>347</v>
      </c>
    </row>
    <row r="129" spans="1:14" x14ac:dyDescent="0.3">
      <c r="A129" t="s">
        <v>441</v>
      </c>
      <c r="F129">
        <v>7.4</v>
      </c>
      <c r="G129">
        <v>7.7</v>
      </c>
      <c r="H129">
        <v>7.5</v>
      </c>
      <c r="I129">
        <v>7.5</v>
      </c>
      <c r="J129">
        <v>7.5</v>
      </c>
      <c r="K129">
        <v>-0.5</v>
      </c>
      <c r="L129">
        <v>9</v>
      </c>
      <c r="M129">
        <v>6.1</v>
      </c>
      <c r="N129" t="s">
        <v>347</v>
      </c>
    </row>
    <row r="130" spans="1:14" x14ac:dyDescent="0.3">
      <c r="A130" t="s">
        <v>491</v>
      </c>
      <c r="B130">
        <v>7.7</v>
      </c>
      <c r="C130">
        <v>6.1167999999999996</v>
      </c>
      <c r="D130">
        <v>6.1018999999999997</v>
      </c>
      <c r="N130" t="s">
        <v>347</v>
      </c>
    </row>
    <row r="131" spans="1:14" x14ac:dyDescent="0.3">
      <c r="A131" t="s">
        <v>614</v>
      </c>
      <c r="L131">
        <v>1</v>
      </c>
      <c r="M131">
        <v>3.5</v>
      </c>
      <c r="N131" t="s">
        <v>347</v>
      </c>
    </row>
    <row r="132" spans="1:14" x14ac:dyDescent="0.3">
      <c r="A132" t="s">
        <v>419</v>
      </c>
      <c r="F132">
        <v>8.5</v>
      </c>
      <c r="G132">
        <v>8.1</v>
      </c>
      <c r="H132">
        <v>7.4</v>
      </c>
      <c r="I132">
        <v>7.4</v>
      </c>
      <c r="J132">
        <v>7.4</v>
      </c>
      <c r="K132">
        <v>-2.2999999999999998</v>
      </c>
      <c r="L132">
        <v>4.2</v>
      </c>
      <c r="M132">
        <v>0.2</v>
      </c>
      <c r="N132" t="s">
        <v>347</v>
      </c>
    </row>
    <row r="133" spans="1:14" x14ac:dyDescent="0.3">
      <c r="A133" t="s">
        <v>524</v>
      </c>
      <c r="B133">
        <v>8.1</v>
      </c>
      <c r="C133">
        <v>6.7168999999999999</v>
      </c>
      <c r="D133">
        <v>6.9019000000000004</v>
      </c>
      <c r="N133" t="s">
        <v>347</v>
      </c>
    </row>
    <row r="134" spans="1:14" x14ac:dyDescent="0.3">
      <c r="A134" t="s">
        <v>567</v>
      </c>
      <c r="C134">
        <v>3.6459000000000001</v>
      </c>
      <c r="N134" t="s">
        <v>347</v>
      </c>
    </row>
    <row r="135" spans="1:14" x14ac:dyDescent="0.3">
      <c r="A135" t="s">
        <v>603</v>
      </c>
      <c r="F135">
        <v>4</v>
      </c>
      <c r="G135">
        <v>3.7</v>
      </c>
      <c r="N135" t="s">
        <v>347</v>
      </c>
    </row>
    <row r="136" spans="1:14" x14ac:dyDescent="0.3">
      <c r="A136" t="s">
        <v>607</v>
      </c>
      <c r="B136">
        <v>3.7</v>
      </c>
      <c r="D136">
        <v>3.9018999999999999</v>
      </c>
      <c r="N136" t="s">
        <v>347</v>
      </c>
    </row>
    <row r="137" spans="1:14" x14ac:dyDescent="0.3">
      <c r="A137" t="s">
        <v>601</v>
      </c>
      <c r="H137">
        <v>2.7</v>
      </c>
      <c r="I137">
        <v>2.7</v>
      </c>
      <c r="J137">
        <v>2.7</v>
      </c>
      <c r="K137">
        <v>1.2</v>
      </c>
      <c r="L137">
        <v>9.1999999999999993</v>
      </c>
      <c r="N137" t="s">
        <v>347</v>
      </c>
    </row>
    <row r="138" spans="1:14" x14ac:dyDescent="0.3">
      <c r="A138" t="s">
        <v>627</v>
      </c>
      <c r="F138">
        <v>4.5</v>
      </c>
      <c r="G138">
        <v>5.0999999999999996</v>
      </c>
      <c r="H138">
        <v>4.4000000000000004</v>
      </c>
      <c r="I138">
        <v>4.4000000000000004</v>
      </c>
      <c r="J138">
        <v>4.4000000000000004</v>
      </c>
      <c r="K138">
        <v>1.9</v>
      </c>
      <c r="L138">
        <v>3.8</v>
      </c>
      <c r="M138">
        <v>4.2</v>
      </c>
      <c r="N138" t="s">
        <v>347</v>
      </c>
    </row>
    <row r="139" spans="1:14" x14ac:dyDescent="0.3">
      <c r="A139" t="s">
        <v>531</v>
      </c>
      <c r="B139">
        <v>5.0999999999999996</v>
      </c>
      <c r="C139">
        <v>5.1684999999999999</v>
      </c>
      <c r="D139">
        <v>6.6018999999999997</v>
      </c>
      <c r="N139" t="s">
        <v>347</v>
      </c>
    </row>
    <row r="140" spans="1:14" x14ac:dyDescent="0.3">
      <c r="A140" t="s">
        <v>399</v>
      </c>
      <c r="M140">
        <v>4.0999999999999996</v>
      </c>
      <c r="N140" t="s">
        <v>347</v>
      </c>
    </row>
    <row r="141" spans="1:14" x14ac:dyDescent="0.3">
      <c r="A141" t="s">
        <v>684</v>
      </c>
      <c r="D141">
        <v>1.5019</v>
      </c>
      <c r="N141" t="s">
        <v>347</v>
      </c>
    </row>
    <row r="142" spans="1:14" x14ac:dyDescent="0.3">
      <c r="A142" t="s">
        <v>368</v>
      </c>
      <c r="F142">
        <v>3.3</v>
      </c>
      <c r="G142">
        <v>1.9</v>
      </c>
      <c r="H142">
        <v>1.4</v>
      </c>
      <c r="I142">
        <v>1.4</v>
      </c>
      <c r="J142">
        <v>1.4</v>
      </c>
      <c r="K142">
        <v>-0.5</v>
      </c>
      <c r="L142">
        <v>7</v>
      </c>
      <c r="M142">
        <v>-0.8</v>
      </c>
      <c r="N142" t="s">
        <v>347</v>
      </c>
    </row>
    <row r="143" spans="1:14" x14ac:dyDescent="0.3">
      <c r="A143" t="s">
        <v>374</v>
      </c>
      <c r="B143">
        <v>1.9</v>
      </c>
      <c r="C143">
        <v>2.9729000000000001</v>
      </c>
      <c r="D143">
        <v>3.5019</v>
      </c>
      <c r="N143" t="s">
        <v>347</v>
      </c>
    </row>
    <row r="144" spans="1:14" x14ac:dyDescent="0.3">
      <c r="A144" t="s">
        <v>479</v>
      </c>
      <c r="F144">
        <v>15.8</v>
      </c>
      <c r="G144">
        <v>10.5</v>
      </c>
      <c r="H144">
        <v>4.9000000000000004</v>
      </c>
      <c r="I144">
        <v>4.9000000000000004</v>
      </c>
      <c r="J144">
        <v>4.9000000000000004</v>
      </c>
      <c r="K144">
        <v>2.2999999999999998</v>
      </c>
      <c r="N144" t="s">
        <v>347</v>
      </c>
    </row>
    <row r="145" spans="1:14" x14ac:dyDescent="0.3">
      <c r="A145" t="s">
        <v>489</v>
      </c>
      <c r="B145">
        <v>10.5</v>
      </c>
      <c r="D145">
        <v>11.2019</v>
      </c>
      <c r="N145" t="s">
        <v>347</v>
      </c>
    </row>
    <row r="146" spans="1:14" x14ac:dyDescent="0.3">
      <c r="A146" t="s">
        <v>350</v>
      </c>
      <c r="F146">
        <v>5</v>
      </c>
      <c r="G146">
        <v>4.3</v>
      </c>
      <c r="H146">
        <v>3.5</v>
      </c>
      <c r="I146">
        <v>3.5</v>
      </c>
      <c r="J146">
        <v>3.5</v>
      </c>
      <c r="K146">
        <v>2.7</v>
      </c>
      <c r="L146">
        <v>4.0999999999999996</v>
      </c>
      <c r="M146">
        <v>3.8</v>
      </c>
      <c r="N146" t="s">
        <v>347</v>
      </c>
    </row>
    <row r="147" spans="1:14" x14ac:dyDescent="0.3">
      <c r="A147" t="s">
        <v>355</v>
      </c>
      <c r="B147">
        <v>4.3</v>
      </c>
      <c r="C147">
        <v>4.1413000000000002</v>
      </c>
      <c r="D147">
        <v>3.2019000000000002</v>
      </c>
      <c r="N147" t="s">
        <v>347</v>
      </c>
    </row>
    <row r="148" spans="1:14" x14ac:dyDescent="0.3">
      <c r="A148" t="s">
        <v>473</v>
      </c>
      <c r="F148">
        <v>1.8</v>
      </c>
      <c r="G148">
        <v>3.3</v>
      </c>
      <c r="H148">
        <v>3</v>
      </c>
      <c r="I148">
        <v>3</v>
      </c>
      <c r="J148">
        <v>3</v>
      </c>
      <c r="K148">
        <v>3.1</v>
      </c>
      <c r="L148">
        <v>3.2</v>
      </c>
      <c r="M148">
        <v>2.6</v>
      </c>
      <c r="N148" t="s">
        <v>347</v>
      </c>
    </row>
    <row r="149" spans="1:14" x14ac:dyDescent="0.3">
      <c r="A149" t="s">
        <v>493</v>
      </c>
      <c r="B149">
        <v>3.3</v>
      </c>
      <c r="C149">
        <v>3.048</v>
      </c>
      <c r="D149">
        <v>3.8018999999999998</v>
      </c>
      <c r="N149" t="s">
        <v>347</v>
      </c>
    </row>
    <row r="150" spans="1:14" x14ac:dyDescent="0.3">
      <c r="A150" t="s">
        <v>660</v>
      </c>
      <c r="F150">
        <v>4</v>
      </c>
      <c r="G150">
        <v>3.1</v>
      </c>
      <c r="H150">
        <v>0.8</v>
      </c>
      <c r="I150">
        <v>0.8</v>
      </c>
      <c r="J150">
        <v>0.8</v>
      </c>
      <c r="K150">
        <v>0.6</v>
      </c>
      <c r="L150">
        <v>2.2000000000000002</v>
      </c>
      <c r="M150">
        <v>2.8</v>
      </c>
      <c r="N150" t="s">
        <v>347</v>
      </c>
    </row>
    <row r="151" spans="1:14" x14ac:dyDescent="0.3">
      <c r="A151" t="s">
        <v>552</v>
      </c>
      <c r="B151">
        <v>3.1</v>
      </c>
      <c r="C151">
        <v>6.6952999999999996</v>
      </c>
      <c r="D151">
        <v>6.2019000000000002</v>
      </c>
      <c r="N151" t="s">
        <v>347</v>
      </c>
    </row>
    <row r="152" spans="1:14" x14ac:dyDescent="0.3">
      <c r="A152" t="s">
        <v>382</v>
      </c>
      <c r="F152">
        <v>5.3</v>
      </c>
      <c r="N152" t="s">
        <v>347</v>
      </c>
    </row>
    <row r="153" spans="1:14" x14ac:dyDescent="0.3">
      <c r="A153" t="s">
        <v>388</v>
      </c>
      <c r="C153">
        <v>3.9697</v>
      </c>
      <c r="D153">
        <v>3.7019000000000002</v>
      </c>
      <c r="N153" t="s">
        <v>347</v>
      </c>
    </row>
    <row r="154" spans="1:14" x14ac:dyDescent="0.3">
      <c r="A154" t="s">
        <v>426</v>
      </c>
      <c r="G154">
        <v>3.5</v>
      </c>
      <c r="H154">
        <v>2</v>
      </c>
      <c r="I154">
        <v>2</v>
      </c>
      <c r="J154">
        <v>2</v>
      </c>
      <c r="K154">
        <v>-0.4</v>
      </c>
      <c r="L154">
        <v>2.1</v>
      </c>
      <c r="M154">
        <v>0.4</v>
      </c>
      <c r="N154" t="s">
        <v>347</v>
      </c>
    </row>
    <row r="155" spans="1:14" x14ac:dyDescent="0.3">
      <c r="A155" t="s">
        <v>617</v>
      </c>
      <c r="B155">
        <v>3.5</v>
      </c>
      <c r="N155" t="s">
        <v>347</v>
      </c>
    </row>
    <row r="156" spans="1:14" x14ac:dyDescent="0.3">
      <c r="A156" t="s">
        <v>597</v>
      </c>
      <c r="M156">
        <v>5.5</v>
      </c>
      <c r="N156" t="s">
        <v>347</v>
      </c>
    </row>
    <row r="157" spans="1:14" x14ac:dyDescent="0.3">
      <c r="A157" t="s">
        <v>655</v>
      </c>
      <c r="F157">
        <v>10.199999999999999</v>
      </c>
      <c r="G157">
        <v>9</v>
      </c>
      <c r="H157">
        <v>8.8000000000000007</v>
      </c>
      <c r="I157">
        <v>8.8000000000000007</v>
      </c>
      <c r="J157">
        <v>8.8000000000000007</v>
      </c>
      <c r="K157">
        <v>2.6</v>
      </c>
      <c r="L157">
        <v>5.2</v>
      </c>
      <c r="M157">
        <v>2.1</v>
      </c>
      <c r="N157" t="s">
        <v>347</v>
      </c>
    </row>
    <row r="158" spans="1:14" x14ac:dyDescent="0.3">
      <c r="A158" t="s">
        <v>511</v>
      </c>
      <c r="B158">
        <v>9</v>
      </c>
      <c r="C158">
        <v>8.3757000000000001</v>
      </c>
      <c r="D158">
        <v>8.7019000000000002</v>
      </c>
      <c r="N158" t="s">
        <v>347</v>
      </c>
    </row>
    <row r="159" spans="1:14" x14ac:dyDescent="0.3">
      <c r="A159" t="s">
        <v>503</v>
      </c>
      <c r="C159">
        <v>7.0921000000000003</v>
      </c>
      <c r="N159" t="s">
        <v>347</v>
      </c>
    </row>
    <row r="160" spans="1:14" x14ac:dyDescent="0.3">
      <c r="A160" t="s">
        <v>581</v>
      </c>
      <c r="F160">
        <v>5</v>
      </c>
      <c r="G160">
        <v>6.9</v>
      </c>
      <c r="H160">
        <v>5.9</v>
      </c>
      <c r="I160">
        <v>5.9</v>
      </c>
      <c r="J160">
        <v>5.9</v>
      </c>
      <c r="N160" t="s">
        <v>347</v>
      </c>
    </row>
    <row r="161" spans="1:14" x14ac:dyDescent="0.3">
      <c r="A161" t="s">
        <v>589</v>
      </c>
      <c r="B161">
        <v>6.9</v>
      </c>
      <c r="D161">
        <v>5.3018999999999998</v>
      </c>
      <c r="N161" t="s">
        <v>347</v>
      </c>
    </row>
    <row r="162" spans="1:14" x14ac:dyDescent="0.3">
      <c r="A162" t="s">
        <v>639</v>
      </c>
      <c r="F162">
        <v>4.9000000000000004</v>
      </c>
      <c r="G162">
        <v>3.8</v>
      </c>
      <c r="H162">
        <v>2.2000000000000002</v>
      </c>
      <c r="I162">
        <v>2.2000000000000002</v>
      </c>
      <c r="J162">
        <v>2.2000000000000002</v>
      </c>
      <c r="K162">
        <v>-1.1000000000000001</v>
      </c>
      <c r="N162" t="s">
        <v>347</v>
      </c>
    </row>
    <row r="163" spans="1:14" x14ac:dyDescent="0.3">
      <c r="A163" t="s">
        <v>465</v>
      </c>
      <c r="B163">
        <v>3.8</v>
      </c>
      <c r="C163">
        <v>1.9625999999999999</v>
      </c>
      <c r="D163">
        <v>6.2019000000000002</v>
      </c>
      <c r="N163" t="s">
        <v>347</v>
      </c>
    </row>
    <row r="164" spans="1:14" x14ac:dyDescent="0.3">
      <c r="A164" t="s">
        <v>434</v>
      </c>
      <c r="F164">
        <v>2.8</v>
      </c>
      <c r="G164">
        <v>3.7</v>
      </c>
      <c r="H164">
        <v>1.7</v>
      </c>
      <c r="I164">
        <v>1.7</v>
      </c>
      <c r="J164">
        <v>1.7</v>
      </c>
      <c r="K164">
        <v>-2.8</v>
      </c>
      <c r="L164">
        <v>1.4</v>
      </c>
      <c r="M164">
        <v>1.2</v>
      </c>
      <c r="N164" t="s">
        <v>347</v>
      </c>
    </row>
    <row r="165" spans="1:14" x14ac:dyDescent="0.3">
      <c r="A165" t="s">
        <v>562</v>
      </c>
      <c r="B165">
        <v>3.7</v>
      </c>
      <c r="C165">
        <v>3.0272000000000001</v>
      </c>
      <c r="D165">
        <v>2.7019000000000002</v>
      </c>
      <c r="N165" t="s">
        <v>347</v>
      </c>
    </row>
    <row r="166" spans="1:14" x14ac:dyDescent="0.3">
      <c r="A166" t="s">
        <v>545</v>
      </c>
      <c r="C166">
        <v>-7.5317999999999996</v>
      </c>
      <c r="N166" t="s">
        <v>347</v>
      </c>
    </row>
    <row r="167" spans="1:14" x14ac:dyDescent="0.3">
      <c r="A167" t="s">
        <v>456</v>
      </c>
      <c r="F167">
        <v>1.9</v>
      </c>
      <c r="G167">
        <v>4</v>
      </c>
      <c r="H167">
        <v>4.7</v>
      </c>
      <c r="I167">
        <v>4.7</v>
      </c>
      <c r="J167">
        <v>4.7</v>
      </c>
      <c r="N167" t="s">
        <v>347</v>
      </c>
    </row>
    <row r="168" spans="1:14" x14ac:dyDescent="0.3">
      <c r="A168" t="s">
        <v>459</v>
      </c>
      <c r="B168">
        <v>4</v>
      </c>
      <c r="D168">
        <v>-3.7000999999999999</v>
      </c>
      <c r="N168" t="s">
        <v>347</v>
      </c>
    </row>
    <row r="169" spans="1:14" x14ac:dyDescent="0.3">
      <c r="A169" t="s">
        <v>413</v>
      </c>
      <c r="F169">
        <v>3.2</v>
      </c>
      <c r="G169">
        <v>3.5</v>
      </c>
      <c r="H169">
        <v>3</v>
      </c>
      <c r="I169">
        <v>3</v>
      </c>
      <c r="J169">
        <v>3</v>
      </c>
      <c r="K169">
        <v>-6.4</v>
      </c>
      <c r="L169">
        <v>0.8</v>
      </c>
      <c r="M169">
        <v>-0.3</v>
      </c>
      <c r="N169" t="s">
        <v>347</v>
      </c>
    </row>
    <row r="170" spans="1:14" x14ac:dyDescent="0.3">
      <c r="A170" t="s">
        <v>590</v>
      </c>
      <c r="B170">
        <v>3.5</v>
      </c>
      <c r="N170" t="s">
        <v>347</v>
      </c>
    </row>
    <row r="171" spans="1:14" x14ac:dyDescent="0.3">
      <c r="A171" t="s">
        <v>542</v>
      </c>
      <c r="C171">
        <v>2.2907000000000002</v>
      </c>
      <c r="D171">
        <v>0.80189999999999995</v>
      </c>
      <c r="N171" t="s">
        <v>347</v>
      </c>
    </row>
    <row r="172" spans="1:14" x14ac:dyDescent="0.3">
      <c r="A172" t="s">
        <v>636</v>
      </c>
      <c r="F172">
        <v>3.1</v>
      </c>
      <c r="G172">
        <v>3.8</v>
      </c>
      <c r="H172">
        <v>3.9</v>
      </c>
      <c r="I172">
        <v>3.9</v>
      </c>
      <c r="J172">
        <v>3.9</v>
      </c>
      <c r="K172">
        <v>1.7</v>
      </c>
      <c r="L172">
        <v>2.7</v>
      </c>
      <c r="N172" t="s">
        <v>347</v>
      </c>
    </row>
    <row r="173" spans="1:14" x14ac:dyDescent="0.3">
      <c r="A173" t="s">
        <v>214</v>
      </c>
      <c r="B173">
        <v>3.8</v>
      </c>
      <c r="N173" t="s">
        <v>347</v>
      </c>
    </row>
    <row r="174" spans="1:14" x14ac:dyDescent="0.3">
      <c r="A174" t="s">
        <v>666</v>
      </c>
      <c r="L174">
        <v>8.6</v>
      </c>
      <c r="M174">
        <v>8.9</v>
      </c>
      <c r="N174" t="s">
        <v>347</v>
      </c>
    </row>
    <row r="175" spans="1:14" x14ac:dyDescent="0.3">
      <c r="A175" t="s">
        <v>518</v>
      </c>
      <c r="C175">
        <v>3.6579999999999999</v>
      </c>
      <c r="N175" t="s">
        <v>347</v>
      </c>
    </row>
    <row r="176" spans="1:14" x14ac:dyDescent="0.3">
      <c r="A176" t="s">
        <v>625</v>
      </c>
      <c r="F176">
        <v>4</v>
      </c>
      <c r="G176">
        <v>5.3</v>
      </c>
      <c r="H176">
        <v>5.2</v>
      </c>
      <c r="I176">
        <v>5.2</v>
      </c>
      <c r="J176">
        <v>5.2</v>
      </c>
      <c r="K176">
        <v>3.8</v>
      </c>
      <c r="L176">
        <v>4.2</v>
      </c>
      <c r="M176">
        <v>4.7</v>
      </c>
      <c r="N176" t="s">
        <v>347</v>
      </c>
    </row>
    <row r="177" spans="1:14" x14ac:dyDescent="0.3">
      <c r="A177" t="s">
        <v>647</v>
      </c>
      <c r="B177">
        <v>5.3</v>
      </c>
      <c r="D177">
        <v>3.8018999999999998</v>
      </c>
      <c r="N177" t="s">
        <v>347</v>
      </c>
    </row>
    <row r="178" spans="1:14" x14ac:dyDescent="0.3">
      <c r="A178" t="s">
        <v>630</v>
      </c>
      <c r="F178">
        <v>4.5999999999999996</v>
      </c>
      <c r="G178">
        <v>3.9</v>
      </c>
      <c r="H178">
        <v>3.6</v>
      </c>
      <c r="I178">
        <v>3.6</v>
      </c>
      <c r="J178">
        <v>3.6</v>
      </c>
      <c r="K178">
        <v>3.8</v>
      </c>
      <c r="L178">
        <v>4.5999999999999996</v>
      </c>
      <c r="M178">
        <v>3.2</v>
      </c>
      <c r="N178" t="s">
        <v>347</v>
      </c>
    </row>
    <row r="179" spans="1:14" x14ac:dyDescent="0.3">
      <c r="A179" t="s">
        <v>577</v>
      </c>
      <c r="B179">
        <v>3.9</v>
      </c>
      <c r="C179">
        <v>3.0693999999999999</v>
      </c>
      <c r="D179">
        <v>4.5019</v>
      </c>
      <c r="N179" t="s">
        <v>347</v>
      </c>
    </row>
    <row r="180" spans="1:14" x14ac:dyDescent="0.3">
      <c r="A180" t="s">
        <v>362</v>
      </c>
      <c r="K180">
        <v>1.4</v>
      </c>
      <c r="L180">
        <v>8.9</v>
      </c>
      <c r="M180">
        <v>15.2</v>
      </c>
      <c r="N180" t="s">
        <v>347</v>
      </c>
    </row>
    <row r="181" spans="1:14" x14ac:dyDescent="0.3">
      <c r="A181" t="s">
        <v>406</v>
      </c>
      <c r="F181">
        <v>4.0999999999999996</v>
      </c>
      <c r="G181">
        <v>2.6</v>
      </c>
      <c r="H181">
        <v>-9.3000000000000007</v>
      </c>
      <c r="I181">
        <v>-9.3000000000000007</v>
      </c>
      <c r="J181">
        <v>-9.3000000000000007</v>
      </c>
      <c r="K181">
        <v>-3.9</v>
      </c>
      <c r="L181">
        <v>-3.5</v>
      </c>
      <c r="N181" t="s">
        <v>347</v>
      </c>
    </row>
    <row r="182" spans="1:14" x14ac:dyDescent="0.3">
      <c r="A182" t="s">
        <v>521</v>
      </c>
      <c r="B182">
        <v>2.6</v>
      </c>
      <c r="C182">
        <v>5.8117000000000001</v>
      </c>
      <c r="D182">
        <v>6.3018999999999998</v>
      </c>
      <c r="N182" t="s">
        <v>347</v>
      </c>
    </row>
    <row r="183" spans="1:14" x14ac:dyDescent="0.3">
      <c r="A183" t="s">
        <v>450</v>
      </c>
      <c r="F183">
        <v>-0.4</v>
      </c>
      <c r="G183">
        <v>1.4</v>
      </c>
      <c r="N183" t="s">
        <v>347</v>
      </c>
    </row>
    <row r="184" spans="1:14" x14ac:dyDescent="0.3">
      <c r="A184" t="s">
        <v>468</v>
      </c>
      <c r="B184">
        <v>1.4</v>
      </c>
      <c r="C184">
        <v>6.8376000000000001</v>
      </c>
      <c r="D184">
        <v>2.7019000000000002</v>
      </c>
      <c r="N184" t="s">
        <v>347</v>
      </c>
    </row>
    <row r="185" spans="1:14" x14ac:dyDescent="0.3">
      <c r="A185" t="s">
        <v>658</v>
      </c>
      <c r="F185">
        <v>4</v>
      </c>
      <c r="G185">
        <v>3.5</v>
      </c>
      <c r="H185">
        <v>5.3</v>
      </c>
      <c r="I185">
        <v>5.3</v>
      </c>
      <c r="J185">
        <v>5.3</v>
      </c>
      <c r="K185">
        <v>3.4</v>
      </c>
      <c r="L185">
        <v>6.7</v>
      </c>
      <c r="M185">
        <v>5.4</v>
      </c>
      <c r="N185" t="s">
        <v>347</v>
      </c>
    </row>
    <row r="186" spans="1:14" x14ac:dyDescent="0.3">
      <c r="A186" t="s">
        <v>688</v>
      </c>
      <c r="B186">
        <v>3.5</v>
      </c>
      <c r="N186" t="s">
        <v>347</v>
      </c>
    </row>
    <row r="187" spans="1:14" x14ac:dyDescent="0.3">
      <c r="A187" t="s">
        <v>539</v>
      </c>
      <c r="C187">
        <v>3.1303999999999998</v>
      </c>
      <c r="D187">
        <v>1.0019</v>
      </c>
      <c r="N187" t="s">
        <v>347</v>
      </c>
    </row>
    <row r="188" spans="1:14" x14ac:dyDescent="0.3">
      <c r="A188" t="s">
        <v>599</v>
      </c>
      <c r="H188">
        <v>2.7</v>
      </c>
      <c r="I188">
        <v>2.7</v>
      </c>
      <c r="J188">
        <v>2.7</v>
      </c>
      <c r="K188">
        <v>1.7</v>
      </c>
      <c r="L188">
        <v>3</v>
      </c>
      <c r="M188">
        <v>2.5</v>
      </c>
      <c r="N188" t="s">
        <v>347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67F24-C221-4533-A868-DDAD404741B6}">
  <dimension ref="A1:N188"/>
  <sheetViews>
    <sheetView topLeftCell="A108" workbookViewId="0">
      <selection activeCell="N120" sqref="N120:N188"/>
    </sheetView>
  </sheetViews>
  <sheetFormatPr baseColWidth="10" defaultRowHeight="14.4" x14ac:dyDescent="0.3"/>
  <sheetData>
    <row r="1" spans="1:14" x14ac:dyDescent="0.3">
      <c r="A1" s="3"/>
      <c r="B1" s="3">
        <v>2011</v>
      </c>
      <c r="C1" s="3">
        <v>2012</v>
      </c>
      <c r="D1" s="3">
        <v>2013</v>
      </c>
      <c r="E1" s="3">
        <v>2014</v>
      </c>
      <c r="F1" s="3">
        <v>2015</v>
      </c>
      <c r="G1" s="3">
        <v>2016</v>
      </c>
      <c r="H1" s="3">
        <v>2017</v>
      </c>
      <c r="I1" s="3">
        <v>2018</v>
      </c>
      <c r="J1" s="3">
        <v>2019</v>
      </c>
      <c r="K1" s="3">
        <v>2020</v>
      </c>
      <c r="L1" s="3">
        <v>2021</v>
      </c>
      <c r="M1" s="3">
        <v>2022</v>
      </c>
    </row>
    <row r="2" spans="1:14" x14ac:dyDescent="0.3">
      <c r="A2" s="2" t="s">
        <v>298</v>
      </c>
      <c r="G2">
        <v>2.8</v>
      </c>
      <c r="N2" t="str">
        <f>VLOOKUP(A2,'Originales sin dirección'!V:W,2,FALSE)</f>
        <v>Computers, Office Equipment</v>
      </c>
    </row>
    <row r="3" spans="1:14" x14ac:dyDescent="0.3">
      <c r="A3" s="2" t="s">
        <v>278</v>
      </c>
      <c r="F3">
        <v>0.2</v>
      </c>
      <c r="G3">
        <v>10.999999999999998</v>
      </c>
      <c r="H3">
        <v>18</v>
      </c>
      <c r="I3">
        <v>18</v>
      </c>
      <c r="J3">
        <v>18</v>
      </c>
      <c r="N3" t="str">
        <f>VLOOKUP(A3,'Originales sin dirección'!V:W,2,FALSE)</f>
        <v>Computers, Office Equipment</v>
      </c>
    </row>
    <row r="4" spans="1:14" x14ac:dyDescent="0.3">
      <c r="A4" s="2" t="s">
        <v>282</v>
      </c>
      <c r="B4">
        <v>10.999999999999998</v>
      </c>
      <c r="N4" t="str">
        <f>VLOOKUP(A4,'Originales sin dirección'!V:W,2,FALSE)</f>
        <v>Internet Services and Retailing</v>
      </c>
    </row>
    <row r="5" spans="1:14" x14ac:dyDescent="0.3">
      <c r="A5" s="2" t="s">
        <v>307</v>
      </c>
      <c r="B5">
        <v>2.8</v>
      </c>
      <c r="N5" t="str">
        <f>VLOOKUP(A5,'Originales sin dirección'!V:W,2,FALSE)</f>
        <v>Telecommunications</v>
      </c>
    </row>
    <row r="6" spans="1:14" x14ac:dyDescent="0.3">
      <c r="A6" s="2" t="s">
        <v>81</v>
      </c>
      <c r="C6">
        <f>VLOOKUP(XET6,'Originales sin dirección'!K:L,2,FALSE)</f>
        <v>0</v>
      </c>
      <c r="F6">
        <v>22.8</v>
      </c>
      <c r="G6">
        <v>21.2</v>
      </c>
      <c r="H6">
        <v>22.4</v>
      </c>
      <c r="I6">
        <v>22.4</v>
      </c>
      <c r="J6">
        <v>22.4</v>
      </c>
      <c r="K6">
        <v>20.9</v>
      </c>
      <c r="L6">
        <v>25.9</v>
      </c>
      <c r="M6">
        <v>25.3</v>
      </c>
      <c r="N6" t="str">
        <f>VLOOKUP(A6,'Originales sin dirección'!V:W,2,FALSE)</f>
        <v>Computers, Office Equipment</v>
      </c>
    </row>
    <row r="7" spans="1:14" x14ac:dyDescent="0.3">
      <c r="A7" s="2" t="s">
        <v>87</v>
      </c>
      <c r="B7">
        <v>21.2</v>
      </c>
      <c r="C7">
        <v>26.7</v>
      </c>
      <c r="D7">
        <v>21.701899999999998</v>
      </c>
      <c r="N7" t="str">
        <f>VLOOKUP(A7,'Originales sin dirección'!V:W,2,FALSE)</f>
        <v>Computers, Office Equipment</v>
      </c>
    </row>
    <row r="8" spans="1:14" x14ac:dyDescent="0.3">
      <c r="A8" s="2" t="s">
        <v>148</v>
      </c>
      <c r="G8">
        <v>-7.5</v>
      </c>
      <c r="N8" t="str">
        <f>VLOOKUP(A8,'Originales sin dirección'!V:W,2,FALSE)</f>
        <v>Telecommunications</v>
      </c>
    </row>
    <row r="9" spans="1:14" x14ac:dyDescent="0.3">
      <c r="A9" s="2" t="s">
        <v>178</v>
      </c>
      <c r="B9">
        <v>-7.5</v>
      </c>
      <c r="N9" t="str">
        <f>VLOOKUP(A9,'Originales sin dirección'!V:W,2,FALSE)</f>
        <v>Telecommunications</v>
      </c>
    </row>
    <row r="10" spans="1:14" x14ac:dyDescent="0.3">
      <c r="A10" s="2" t="s">
        <v>290</v>
      </c>
      <c r="F10">
        <v>3.9</v>
      </c>
      <c r="G10">
        <v>0.9</v>
      </c>
      <c r="H10">
        <v>5.0999999999999996</v>
      </c>
      <c r="I10">
        <v>5.0999999999999996</v>
      </c>
      <c r="J10">
        <v>5.0999999999999996</v>
      </c>
      <c r="K10">
        <v>4.5999999999999996</v>
      </c>
      <c r="L10">
        <v>19.100000000000001</v>
      </c>
      <c r="M10">
        <v>8.9</v>
      </c>
      <c r="N10" t="str">
        <f>VLOOKUP(A10,'Originales sin dirección'!V:W,2,FALSE)</f>
        <v>Telecommunications</v>
      </c>
    </row>
    <row r="11" spans="1:14" x14ac:dyDescent="0.3">
      <c r="A11" s="2" t="s">
        <v>235</v>
      </c>
      <c r="B11">
        <v>0.9</v>
      </c>
      <c r="C11">
        <v>11.8</v>
      </c>
      <c r="D11">
        <v>9.5018999999999991</v>
      </c>
      <c r="N11" t="str">
        <f>VLOOKUP(A11,'Originales sin dirección'!V:W,2,FALSE)</f>
        <v>Telecommunications</v>
      </c>
    </row>
    <row r="12" spans="1:14" x14ac:dyDescent="0.3">
      <c r="A12" s="2" t="s">
        <v>65</v>
      </c>
      <c r="F12">
        <v>0.6</v>
      </c>
      <c r="G12">
        <v>1.7</v>
      </c>
      <c r="H12">
        <v>4.3</v>
      </c>
      <c r="I12">
        <v>4.3</v>
      </c>
      <c r="J12">
        <v>4.3</v>
      </c>
      <c r="K12">
        <v>5.5</v>
      </c>
      <c r="L12">
        <v>7.1</v>
      </c>
      <c r="M12">
        <v>-0.5</v>
      </c>
      <c r="N12" t="str">
        <f>VLOOKUP(A12,'Originales sin dirección'!V:W,2,FALSE)</f>
        <v>Internet Services and Retailing</v>
      </c>
    </row>
    <row r="13" spans="1:14" x14ac:dyDescent="0.3">
      <c r="A13" s="2" t="s">
        <v>67</v>
      </c>
      <c r="B13">
        <v>1.7</v>
      </c>
      <c r="C13">
        <v>-0.1</v>
      </c>
      <c r="D13">
        <v>0.40189999999999998</v>
      </c>
      <c r="N13" t="str">
        <f>VLOOKUP(A13,'Originales sin dirección'!V:W,2,FALSE)</f>
        <v>Internet Services and Retailing</v>
      </c>
    </row>
    <row r="14" spans="1:14" x14ac:dyDescent="0.3">
      <c r="A14" s="2" t="s">
        <v>272</v>
      </c>
      <c r="G14">
        <v>27.6</v>
      </c>
      <c r="H14">
        <v>23.3</v>
      </c>
      <c r="I14">
        <v>23.3</v>
      </c>
      <c r="J14">
        <v>23.3</v>
      </c>
      <c r="K14">
        <v>21</v>
      </c>
      <c r="L14">
        <v>7.3</v>
      </c>
      <c r="M14">
        <v>8.4</v>
      </c>
      <c r="N14" t="str">
        <f>VLOOKUP(A14,'Originales sin dirección'!V:W,2,FALSE)</f>
        <v>Internet Services and Retailing</v>
      </c>
    </row>
    <row r="15" spans="1:14" x14ac:dyDescent="0.3">
      <c r="A15" s="2" t="s">
        <v>281</v>
      </c>
      <c r="B15">
        <v>27.6</v>
      </c>
      <c r="N15" t="str">
        <f>VLOOKUP(A15,'Originales sin dirección'!V:W,2,FALSE)</f>
        <v>Internet Services and Retailing</v>
      </c>
    </row>
    <row r="16" spans="1:14" x14ac:dyDescent="0.3">
      <c r="A16" s="2" t="s">
        <v>261</v>
      </c>
      <c r="F16">
        <v>13.6</v>
      </c>
      <c r="G16">
        <v>7.9</v>
      </c>
      <c r="H16">
        <v>9.1999999999999993</v>
      </c>
      <c r="I16">
        <v>9.1999999999999993</v>
      </c>
      <c r="J16">
        <v>9.1999999999999993</v>
      </c>
      <c r="N16" t="str">
        <f>VLOOKUP(A16,'Originales sin dirección'!V:W,2,FALSE)</f>
        <v>Telecommunications</v>
      </c>
    </row>
    <row r="17" spans="1:14" x14ac:dyDescent="0.3">
      <c r="A17" s="2" t="s">
        <v>220</v>
      </c>
      <c r="B17">
        <v>7.9</v>
      </c>
      <c r="C17">
        <v>11.4</v>
      </c>
      <c r="D17">
        <v>11.001899999999999</v>
      </c>
      <c r="N17" t="str">
        <f>VLOOKUP(A17,'Originales sin dirección'!V:W,2,FALSE)</f>
        <v>Telecommunications</v>
      </c>
    </row>
    <row r="18" spans="1:14" x14ac:dyDescent="0.3">
      <c r="A18" s="2" t="s">
        <v>259</v>
      </c>
      <c r="K18">
        <v>6.9</v>
      </c>
      <c r="N18" t="str">
        <f>VLOOKUP(A18,'Originales sin dirección'!V:W,2,FALSE)</f>
        <v>Telecommunications</v>
      </c>
    </row>
    <row r="19" spans="1:14" x14ac:dyDescent="0.3">
      <c r="A19" s="2" t="s">
        <v>196</v>
      </c>
      <c r="F19">
        <v>5.8</v>
      </c>
      <c r="G19">
        <v>4.4000000000000004</v>
      </c>
      <c r="H19">
        <v>6.4</v>
      </c>
      <c r="I19">
        <v>6.4</v>
      </c>
      <c r="J19">
        <v>6.4</v>
      </c>
      <c r="K19">
        <v>2.6</v>
      </c>
      <c r="L19">
        <v>6.1</v>
      </c>
      <c r="N19" t="str">
        <f>VLOOKUP(A19,'Originales sin dirección'!V:W,2,FALSE)</f>
        <v>Computers, Office Equipment</v>
      </c>
    </row>
    <row r="20" spans="1:14" x14ac:dyDescent="0.3">
      <c r="A20" s="2" t="s">
        <v>203</v>
      </c>
      <c r="B20">
        <v>4.4000000000000004</v>
      </c>
      <c r="C20">
        <v>6.5</v>
      </c>
      <c r="D20">
        <v>6.2019000000000002</v>
      </c>
      <c r="N20" t="str">
        <f>VLOOKUP(A20,'Originales sin dirección'!V:W,2,FALSE)</f>
        <v>Computers, Office Equipment</v>
      </c>
    </row>
    <row r="21" spans="1:14" x14ac:dyDescent="0.3">
      <c r="A21" s="2" t="s">
        <v>45</v>
      </c>
      <c r="G21">
        <v>12.1</v>
      </c>
      <c r="H21">
        <v>2.8</v>
      </c>
      <c r="I21">
        <v>2.8</v>
      </c>
      <c r="J21">
        <v>2.8</v>
      </c>
      <c r="K21">
        <v>6.7</v>
      </c>
      <c r="L21">
        <v>9</v>
      </c>
      <c r="M21">
        <v>9.4</v>
      </c>
      <c r="N21" t="str">
        <f>VLOOKUP(A21,'Originales sin dirección'!V:W,2,FALSE)</f>
        <v>Telecommunications</v>
      </c>
    </row>
    <row r="22" spans="1:14" x14ac:dyDescent="0.3">
      <c r="A22" s="2" t="s">
        <v>122</v>
      </c>
      <c r="B22">
        <v>12.1</v>
      </c>
      <c r="N22" t="str">
        <f>VLOOKUP(A22,'Originales sin dirección'!V:W,2,FALSE)</f>
        <v>Telecommunications</v>
      </c>
    </row>
    <row r="23" spans="1:14" x14ac:dyDescent="0.3">
      <c r="A23" s="2" t="s">
        <v>69</v>
      </c>
      <c r="C23">
        <v>9.9</v>
      </c>
      <c r="N23" t="str">
        <f>VLOOKUP(A23,'Originales sin dirección'!V:W,2,FALSE)</f>
        <v>Telecommunications</v>
      </c>
    </row>
    <row r="24" spans="1:14" x14ac:dyDescent="0.3">
      <c r="A24" s="2" t="s">
        <v>93</v>
      </c>
      <c r="F24">
        <v>11</v>
      </c>
      <c r="G24">
        <v>10.8</v>
      </c>
      <c r="H24">
        <v>12.4</v>
      </c>
      <c r="I24">
        <v>12.4</v>
      </c>
      <c r="J24">
        <v>12.4</v>
      </c>
      <c r="K24">
        <v>10.199999999999999</v>
      </c>
      <c r="L24">
        <v>12.2</v>
      </c>
      <c r="M24">
        <v>4.4000000000000004</v>
      </c>
      <c r="N24" t="str">
        <f>VLOOKUP(A24,'Originales sin dirección'!V:W,2,FALSE)</f>
        <v>Telecommunications</v>
      </c>
    </row>
    <row r="25" spans="1:14" x14ac:dyDescent="0.3">
      <c r="A25" s="2" t="s">
        <v>110</v>
      </c>
      <c r="B25">
        <v>10.8</v>
      </c>
      <c r="D25">
        <v>10.501899999999999</v>
      </c>
      <c r="N25" t="str">
        <f>VLOOKUP(A25,'Originales sin dirección'!V:W,2,FALSE)</f>
        <v>Telecommunications</v>
      </c>
    </row>
    <row r="26" spans="1:14" x14ac:dyDescent="0.3">
      <c r="A26" s="2" t="s">
        <v>56</v>
      </c>
      <c r="M26">
        <v>0.7</v>
      </c>
      <c r="N26" t="str">
        <f>VLOOKUP(A26,'Originales sin dirección'!V:W,2,FALSE)</f>
        <v>Computer Software</v>
      </c>
    </row>
    <row r="27" spans="1:14" x14ac:dyDescent="0.3">
      <c r="A27" s="2" t="s">
        <v>31</v>
      </c>
      <c r="H27">
        <v>-2.5</v>
      </c>
      <c r="I27">
        <v>-2.5</v>
      </c>
      <c r="J27">
        <v>-2.5</v>
      </c>
      <c r="K27">
        <v>3.4</v>
      </c>
      <c r="L27">
        <v>5.2</v>
      </c>
      <c r="M27">
        <v>2.4</v>
      </c>
      <c r="N27" t="str">
        <f>VLOOKUP(A27,'Originales sin dirección'!V:W,2,FALSE)</f>
        <v>Computers, Office Equipment</v>
      </c>
    </row>
    <row r="28" spans="1:14" x14ac:dyDescent="0.3">
      <c r="A28" s="2" t="s">
        <v>114</v>
      </c>
      <c r="C28">
        <v>4.2</v>
      </c>
      <c r="N28" t="str">
        <f>VLOOKUP(A28,'Originales sin dirección'!V:W,2,FALSE)</f>
        <v>Computers, Office Equipment</v>
      </c>
    </row>
    <row r="29" spans="1:14" x14ac:dyDescent="0.3">
      <c r="A29" s="2" t="s">
        <v>256</v>
      </c>
      <c r="F29">
        <v>4.7</v>
      </c>
      <c r="G29">
        <v>3.7</v>
      </c>
      <c r="H29">
        <v>2.9</v>
      </c>
      <c r="I29">
        <v>2.9</v>
      </c>
      <c r="J29">
        <v>2.9</v>
      </c>
      <c r="K29">
        <v>4.0999999999999996</v>
      </c>
      <c r="L29">
        <v>3.8</v>
      </c>
      <c r="M29">
        <v>7</v>
      </c>
      <c r="N29" t="str">
        <f>VLOOKUP(A29,'Originales sin dirección'!V:W,2,FALSE)</f>
        <v>Telecommunications</v>
      </c>
    </row>
    <row r="30" spans="1:14" x14ac:dyDescent="0.3">
      <c r="A30" s="2" t="s">
        <v>164</v>
      </c>
      <c r="B30">
        <v>3.7</v>
      </c>
      <c r="C30">
        <v>-9</v>
      </c>
      <c r="D30">
        <v>1.5019</v>
      </c>
      <c r="N30" t="str">
        <f>VLOOKUP(A30,'Originales sin dirección'!V:W,2,FALSE)</f>
        <v>Telecommunications</v>
      </c>
    </row>
    <row r="31" spans="1:14" x14ac:dyDescent="0.3">
      <c r="A31" s="2" t="s">
        <v>51</v>
      </c>
      <c r="C31">
        <v>9.9</v>
      </c>
      <c r="D31">
        <v>9.0018999999999991</v>
      </c>
      <c r="N31" t="str">
        <f>VLOOKUP(A31,'Originales sin dirección'!V:W,2,FALSE)</f>
        <v>Telecommunications</v>
      </c>
    </row>
    <row r="32" spans="1:14" x14ac:dyDescent="0.3">
      <c r="A32" s="2" t="s">
        <v>106</v>
      </c>
      <c r="F32">
        <v>8.1</v>
      </c>
      <c r="N32" t="str">
        <f>VLOOKUP(A32,'Originales sin dirección'!V:W,2,FALSE)</f>
        <v>Computers, Office Equipment</v>
      </c>
    </row>
    <row r="33" spans="1:14" x14ac:dyDescent="0.3">
      <c r="A33" s="2" t="s">
        <v>104</v>
      </c>
      <c r="F33">
        <v>12.2</v>
      </c>
      <c r="N33" t="str">
        <f>VLOOKUP(A33,'Originales sin dirección'!V:W,2,FALSE)</f>
        <v>Electronics, Electrical Equip.</v>
      </c>
    </row>
    <row r="34" spans="1:14" x14ac:dyDescent="0.3">
      <c r="A34" s="2" t="s">
        <v>108</v>
      </c>
      <c r="C34">
        <v>8</v>
      </c>
      <c r="D34">
        <v>8.1019000000000005</v>
      </c>
      <c r="N34" t="str">
        <f>VLOOKUP(A34,'Originales sin dirección'!V:W,2,FALSE)</f>
        <v>Electronics, Electrical Equip.</v>
      </c>
    </row>
    <row r="35" spans="1:14" x14ac:dyDescent="0.3">
      <c r="A35" s="2" t="s">
        <v>41</v>
      </c>
      <c r="G35">
        <v>37</v>
      </c>
      <c r="H35">
        <v>39.6</v>
      </c>
      <c r="I35">
        <v>39.6</v>
      </c>
      <c r="J35">
        <v>39.6</v>
      </c>
      <c r="K35">
        <v>33.9</v>
      </c>
      <c r="N35" t="str">
        <f>VLOOKUP(A35,'Originales sin dirección'!V:W,2,FALSE)</f>
        <v>Internet Services and Retailing</v>
      </c>
    </row>
    <row r="36" spans="1:14" x14ac:dyDescent="0.3">
      <c r="A36" s="2" t="s">
        <v>53</v>
      </c>
      <c r="B36">
        <v>37</v>
      </c>
      <c r="N36" t="str">
        <f>VLOOKUP(A36,'Originales sin dirección'!V:W,2,FALSE)</f>
        <v>Internet Services and Retailing</v>
      </c>
    </row>
    <row r="37" spans="1:14" x14ac:dyDescent="0.3">
      <c r="A37" s="2" t="s">
        <v>158</v>
      </c>
      <c r="C37">
        <v>-1.7</v>
      </c>
      <c r="D37">
        <v>1.0019</v>
      </c>
      <c r="N37" t="str">
        <f>VLOOKUP(A37,'Originales sin dirección'!V:W,2,FALSE)</f>
        <v>Computers, Office Equipment</v>
      </c>
    </row>
    <row r="38" spans="1:14" x14ac:dyDescent="0.3">
      <c r="A38" s="2" t="s">
        <v>294</v>
      </c>
      <c r="K38">
        <v>2.5</v>
      </c>
      <c r="N38" t="str">
        <f>VLOOKUP(A38,'Originales sin dirección'!V:W,2,FALSE)</f>
        <v>Electronics, Electrical Equip.</v>
      </c>
    </row>
    <row r="39" spans="1:14" x14ac:dyDescent="0.3">
      <c r="A39" s="2" t="s">
        <v>232</v>
      </c>
      <c r="C39">
        <v>1.9</v>
      </c>
      <c r="N39" t="str">
        <f>VLOOKUP(A39,'Originales sin dirección'!V:W,2,FALSE)</f>
        <v>Telecommunications</v>
      </c>
    </row>
    <row r="40" spans="1:14" x14ac:dyDescent="0.3">
      <c r="A40" s="2" t="s">
        <v>48</v>
      </c>
      <c r="C40">
        <v>20.6</v>
      </c>
      <c r="D40">
        <v>21.3019</v>
      </c>
      <c r="N40" t="str">
        <f>VLOOKUP(A40,'Originales sin dirección'!V:W,2,FALSE)</f>
        <v>Internet Services and Retailing</v>
      </c>
    </row>
    <row r="41" spans="1:14" x14ac:dyDescent="0.3">
      <c r="A41" s="2" t="s">
        <v>78</v>
      </c>
      <c r="F41">
        <v>21.8</v>
      </c>
      <c r="G41">
        <v>21.6</v>
      </c>
      <c r="H41">
        <v>22.5</v>
      </c>
      <c r="I41">
        <v>22.5</v>
      </c>
      <c r="J41">
        <v>22.5</v>
      </c>
      <c r="K41">
        <v>22.1</v>
      </c>
      <c r="L41">
        <v>29.5</v>
      </c>
      <c r="M41">
        <v>21.2</v>
      </c>
      <c r="N41" t="str">
        <f>VLOOKUP(A41,'Originales sin dirección'!V:W,2,FALSE)</f>
        <v>Internet Services and Retailing</v>
      </c>
    </row>
    <row r="42" spans="1:14" x14ac:dyDescent="0.3">
      <c r="A42" s="2" t="s">
        <v>88</v>
      </c>
      <c r="B42">
        <v>21.6</v>
      </c>
      <c r="N42" t="str">
        <f>VLOOKUP(A42,'Originales sin dirección'!V:W,2,FALSE)</f>
        <v>Internet Services and Retailing</v>
      </c>
    </row>
    <row r="43" spans="1:14" x14ac:dyDescent="0.3">
      <c r="A43" s="2" t="s">
        <v>291</v>
      </c>
      <c r="F43">
        <v>3.3</v>
      </c>
      <c r="G43">
        <v>3.4</v>
      </c>
      <c r="H43">
        <v>2.4</v>
      </c>
      <c r="I43">
        <v>2.4</v>
      </c>
      <c r="J43">
        <v>2.4</v>
      </c>
      <c r="K43">
        <v>1.9</v>
      </c>
      <c r="L43">
        <v>2.2999999999999998</v>
      </c>
      <c r="M43">
        <v>2.1</v>
      </c>
      <c r="N43" t="str">
        <f>VLOOKUP(A43,'Originales sin dirección'!V:W,2,FALSE)</f>
        <v>Electronics, Electrical Equip.</v>
      </c>
    </row>
    <row r="44" spans="1:14" x14ac:dyDescent="0.3">
      <c r="A44" s="2" t="s">
        <v>244</v>
      </c>
      <c r="B44">
        <v>3.4</v>
      </c>
      <c r="C44">
        <v>2.4</v>
      </c>
      <c r="D44">
        <v>2.7019000000000002</v>
      </c>
      <c r="N44" t="str">
        <f>VLOOKUP(A44,'Originales sin dirección'!V:W,2,FALSE)</f>
        <v>Electronics, Electrical Equip.</v>
      </c>
    </row>
    <row r="45" spans="1:14" x14ac:dyDescent="0.3">
      <c r="A45" s="2" t="s">
        <v>91</v>
      </c>
      <c r="F45">
        <v>12.4</v>
      </c>
      <c r="G45">
        <v>12.2</v>
      </c>
      <c r="H45">
        <v>16.2</v>
      </c>
      <c r="I45">
        <v>16.2</v>
      </c>
      <c r="J45">
        <v>16.2</v>
      </c>
      <c r="K45">
        <v>14.6</v>
      </c>
      <c r="L45">
        <v>16.100000000000001</v>
      </c>
      <c r="M45">
        <v>14</v>
      </c>
      <c r="N45" t="str">
        <f>VLOOKUP(A45,'Originales sin dirección'!V:W,2,FALSE)</f>
        <v>Electronics, Electrical Equip.</v>
      </c>
    </row>
    <row r="46" spans="1:14" x14ac:dyDescent="0.3">
      <c r="A46" s="2" t="s">
        <v>109</v>
      </c>
      <c r="B46">
        <v>12.2</v>
      </c>
      <c r="D46">
        <v>10.001899999999999</v>
      </c>
      <c r="N46" t="str">
        <f>VLOOKUP(A46,'Originales sin dirección'!V:W,2,FALSE)</f>
        <v>Electronics, Electrical Equip.</v>
      </c>
    </row>
    <row r="47" spans="1:14" x14ac:dyDescent="0.3">
      <c r="A47" s="2" t="s">
        <v>38</v>
      </c>
      <c r="H47">
        <v>6.2</v>
      </c>
      <c r="I47">
        <v>6.2</v>
      </c>
      <c r="J47">
        <v>6.2</v>
      </c>
      <c r="K47">
        <v>-1.2</v>
      </c>
      <c r="N47" t="str">
        <f>VLOOKUP(A47,'Originales sin dirección'!V:W,2,FALSE)</f>
        <v>Computers, Office Equipment</v>
      </c>
    </row>
    <row r="48" spans="1:14" x14ac:dyDescent="0.3">
      <c r="A48" s="2" t="s">
        <v>59</v>
      </c>
      <c r="F48">
        <v>4.4000000000000004</v>
      </c>
      <c r="G48">
        <v>5.2</v>
      </c>
      <c r="H48">
        <v>9.1</v>
      </c>
      <c r="I48">
        <v>9.1</v>
      </c>
      <c r="J48">
        <v>9.1</v>
      </c>
      <c r="K48">
        <v>5</v>
      </c>
      <c r="L48">
        <v>10.199999999999999</v>
      </c>
      <c r="M48">
        <v>5.0999999999999996</v>
      </c>
      <c r="N48" t="str">
        <f>VLOOKUP(A48,'Originales sin dirección'!V:W,2,FALSE)</f>
        <v>Computers, Office Equipment</v>
      </c>
    </row>
    <row r="49" spans="1:14" x14ac:dyDescent="0.3">
      <c r="A49" s="2" t="s">
        <v>72</v>
      </c>
      <c r="B49">
        <v>5.2</v>
      </c>
      <c r="C49">
        <v>-10.5</v>
      </c>
      <c r="D49">
        <v>4.6018999999999997</v>
      </c>
      <c r="N49" t="str">
        <f>VLOOKUP(A49,'Originales sin dirección'!V:W,2,FALSE)</f>
        <v>Computers, Office Equipment</v>
      </c>
    </row>
    <row r="50" spans="1:14" x14ac:dyDescent="0.3">
      <c r="A50" s="2" t="s">
        <v>275</v>
      </c>
      <c r="K50">
        <v>4.2</v>
      </c>
      <c r="N50" t="str">
        <f>VLOOKUP(A50,'Originales sin dirección'!V:W,2,FALSE)</f>
        <v>Electronics, Electrical Equip.</v>
      </c>
    </row>
    <row r="51" spans="1:14" x14ac:dyDescent="0.3">
      <c r="A51" s="2" t="s">
        <v>265</v>
      </c>
      <c r="L51">
        <v>5.7</v>
      </c>
      <c r="M51">
        <v>6</v>
      </c>
      <c r="N51" t="str">
        <f>VLOOKUP(A51,'Originales sin dirección'!V:W,2,FALSE)</f>
        <v>Electronics, Electrical Equip.</v>
      </c>
    </row>
    <row r="52" spans="1:14" x14ac:dyDescent="0.3">
      <c r="A52" s="2" t="s">
        <v>189</v>
      </c>
      <c r="F52">
        <v>1.7</v>
      </c>
      <c r="G52">
        <v>2.5</v>
      </c>
      <c r="H52">
        <v>2.2999999999999998</v>
      </c>
      <c r="I52">
        <v>2.2999999999999998</v>
      </c>
      <c r="J52">
        <v>2.2999999999999998</v>
      </c>
      <c r="K52">
        <v>5.7</v>
      </c>
      <c r="L52">
        <v>5.7</v>
      </c>
      <c r="M52">
        <v>6</v>
      </c>
      <c r="N52" t="str">
        <f>VLOOKUP(A52,'Originales sin dirección'!V:W,2,FALSE)</f>
        <v>Electronics, Electrical Equip.</v>
      </c>
    </row>
    <row r="53" spans="1:14" x14ac:dyDescent="0.3">
      <c r="A53" s="2" t="s">
        <v>209</v>
      </c>
      <c r="B53">
        <v>2.5</v>
      </c>
      <c r="C53">
        <v>1.9</v>
      </c>
      <c r="D53">
        <v>2.8018999999999998</v>
      </c>
      <c r="N53" t="str">
        <f>VLOOKUP(A53,'Originales sin dirección'!V:W,2,FALSE)</f>
        <v>Electronics, Electrical Equip.</v>
      </c>
    </row>
    <row r="54" spans="1:14" x14ac:dyDescent="0.3">
      <c r="A54" s="2" t="s">
        <v>130</v>
      </c>
      <c r="F54">
        <v>-5.2</v>
      </c>
      <c r="G54">
        <v>-1.5</v>
      </c>
      <c r="H54">
        <v>-0.5</v>
      </c>
      <c r="I54">
        <v>-0.5</v>
      </c>
      <c r="J54">
        <v>-0.5</v>
      </c>
      <c r="K54">
        <v>6.6</v>
      </c>
      <c r="L54">
        <v>-0.4</v>
      </c>
      <c r="M54">
        <v>1</v>
      </c>
      <c r="N54" t="str">
        <f>VLOOKUP(A54,'Originales sin dirección'!V:W,2,FALSE)</f>
        <v>Internet Services and Retailing</v>
      </c>
    </row>
    <row r="55" spans="1:14" x14ac:dyDescent="0.3">
      <c r="A55" s="2" t="s">
        <v>179</v>
      </c>
      <c r="B55">
        <v>-1.5</v>
      </c>
      <c r="N55" t="str">
        <f>VLOOKUP(A55,'Originales sin dirección'!V:W,2,FALSE)</f>
        <v>Internet Services and Retailing</v>
      </c>
    </row>
    <row r="56" spans="1:14" x14ac:dyDescent="0.3">
      <c r="A56" s="2" t="s">
        <v>186</v>
      </c>
      <c r="F56">
        <v>11.1</v>
      </c>
      <c r="G56">
        <v>11.5</v>
      </c>
      <c r="H56">
        <v>12.2</v>
      </c>
      <c r="I56">
        <v>12.2</v>
      </c>
      <c r="J56">
        <v>12.2</v>
      </c>
      <c r="K56">
        <v>12.3</v>
      </c>
      <c r="L56">
        <v>12.3</v>
      </c>
      <c r="M56">
        <v>11.9</v>
      </c>
      <c r="N56" t="str">
        <f>VLOOKUP(A56,'Originales sin dirección'!V:W,2,FALSE)</f>
        <v>Telecommunications</v>
      </c>
    </row>
    <row r="57" spans="1:14" x14ac:dyDescent="0.3">
      <c r="A57" s="2" t="s">
        <v>205</v>
      </c>
      <c r="B57">
        <v>11.5</v>
      </c>
      <c r="C57">
        <v>6.6</v>
      </c>
      <c r="D57">
        <v>7.4019000000000004</v>
      </c>
      <c r="N57" t="str">
        <f>VLOOKUP(A57,'Originales sin dirección'!V:W,2,FALSE)</f>
        <v>Telecommunications</v>
      </c>
    </row>
    <row r="58" spans="1:14" x14ac:dyDescent="0.3">
      <c r="A58" s="2" t="s">
        <v>100</v>
      </c>
      <c r="L58">
        <v>3.5</v>
      </c>
      <c r="N58" t="str">
        <f>VLOOKUP(A58,'Originales sin dirección'!V:W,2,FALSE)</f>
        <v>Automotive Retailing, Services</v>
      </c>
    </row>
    <row r="59" spans="1:14" x14ac:dyDescent="0.3">
      <c r="A59" s="2" t="s">
        <v>142</v>
      </c>
      <c r="F59">
        <v>-0.3</v>
      </c>
      <c r="G59">
        <v>1.2</v>
      </c>
      <c r="H59">
        <v>1.2</v>
      </c>
      <c r="I59">
        <v>1.2</v>
      </c>
      <c r="J59">
        <v>1.2</v>
      </c>
      <c r="K59">
        <v>1.9</v>
      </c>
      <c r="L59">
        <v>2.8</v>
      </c>
      <c r="M59">
        <v>2.6</v>
      </c>
      <c r="N59" t="str">
        <f>VLOOKUP(A59,'Originales sin dirección'!V:W,2,FALSE)</f>
        <v>Computers, Office Equipment</v>
      </c>
    </row>
    <row r="60" spans="1:14" x14ac:dyDescent="0.3">
      <c r="A60" s="2" t="s">
        <v>180</v>
      </c>
      <c r="B60">
        <v>1.2</v>
      </c>
      <c r="C60">
        <v>1.9</v>
      </c>
      <c r="D60">
        <v>2.1019000000000001</v>
      </c>
      <c r="N60" t="str">
        <f>VLOOKUP(A60,'Originales sin dirección'!V:W,2,FALSE)</f>
        <v>Computers, Office Equipment</v>
      </c>
    </row>
    <row r="61" spans="1:14" x14ac:dyDescent="0.3">
      <c r="A61" s="2" t="s">
        <v>296</v>
      </c>
      <c r="F61">
        <v>3.4</v>
      </c>
      <c r="G61">
        <v>3.4</v>
      </c>
      <c r="N61" t="str">
        <f>VLOOKUP(A61,'Originales sin dirección'!V:W,2,FALSE)</f>
        <v>Electronics, Electrical Equip.</v>
      </c>
    </row>
    <row r="62" spans="1:14" x14ac:dyDescent="0.3">
      <c r="A62" s="2" t="s">
        <v>170</v>
      </c>
      <c r="B62">
        <v>3.4</v>
      </c>
      <c r="C62">
        <v>0.8</v>
      </c>
      <c r="D62">
        <v>1.6019000000000001</v>
      </c>
      <c r="N62" t="str">
        <f>VLOOKUP(A62,'Originales sin dirección'!V:W,2,FALSE)</f>
        <v>Electronics, Electrical Equip.</v>
      </c>
    </row>
    <row r="63" spans="1:14" x14ac:dyDescent="0.3">
      <c r="A63" s="2" t="s">
        <v>35</v>
      </c>
      <c r="L63">
        <v>33.4</v>
      </c>
      <c r="M63">
        <v>19.899999999999999</v>
      </c>
      <c r="N63" t="str">
        <f>VLOOKUP(A63,'Originales sin dirección'!V:W,2,FALSE)</f>
        <v>Internet Services and Retailing</v>
      </c>
    </row>
    <row r="64" spans="1:14" x14ac:dyDescent="0.3">
      <c r="A64" s="2" t="s">
        <v>183</v>
      </c>
      <c r="F64">
        <v>5.2</v>
      </c>
      <c r="G64">
        <v>5</v>
      </c>
      <c r="H64">
        <v>5</v>
      </c>
      <c r="I64">
        <v>5</v>
      </c>
      <c r="J64">
        <v>5</v>
      </c>
      <c r="K64">
        <v>4.5999999999999996</v>
      </c>
      <c r="L64">
        <v>4.5</v>
      </c>
      <c r="M64">
        <v>4.3</v>
      </c>
      <c r="N64" t="str">
        <f>VLOOKUP(A64,'Originales sin dirección'!V:W,2,FALSE)</f>
        <v>Electronics, Electrical Equip.</v>
      </c>
    </row>
    <row r="65" spans="1:14" x14ac:dyDescent="0.3">
      <c r="A65" s="2" t="s">
        <v>204</v>
      </c>
      <c r="B65">
        <v>5</v>
      </c>
      <c r="C65">
        <v>1.9</v>
      </c>
      <c r="D65">
        <v>3.8018999999999998</v>
      </c>
      <c r="N65" t="str">
        <f>VLOOKUP(A65,'Originales sin dirección'!V:W,2,FALSE)</f>
        <v>Electronics, Electrical Equip.</v>
      </c>
    </row>
    <row r="66" spans="1:14" x14ac:dyDescent="0.3">
      <c r="A66" s="2" t="s">
        <v>124</v>
      </c>
      <c r="M66">
        <v>-3</v>
      </c>
      <c r="N66" t="str">
        <f>VLOOKUP(A66,'Originales sin dirección'!V:W,2,FALSE)</f>
        <v>Internet Services and Retailing</v>
      </c>
    </row>
    <row r="67" spans="1:14" x14ac:dyDescent="0.3">
      <c r="A67" s="2" t="s">
        <v>96</v>
      </c>
      <c r="F67">
        <v>13</v>
      </c>
      <c r="G67">
        <v>19.7</v>
      </c>
      <c r="H67">
        <v>15</v>
      </c>
      <c r="I67">
        <v>15</v>
      </c>
      <c r="J67">
        <v>15</v>
      </c>
      <c r="K67">
        <v>31</v>
      </c>
      <c r="L67">
        <v>36.5</v>
      </c>
      <c r="M67">
        <v>36.700000000000003</v>
      </c>
      <c r="N67" t="str">
        <f>VLOOKUP(A67,'Originales sin dirección'!V:W,2,FALSE)</f>
        <v>Computer Software</v>
      </c>
    </row>
    <row r="68" spans="1:14" x14ac:dyDescent="0.3">
      <c r="A68" s="2" t="s">
        <v>111</v>
      </c>
      <c r="B68">
        <v>19.7</v>
      </c>
      <c r="C68">
        <v>23</v>
      </c>
      <c r="D68">
        <v>28.101900000000001</v>
      </c>
      <c r="N68" t="str">
        <f>VLOOKUP(A68,'Originales sin dirección'!V:W,2,FALSE)</f>
        <v>Computer Software</v>
      </c>
    </row>
    <row r="69" spans="1:14" x14ac:dyDescent="0.3">
      <c r="A69" s="2" t="s">
        <v>202</v>
      </c>
      <c r="F69">
        <v>6.4</v>
      </c>
      <c r="N69" t="str">
        <f>VLOOKUP(A69,'Originales sin dirección'!V:W,2,FALSE)</f>
        <v>Telecommunications</v>
      </c>
    </row>
    <row r="70" spans="1:14" x14ac:dyDescent="0.3">
      <c r="A70" s="2" t="s">
        <v>211</v>
      </c>
      <c r="C70">
        <v>4.9000000000000004</v>
      </c>
      <c r="D70">
        <v>5.4019000000000004</v>
      </c>
      <c r="N70" t="str">
        <f>VLOOKUP(A70,'Originales sin dirección'!V:W,2,FALSE)</f>
        <v>Telecommunications</v>
      </c>
    </row>
    <row r="71" spans="1:14" x14ac:dyDescent="0.3">
      <c r="A71" s="2" t="s">
        <v>193</v>
      </c>
      <c r="G71">
        <v>7</v>
      </c>
      <c r="H71">
        <v>7.2</v>
      </c>
      <c r="I71">
        <v>7.2</v>
      </c>
      <c r="J71">
        <v>7.2</v>
      </c>
      <c r="K71">
        <v>7.7</v>
      </c>
      <c r="L71">
        <v>9.6999999999999993</v>
      </c>
      <c r="M71">
        <v>9.1999999999999993</v>
      </c>
      <c r="N71" t="str">
        <f>VLOOKUP(A71,'Originales sin dirección'!V:W,2,FALSE)</f>
        <v>Telecommunications</v>
      </c>
    </row>
    <row r="72" spans="1:14" x14ac:dyDescent="0.3">
      <c r="A72" s="2" t="s">
        <v>212</v>
      </c>
      <c r="B72">
        <v>7</v>
      </c>
      <c r="N72" t="str">
        <f>VLOOKUP(A72,'Originales sin dirección'!V:W,2,FALSE)</f>
        <v>Telecommunications</v>
      </c>
    </row>
    <row r="73" spans="1:14" x14ac:dyDescent="0.3">
      <c r="A73" s="2" t="s">
        <v>252</v>
      </c>
      <c r="F73">
        <v>6.6</v>
      </c>
      <c r="G73">
        <v>7.2</v>
      </c>
      <c r="H73">
        <v>4.7</v>
      </c>
      <c r="I73">
        <v>4.7</v>
      </c>
      <c r="J73">
        <v>4.7</v>
      </c>
      <c r="K73">
        <v>11.4</v>
      </c>
      <c r="L73">
        <v>0.5</v>
      </c>
      <c r="M73">
        <v>4.9000000000000004</v>
      </c>
      <c r="N73" t="str">
        <f>VLOOKUP(A73,'Originales sin dirección'!V:W,2,FALSE)</f>
        <v>Telecommunications</v>
      </c>
    </row>
    <row r="74" spans="1:14" x14ac:dyDescent="0.3">
      <c r="A74" s="2" t="s">
        <v>253</v>
      </c>
      <c r="B74">
        <v>7.2</v>
      </c>
      <c r="D74">
        <v>4.6018999999999997</v>
      </c>
      <c r="N74" t="str">
        <f>VLOOKUP(A74,'Originales sin dirección'!V:W,2,FALSE)</f>
        <v>Telecommunications</v>
      </c>
    </row>
    <row r="75" spans="1:14" x14ac:dyDescent="0.3">
      <c r="A75" s="2" t="s">
        <v>84</v>
      </c>
      <c r="F75">
        <v>26</v>
      </c>
      <c r="G75">
        <v>24</v>
      </c>
      <c r="H75">
        <v>9.6</v>
      </c>
      <c r="I75">
        <v>9.6</v>
      </c>
      <c r="J75">
        <v>9.6</v>
      </c>
      <c r="K75">
        <v>25.9</v>
      </c>
      <c r="L75">
        <v>34</v>
      </c>
      <c r="M75">
        <v>15.8</v>
      </c>
      <c r="N75" t="str">
        <f>VLOOKUP(A75,'Originales sin dirección'!V:W,2,FALSE)</f>
        <v>Computer Software</v>
      </c>
    </row>
    <row r="76" spans="1:14" x14ac:dyDescent="0.3">
      <c r="A76" s="2" t="s">
        <v>86</v>
      </c>
      <c r="B76">
        <v>24</v>
      </c>
      <c r="C76">
        <v>26.9</v>
      </c>
      <c r="D76">
        <v>29.401900000000001</v>
      </c>
      <c r="N76" t="str">
        <f>VLOOKUP(A76,'Originales sin dirección'!V:W,2,FALSE)</f>
        <v>Computer Software</v>
      </c>
    </row>
    <row r="77" spans="1:14" x14ac:dyDescent="0.3">
      <c r="A77" s="2" t="s">
        <v>161</v>
      </c>
      <c r="C77">
        <v>-10.3</v>
      </c>
      <c r="D77">
        <v>1.6019000000000001</v>
      </c>
      <c r="N77" t="str">
        <f>VLOOKUP(A77,'Originales sin dirección'!V:W,2,FALSE)</f>
        <v>Electronics, Electrical Equip.</v>
      </c>
    </row>
    <row r="78" spans="1:14" x14ac:dyDescent="0.3">
      <c r="A78" s="2" t="s">
        <v>284</v>
      </c>
      <c r="F78">
        <v>2.6</v>
      </c>
      <c r="G78">
        <v>2</v>
      </c>
      <c r="H78">
        <v>3.6</v>
      </c>
      <c r="I78">
        <v>3.6</v>
      </c>
      <c r="J78">
        <v>3.6</v>
      </c>
      <c r="K78">
        <v>2.5</v>
      </c>
      <c r="L78">
        <v>3.5</v>
      </c>
      <c r="M78">
        <v>3.2</v>
      </c>
      <c r="N78" t="str">
        <f>VLOOKUP(A78,'Originales sin dirección'!V:W,2,FALSE)</f>
        <v>Electronics, Electrical Equip.</v>
      </c>
    </row>
    <row r="79" spans="1:14" x14ac:dyDescent="0.3">
      <c r="A79" s="2" t="s">
        <v>288</v>
      </c>
      <c r="B79">
        <v>2</v>
      </c>
      <c r="N79" t="str">
        <f>VLOOKUP(A79,'Originales sin dirección'!V:W,2,FALSE)</f>
        <v>Electronics, Electrical Equip.</v>
      </c>
    </row>
    <row r="80" spans="1:14" x14ac:dyDescent="0.3">
      <c r="A80" s="2" t="s">
        <v>306</v>
      </c>
      <c r="F80">
        <v>2.5</v>
      </c>
      <c r="N80" t="str">
        <f>VLOOKUP(A80,'Originales sin dirección'!V:W,2,FALSE)</f>
        <v>Electronics, Electrical Equip.</v>
      </c>
    </row>
    <row r="81" spans="1:14" x14ac:dyDescent="0.3">
      <c r="A81" s="2" t="s">
        <v>173</v>
      </c>
      <c r="C81">
        <v>0.9</v>
      </c>
      <c r="D81">
        <v>4.8018999999999998</v>
      </c>
      <c r="N81" t="str">
        <f>VLOOKUP(A81,'Originales sin dirección'!V:W,2,FALSE)</f>
        <v>Electronics, Electrical Equip.</v>
      </c>
    </row>
    <row r="82" spans="1:14" x14ac:dyDescent="0.3">
      <c r="A82" s="2" t="s">
        <v>226</v>
      </c>
      <c r="C82">
        <v>2.2999999999999998</v>
      </c>
      <c r="D82">
        <v>2.1019000000000001</v>
      </c>
      <c r="N82" t="str">
        <f>VLOOKUP(A82,'Originales sin dirección'!V:W,2,FALSE)</f>
        <v>Computers, Office Equipment</v>
      </c>
    </row>
    <row r="83" spans="1:14" x14ac:dyDescent="0.3">
      <c r="A83" s="2" t="s">
        <v>167</v>
      </c>
      <c r="C83">
        <v>1.7</v>
      </c>
      <c r="N83" t="str">
        <f>VLOOKUP(A83,'Originales sin dirección'!V:W,2,FALSE)</f>
        <v>Computers, Office Equipment</v>
      </c>
    </row>
    <row r="84" spans="1:14" x14ac:dyDescent="0.3">
      <c r="A84" s="2" t="s">
        <v>120</v>
      </c>
      <c r="C84">
        <v>-12.2</v>
      </c>
      <c r="N84" t="str">
        <f>VLOOKUP(A84,'Originales sin dirección'!V:W,2,FALSE)</f>
        <v>Telecommunications</v>
      </c>
    </row>
    <row r="85" spans="1:14" x14ac:dyDescent="0.3">
      <c r="A85" s="2" t="s">
        <v>254</v>
      </c>
      <c r="F85">
        <v>14.7</v>
      </c>
      <c r="G85">
        <v>16.5</v>
      </c>
      <c r="H85">
        <v>16.5</v>
      </c>
      <c r="I85">
        <v>16.5</v>
      </c>
      <c r="J85">
        <v>16.5</v>
      </c>
      <c r="K85">
        <v>18.8</v>
      </c>
      <c r="L85">
        <v>18.899999999999999</v>
      </c>
      <c r="M85">
        <v>7.4</v>
      </c>
      <c r="N85" t="str">
        <f>VLOOKUP(A85,'Originales sin dirección'!V:W,2,FALSE)</f>
        <v>Computer Software</v>
      </c>
    </row>
    <row r="86" spans="1:14" x14ac:dyDescent="0.3">
      <c r="A86" s="2" t="s">
        <v>258</v>
      </c>
      <c r="B86">
        <v>16.5</v>
      </c>
      <c r="N86" t="str">
        <f>VLOOKUP(A86,'Originales sin dirección'!V:W,2,FALSE)</f>
        <v>Computer Software</v>
      </c>
    </row>
    <row r="87" spans="1:14" x14ac:dyDescent="0.3">
      <c r="A87" s="2" t="s">
        <v>249</v>
      </c>
      <c r="F87">
        <v>5.3</v>
      </c>
      <c r="G87">
        <v>7.1</v>
      </c>
      <c r="H87">
        <v>9.1</v>
      </c>
      <c r="I87">
        <v>9.1</v>
      </c>
      <c r="J87">
        <v>9.1</v>
      </c>
      <c r="K87">
        <v>8.5</v>
      </c>
      <c r="L87">
        <v>11.1</v>
      </c>
      <c r="M87">
        <v>10.199999999999999</v>
      </c>
      <c r="N87" t="str">
        <f>VLOOKUP(A87,'Originales sin dirección'!V:W,2,FALSE)</f>
        <v>Electronics, Electrical Equip.</v>
      </c>
    </row>
    <row r="88" spans="1:14" x14ac:dyDescent="0.3">
      <c r="A88" s="2" t="s">
        <v>223</v>
      </c>
      <c r="B88">
        <v>7.1</v>
      </c>
      <c r="C88">
        <v>7.7</v>
      </c>
      <c r="D88">
        <v>8.0018999999999991</v>
      </c>
      <c r="N88" t="str">
        <f>VLOOKUP(A88,'Originales sin dirección'!V:W,2,FALSE)</f>
        <v>Electronics, Electrical Equip.</v>
      </c>
    </row>
    <row r="89" spans="1:14" x14ac:dyDescent="0.3">
      <c r="A89" s="2" t="s">
        <v>127</v>
      </c>
      <c r="F89">
        <v>5.2</v>
      </c>
      <c r="G89">
        <v>15.9</v>
      </c>
      <c r="H89">
        <v>14.7</v>
      </c>
      <c r="I89">
        <v>14.7</v>
      </c>
      <c r="J89">
        <v>14.7</v>
      </c>
      <c r="K89">
        <v>83.7</v>
      </c>
      <c r="L89">
        <v>-27.5</v>
      </c>
      <c r="M89">
        <v>-14.8</v>
      </c>
      <c r="N89" t="str">
        <f>VLOOKUP(A89,'Originales sin dirección'!V:W,2,FALSE)</f>
        <v>Telecommunications</v>
      </c>
    </row>
    <row r="90" spans="1:14" x14ac:dyDescent="0.3">
      <c r="A90" s="2" t="s">
        <v>207</v>
      </c>
      <c r="B90">
        <v>15.9</v>
      </c>
      <c r="D90">
        <v>8.8018999999999998</v>
      </c>
      <c r="N90" t="str">
        <f>VLOOKUP(A90,'Originales sin dirección'!V:W,2,FALSE)</f>
        <v>Telecommunications</v>
      </c>
    </row>
    <row r="91" spans="1:14" x14ac:dyDescent="0.3">
      <c r="A91" s="2" t="s">
        <v>154</v>
      </c>
      <c r="C91">
        <v>-22</v>
      </c>
      <c r="D91">
        <v>0.40189999999999998</v>
      </c>
      <c r="N91" t="str">
        <f>VLOOKUP(A91,'Originales sin dirección'!V:W,2,FALSE)</f>
        <v>Electronics, Electrical Equip.</v>
      </c>
    </row>
    <row r="92" spans="1:14" x14ac:dyDescent="0.3">
      <c r="A92" s="2" t="s">
        <v>241</v>
      </c>
      <c r="C92">
        <v>5.3</v>
      </c>
      <c r="D92">
        <v>5.3018999999999998</v>
      </c>
      <c r="N92" t="str">
        <f>VLOOKUP(A92,'Originales sin dirección'!V:W,2,FALSE)</f>
        <v>Electronics, Electrical Equip.</v>
      </c>
    </row>
    <row r="93" spans="1:14" x14ac:dyDescent="0.3">
      <c r="A93" s="2" t="s">
        <v>257</v>
      </c>
      <c r="F93">
        <v>9.5</v>
      </c>
      <c r="N93" t="str">
        <f>VLOOKUP(A93,'Originales sin dirección'!V:W,2,FALSE)</f>
        <v>Electronics, Electrical Equip.</v>
      </c>
    </row>
    <row r="94" spans="1:14" x14ac:dyDescent="0.3">
      <c r="A94" s="2" t="s">
        <v>214</v>
      </c>
      <c r="C94">
        <v>1.8</v>
      </c>
      <c r="D94">
        <v>2.6019000000000001</v>
      </c>
      <c r="N94" t="str">
        <f>VLOOKUP(A94,'Originales sin dirección'!V:W,2,FALSE)</f>
        <v>Electronics, Electrical Equip.</v>
      </c>
    </row>
    <row r="95" spans="1:14" x14ac:dyDescent="0.3">
      <c r="A95" s="2" t="s">
        <v>151</v>
      </c>
      <c r="F95">
        <v>1.8</v>
      </c>
      <c r="G95">
        <v>1</v>
      </c>
      <c r="H95">
        <v>10.6</v>
      </c>
      <c r="I95">
        <v>10.6</v>
      </c>
      <c r="J95">
        <v>10.6</v>
      </c>
      <c r="N95" t="str">
        <f>VLOOKUP(A95,'Originales sin dirección'!V:W,2,FALSE)</f>
        <v>Electronics, Electrical Equip.</v>
      </c>
    </row>
    <row r="96" spans="1:14" x14ac:dyDescent="0.3">
      <c r="A96" s="2" t="s">
        <v>177</v>
      </c>
      <c r="B96">
        <v>1</v>
      </c>
      <c r="C96">
        <v>0.6</v>
      </c>
      <c r="D96">
        <v>-1.7000999999999999</v>
      </c>
      <c r="N96" t="str">
        <f>VLOOKUP(A96,'Originales sin dirección'!V:W,2,FALSE)</f>
        <v>Electronics, Electrical Equip.</v>
      </c>
    </row>
    <row r="97" spans="1:14" x14ac:dyDescent="0.3">
      <c r="A97" s="2" t="s">
        <v>191</v>
      </c>
      <c r="K97">
        <v>13</v>
      </c>
      <c r="L97">
        <v>8.9</v>
      </c>
      <c r="M97">
        <v>8.1</v>
      </c>
      <c r="N97" t="str">
        <f>VLOOKUP(A97,'Originales sin dirección'!V:W,2,FALSE)</f>
        <v>Electronics, Electrical Equip.</v>
      </c>
    </row>
    <row r="98" spans="1:14" x14ac:dyDescent="0.3">
      <c r="A98" s="2" t="s">
        <v>304</v>
      </c>
      <c r="F98">
        <v>9.3000000000000007</v>
      </c>
      <c r="G98">
        <v>11.1</v>
      </c>
      <c r="N98" t="str">
        <f>VLOOKUP(A98,'Originales sin dirección'!V:W,2,FALSE)</f>
        <v>Electronics, Electrical Equip.</v>
      </c>
    </row>
    <row r="99" spans="1:14" x14ac:dyDescent="0.3">
      <c r="A99" s="2" t="s">
        <v>247</v>
      </c>
      <c r="B99">
        <v>11.1</v>
      </c>
      <c r="C99">
        <v>11.5</v>
      </c>
      <c r="D99">
        <v>13.001899999999999</v>
      </c>
      <c r="N99" t="str">
        <f>VLOOKUP(A99,'Originales sin dirección'!V:W,2,FALSE)</f>
        <v>Electronics, Electrical Equip.</v>
      </c>
    </row>
    <row r="100" spans="1:14" x14ac:dyDescent="0.3">
      <c r="A100" s="2" t="s">
        <v>62</v>
      </c>
      <c r="F100">
        <v>9.1</v>
      </c>
      <c r="G100">
        <v>7.9</v>
      </c>
      <c r="H100">
        <v>11.3</v>
      </c>
      <c r="I100">
        <v>11.3</v>
      </c>
      <c r="J100">
        <v>11.3</v>
      </c>
      <c r="K100">
        <v>-3</v>
      </c>
      <c r="L100">
        <v>11.9</v>
      </c>
      <c r="M100">
        <v>-7.1</v>
      </c>
      <c r="N100" t="str">
        <f>VLOOKUP(A100,'Originales sin dirección'!V:W,2,FALSE)</f>
        <v>Telecommunications</v>
      </c>
    </row>
    <row r="101" spans="1:14" x14ac:dyDescent="0.3">
      <c r="A101" s="2" t="s">
        <v>112</v>
      </c>
      <c r="B101">
        <v>7.9</v>
      </c>
      <c r="C101">
        <v>5.7</v>
      </c>
      <c r="D101">
        <v>14.2019</v>
      </c>
      <c r="N101" t="str">
        <f>VLOOKUP(A101,'Originales sin dirección'!V:W,2,FALSE)</f>
        <v>Telecommunications</v>
      </c>
    </row>
    <row r="102" spans="1:14" x14ac:dyDescent="0.3">
      <c r="A102" s="2" t="s">
        <v>269</v>
      </c>
      <c r="G102">
        <v>27</v>
      </c>
      <c r="H102">
        <v>25.2</v>
      </c>
      <c r="I102">
        <v>25.2</v>
      </c>
      <c r="J102">
        <v>25.2</v>
      </c>
      <c r="K102">
        <v>33.200000000000003</v>
      </c>
      <c r="L102">
        <v>40.1</v>
      </c>
      <c r="M102">
        <v>33.9</v>
      </c>
      <c r="N102" t="str">
        <f>VLOOKUP(A102,'Originales sin dirección'!V:W,2,FALSE)</f>
        <v>Internet Services and Retailing</v>
      </c>
    </row>
    <row r="103" spans="1:14" x14ac:dyDescent="0.3">
      <c r="A103" s="2" t="s">
        <v>280</v>
      </c>
      <c r="B103">
        <v>27</v>
      </c>
      <c r="N103" t="str">
        <f>VLOOKUP(A103,'Originales sin dirección'!V:W,2,FALSE)</f>
        <v>Internet Services and Retailing</v>
      </c>
    </row>
    <row r="104" spans="1:14" x14ac:dyDescent="0.3">
      <c r="A104" s="2" t="s">
        <v>289</v>
      </c>
      <c r="F104">
        <v>5</v>
      </c>
      <c r="G104">
        <v>4.5999999999999996</v>
      </c>
      <c r="H104">
        <v>6.8</v>
      </c>
      <c r="I104">
        <v>6.8</v>
      </c>
      <c r="J104">
        <v>6.8</v>
      </c>
      <c r="K104">
        <v>3.7</v>
      </c>
      <c r="L104">
        <v>20.7</v>
      </c>
      <c r="M104">
        <v>5</v>
      </c>
      <c r="N104" t="str">
        <f>VLOOKUP(A104,'Originales sin dirección'!V:W,2,FALSE)</f>
        <v>Telecommunications</v>
      </c>
    </row>
    <row r="105" spans="1:14" x14ac:dyDescent="0.3">
      <c r="A105" s="2" t="s">
        <v>238</v>
      </c>
      <c r="B105">
        <v>4.5999999999999996</v>
      </c>
      <c r="C105">
        <v>6.3</v>
      </c>
      <c r="D105">
        <v>8.0018999999999991</v>
      </c>
      <c r="N105" t="str">
        <f>VLOOKUP(A105,'Originales sin dirección'!V:W,2,FALSE)</f>
        <v>Telecommunications</v>
      </c>
    </row>
    <row r="106" spans="1:14" x14ac:dyDescent="0.3">
      <c r="A106" s="2" t="s">
        <v>145</v>
      </c>
      <c r="F106">
        <v>-0.3</v>
      </c>
      <c r="G106">
        <v>9.1</v>
      </c>
      <c r="N106" t="str">
        <f>VLOOKUP(A106,'Originales sin dirección'!V:W,2,FALSE)</f>
        <v>Telecommunications</v>
      </c>
    </row>
    <row r="107" spans="1:14" x14ac:dyDescent="0.3">
      <c r="A107" s="2" t="s">
        <v>156</v>
      </c>
      <c r="B107">
        <v>9.1</v>
      </c>
      <c r="C107">
        <v>-5.5</v>
      </c>
      <c r="D107">
        <v>-2.5001000000000002</v>
      </c>
      <c r="N107" t="str">
        <f>VLOOKUP(A107,'Originales sin dirección'!V:W,2,FALSE)</f>
        <v>Telecommunications</v>
      </c>
    </row>
    <row r="108" spans="1:14" x14ac:dyDescent="0.3">
      <c r="A108" s="2" t="s">
        <v>305</v>
      </c>
      <c r="F108">
        <v>15.9</v>
      </c>
      <c r="N108" t="str">
        <f>VLOOKUP(A108,'Originales sin dirección'!V:W,2,FALSE)</f>
        <v>Telecommunications</v>
      </c>
    </row>
    <row r="109" spans="1:14" x14ac:dyDescent="0.3">
      <c r="A109" s="2" t="s">
        <v>217</v>
      </c>
      <c r="C109">
        <v>13.4</v>
      </c>
      <c r="D109">
        <v>14.7019</v>
      </c>
      <c r="N109" t="str">
        <f>VLOOKUP(A109,'Originales sin dirección'!V:W,2,FALSE)</f>
        <v>Telecommunications</v>
      </c>
    </row>
    <row r="110" spans="1:14" x14ac:dyDescent="0.3">
      <c r="A110" s="2" t="s">
        <v>175</v>
      </c>
      <c r="C110">
        <v>1.3</v>
      </c>
      <c r="D110">
        <v>0.80189999999999995</v>
      </c>
      <c r="N110" t="str">
        <f>VLOOKUP(A110,'Originales sin dirección'!V:W,2,FALSE)</f>
        <v>Electronics, Electrical Equip.</v>
      </c>
    </row>
    <row r="111" spans="1:14" x14ac:dyDescent="0.3">
      <c r="A111" s="2" t="s">
        <v>133</v>
      </c>
      <c r="F111">
        <v>-7.4</v>
      </c>
      <c r="H111">
        <v>27.4</v>
      </c>
      <c r="I111">
        <v>27.4</v>
      </c>
      <c r="J111">
        <v>27.4</v>
      </c>
      <c r="K111">
        <v>3.7</v>
      </c>
      <c r="L111">
        <v>5.8</v>
      </c>
      <c r="N111" t="str">
        <f>VLOOKUP(A111,'Originales sin dirección'!V:W,2,FALSE)</f>
        <v>Electronics, Electrical Equip.</v>
      </c>
    </row>
    <row r="112" spans="1:14" x14ac:dyDescent="0.3">
      <c r="A112" s="2" t="s">
        <v>117</v>
      </c>
      <c r="M112">
        <v>-28.7</v>
      </c>
      <c r="N112" t="str">
        <f>VLOOKUP(A112,'Originales sin dirección'!V:W,2,FALSE)</f>
        <v>Internet Services and Retailing</v>
      </c>
    </row>
    <row r="113" spans="1:14" x14ac:dyDescent="0.3">
      <c r="A113" s="2" t="s">
        <v>229</v>
      </c>
      <c r="C113">
        <v>0.6</v>
      </c>
      <c r="D113">
        <v>7.3018999999999998</v>
      </c>
      <c r="N113" t="str">
        <f>VLOOKUP(A113,'Originales sin dirección'!V:W,2,FALSE)</f>
        <v>Telecommunications</v>
      </c>
    </row>
    <row r="114" spans="1:14" x14ac:dyDescent="0.3">
      <c r="A114" s="2" t="s">
        <v>136</v>
      </c>
      <c r="F114">
        <v>-9.8000000000000007</v>
      </c>
      <c r="G114">
        <v>-11.8</v>
      </c>
      <c r="H114">
        <v>-18.399999999999999</v>
      </c>
      <c r="I114">
        <v>-18.399999999999999</v>
      </c>
      <c r="J114">
        <v>-18.399999999999999</v>
      </c>
      <c r="K114">
        <v>0.3</v>
      </c>
      <c r="L114">
        <v>4.5999999999999996</v>
      </c>
      <c r="M114">
        <v>25.9</v>
      </c>
      <c r="N114" t="str">
        <f>VLOOKUP(A114,'Originales sin dirección'!V:W,2,FALSE)</f>
        <v>Telecommunications</v>
      </c>
    </row>
    <row r="115" spans="1:14" x14ac:dyDescent="0.3">
      <c r="A115" s="2" t="s">
        <v>181</v>
      </c>
      <c r="B115">
        <v>-11.8</v>
      </c>
      <c r="C115">
        <v>1</v>
      </c>
      <c r="D115">
        <v>142.70189999999999</v>
      </c>
      <c r="N115" t="str">
        <f>VLOOKUP(A115,'Originales sin dirección'!V:W,2,FALSE)</f>
        <v>Telecommunications</v>
      </c>
    </row>
    <row r="116" spans="1:14" x14ac:dyDescent="0.3">
      <c r="A116" s="2" t="s">
        <v>74</v>
      </c>
      <c r="F116">
        <v>13.6</v>
      </c>
      <c r="G116">
        <v>10.4</v>
      </c>
      <c r="H116">
        <v>11.9</v>
      </c>
      <c r="I116">
        <v>11.9</v>
      </c>
      <c r="J116">
        <v>11.9</v>
      </c>
      <c r="K116">
        <v>13.9</v>
      </c>
      <c r="L116">
        <v>16.5</v>
      </c>
      <c r="M116">
        <v>15.5</v>
      </c>
      <c r="N116" t="str">
        <f>VLOOKUP(A116,'Originales sin dirección'!V:W,2,FALSE)</f>
        <v>Telecommunications</v>
      </c>
    </row>
    <row r="117" spans="1:14" x14ac:dyDescent="0.3">
      <c r="A117" s="2" t="s">
        <v>76</v>
      </c>
      <c r="B117">
        <v>10.4</v>
      </c>
      <c r="C117">
        <v>0.8</v>
      </c>
      <c r="D117">
        <v>9.5018999999999991</v>
      </c>
      <c r="N117" t="str">
        <f>VLOOKUP(A117,'Originales sin dirección'!V:W,2,FALSE)</f>
        <v>Telecommunications</v>
      </c>
    </row>
    <row r="118" spans="1:14" x14ac:dyDescent="0.3">
      <c r="A118" s="2" t="s">
        <v>276</v>
      </c>
      <c r="K118">
        <v>8.3000000000000007</v>
      </c>
      <c r="N118" t="str">
        <f>VLOOKUP(A118,'Originales sin dirección'!V:W,2,FALSE)</f>
        <v>Internet Services and Retailing</v>
      </c>
    </row>
    <row r="119" spans="1:14" x14ac:dyDescent="0.3">
      <c r="A119" s="2" t="s">
        <v>139</v>
      </c>
      <c r="H119">
        <v>7.7</v>
      </c>
      <c r="I119">
        <v>7.7</v>
      </c>
      <c r="J119">
        <v>7.7</v>
      </c>
      <c r="L119">
        <v>5.9</v>
      </c>
      <c r="M119">
        <v>0.9</v>
      </c>
      <c r="N119" t="str">
        <f>VLOOKUP(A119,'Originales sin dirección'!V:W,2,FALSE)</f>
        <v>Internet Services and Retailing</v>
      </c>
    </row>
    <row r="120" spans="1:14" x14ac:dyDescent="0.3">
      <c r="A120" t="s">
        <v>278</v>
      </c>
      <c r="G120">
        <v>13.100000000000001</v>
      </c>
      <c r="N120" t="s">
        <v>347</v>
      </c>
    </row>
    <row r="121" spans="1:14" x14ac:dyDescent="0.3">
      <c r="A121" t="s">
        <v>282</v>
      </c>
      <c r="B121">
        <v>13.100000000000001</v>
      </c>
      <c r="N121" t="s">
        <v>347</v>
      </c>
    </row>
    <row r="122" spans="1:14" x14ac:dyDescent="0.3">
      <c r="A122" t="s">
        <v>645</v>
      </c>
      <c r="D122">
        <v>3.2019000000000002</v>
      </c>
      <c r="N122" t="s">
        <v>347</v>
      </c>
    </row>
    <row r="123" spans="1:14" x14ac:dyDescent="0.3">
      <c r="A123" t="s">
        <v>622</v>
      </c>
      <c r="F123">
        <v>3</v>
      </c>
      <c r="G123">
        <v>3.6</v>
      </c>
      <c r="H123">
        <v>2.7</v>
      </c>
      <c r="I123">
        <v>2.7</v>
      </c>
      <c r="J123">
        <v>2.7</v>
      </c>
      <c r="K123">
        <v>3</v>
      </c>
      <c r="L123">
        <v>3.6</v>
      </c>
      <c r="M123">
        <v>0.9</v>
      </c>
      <c r="N123" t="s">
        <v>347</v>
      </c>
    </row>
    <row r="124" spans="1:14" x14ac:dyDescent="0.3">
      <c r="A124" t="s">
        <v>652</v>
      </c>
      <c r="B124">
        <v>3.6</v>
      </c>
      <c r="N124" t="s">
        <v>347</v>
      </c>
    </row>
    <row r="125" spans="1:14" x14ac:dyDescent="0.3">
      <c r="A125" t="s">
        <v>604</v>
      </c>
      <c r="F125">
        <v>6.9</v>
      </c>
      <c r="N125" t="s">
        <v>347</v>
      </c>
    </row>
    <row r="126" spans="1:14" x14ac:dyDescent="0.3">
      <c r="A126" t="s">
        <v>559</v>
      </c>
      <c r="C126">
        <v>6.6</v>
      </c>
      <c r="D126">
        <v>7.0019</v>
      </c>
      <c r="N126" t="s">
        <v>347</v>
      </c>
    </row>
    <row r="127" spans="1:14" x14ac:dyDescent="0.3">
      <c r="A127" t="s">
        <v>594</v>
      </c>
      <c r="G127">
        <v>7.3</v>
      </c>
      <c r="H127">
        <v>7.3</v>
      </c>
      <c r="I127">
        <v>7.3</v>
      </c>
      <c r="J127">
        <v>7.3</v>
      </c>
      <c r="K127">
        <v>3.8</v>
      </c>
      <c r="L127">
        <v>11.1</v>
      </c>
      <c r="M127">
        <v>12.6</v>
      </c>
      <c r="N127" t="s">
        <v>347</v>
      </c>
    </row>
    <row r="128" spans="1:14" x14ac:dyDescent="0.3">
      <c r="A128" t="s">
        <v>609</v>
      </c>
      <c r="B128">
        <v>7.3</v>
      </c>
      <c r="N128" t="s">
        <v>347</v>
      </c>
    </row>
    <row r="129" spans="1:14" x14ac:dyDescent="0.3">
      <c r="A129" t="s">
        <v>441</v>
      </c>
      <c r="F129">
        <v>7.5</v>
      </c>
      <c r="G129">
        <v>8</v>
      </c>
      <c r="H129">
        <v>8</v>
      </c>
      <c r="I129">
        <v>8</v>
      </c>
      <c r="J129">
        <v>8</v>
      </c>
      <c r="K129">
        <v>-0.8</v>
      </c>
      <c r="L129">
        <v>12.1</v>
      </c>
      <c r="M129">
        <v>7.3</v>
      </c>
      <c r="N129" t="s">
        <v>347</v>
      </c>
    </row>
    <row r="130" spans="1:14" x14ac:dyDescent="0.3">
      <c r="A130" t="s">
        <v>491</v>
      </c>
      <c r="B130">
        <v>8</v>
      </c>
      <c r="C130">
        <v>5.6</v>
      </c>
      <c r="D130">
        <v>5.7019000000000002</v>
      </c>
      <c r="N130" t="s">
        <v>347</v>
      </c>
    </row>
    <row r="131" spans="1:14" x14ac:dyDescent="0.3">
      <c r="A131" t="s">
        <v>614</v>
      </c>
      <c r="L131">
        <v>1.4</v>
      </c>
      <c r="M131">
        <v>3.9</v>
      </c>
      <c r="N131" t="s">
        <v>347</v>
      </c>
    </row>
    <row r="132" spans="1:14" x14ac:dyDescent="0.3">
      <c r="A132" t="s">
        <v>419</v>
      </c>
      <c r="F132">
        <v>7</v>
      </c>
      <c r="G132">
        <v>6.9</v>
      </c>
      <c r="H132">
        <v>6.5</v>
      </c>
      <c r="I132">
        <v>6.5</v>
      </c>
      <c r="J132">
        <v>6.5</v>
      </c>
      <c r="K132">
        <v>-2.6</v>
      </c>
      <c r="L132">
        <v>3.8</v>
      </c>
      <c r="M132">
        <v>0.2</v>
      </c>
      <c r="N132" t="s">
        <v>347</v>
      </c>
    </row>
    <row r="133" spans="1:14" x14ac:dyDescent="0.3">
      <c r="A133" t="s">
        <v>524</v>
      </c>
      <c r="B133">
        <v>6.9</v>
      </c>
      <c r="C133">
        <v>5.8</v>
      </c>
      <c r="D133">
        <v>5.8018999999999998</v>
      </c>
      <c r="N133" t="s">
        <v>347</v>
      </c>
    </row>
    <row r="134" spans="1:14" x14ac:dyDescent="0.3">
      <c r="A134" t="s">
        <v>567</v>
      </c>
      <c r="C134">
        <v>5.3</v>
      </c>
      <c r="N134" t="s">
        <v>347</v>
      </c>
    </row>
    <row r="135" spans="1:14" x14ac:dyDescent="0.3">
      <c r="A135" t="s">
        <v>603</v>
      </c>
      <c r="F135">
        <v>5.6</v>
      </c>
      <c r="G135">
        <v>5.6</v>
      </c>
      <c r="N135" t="s">
        <v>347</v>
      </c>
    </row>
    <row r="136" spans="1:14" x14ac:dyDescent="0.3">
      <c r="A136" t="s">
        <v>607</v>
      </c>
      <c r="B136">
        <v>5.6</v>
      </c>
      <c r="D136">
        <v>5.8018999999999998</v>
      </c>
      <c r="N136" t="s">
        <v>347</v>
      </c>
    </row>
    <row r="137" spans="1:14" x14ac:dyDescent="0.3">
      <c r="A137" t="s">
        <v>601</v>
      </c>
      <c r="H137">
        <v>4.3</v>
      </c>
      <c r="I137">
        <v>4.3</v>
      </c>
      <c r="J137">
        <v>4.3</v>
      </c>
      <c r="K137">
        <v>2.4</v>
      </c>
      <c r="L137">
        <v>17.2</v>
      </c>
      <c r="N137" t="s">
        <v>347</v>
      </c>
    </row>
    <row r="138" spans="1:14" x14ac:dyDescent="0.3">
      <c r="A138" t="s">
        <v>627</v>
      </c>
      <c r="F138">
        <v>5.4</v>
      </c>
      <c r="G138">
        <v>5.7</v>
      </c>
      <c r="H138">
        <v>4.7</v>
      </c>
      <c r="I138">
        <v>4.7</v>
      </c>
      <c r="J138">
        <v>4.7</v>
      </c>
      <c r="K138">
        <v>2.5</v>
      </c>
      <c r="L138">
        <v>4.8</v>
      </c>
      <c r="M138">
        <v>4.9000000000000004</v>
      </c>
      <c r="N138" t="s">
        <v>347</v>
      </c>
    </row>
    <row r="139" spans="1:14" x14ac:dyDescent="0.3">
      <c r="A139" t="s">
        <v>531</v>
      </c>
      <c r="B139">
        <v>5.7</v>
      </c>
      <c r="C139">
        <v>5.0999999999999996</v>
      </c>
      <c r="D139">
        <v>7.0019</v>
      </c>
      <c r="N139" t="s">
        <v>347</v>
      </c>
    </row>
    <row r="140" spans="1:14" x14ac:dyDescent="0.3">
      <c r="A140" t="s">
        <v>399</v>
      </c>
      <c r="M140">
        <v>5.2</v>
      </c>
      <c r="N140" t="s">
        <v>347</v>
      </c>
    </row>
    <row r="141" spans="1:14" x14ac:dyDescent="0.3">
      <c r="A141" t="s">
        <v>684</v>
      </c>
      <c r="D141">
        <v>1.8019000000000001</v>
      </c>
      <c r="N141" t="s">
        <v>347</v>
      </c>
    </row>
    <row r="142" spans="1:14" x14ac:dyDescent="0.3">
      <c r="A142" t="s">
        <v>368</v>
      </c>
      <c r="F142">
        <v>4.9000000000000004</v>
      </c>
      <c r="G142">
        <v>3</v>
      </c>
      <c r="H142">
        <v>2.2999999999999998</v>
      </c>
      <c r="I142">
        <v>2.2999999999999998</v>
      </c>
      <c r="J142">
        <v>2.2999999999999998</v>
      </c>
      <c r="K142">
        <v>-1</v>
      </c>
      <c r="L142">
        <v>13.2</v>
      </c>
      <c r="M142">
        <v>-1.3</v>
      </c>
      <c r="N142" t="s">
        <v>347</v>
      </c>
    </row>
    <row r="143" spans="1:14" x14ac:dyDescent="0.3">
      <c r="A143" t="s">
        <v>374</v>
      </c>
      <c r="B143">
        <v>3</v>
      </c>
      <c r="C143">
        <v>4.2</v>
      </c>
      <c r="D143">
        <v>4.9019000000000004</v>
      </c>
      <c r="N143" t="s">
        <v>347</v>
      </c>
    </row>
    <row r="144" spans="1:14" x14ac:dyDescent="0.3">
      <c r="A144" t="s">
        <v>479</v>
      </c>
      <c r="F144">
        <v>13.5</v>
      </c>
      <c r="G144">
        <v>8.5</v>
      </c>
      <c r="H144">
        <v>4.7</v>
      </c>
      <c r="I144">
        <v>4.7</v>
      </c>
      <c r="J144">
        <v>4.7</v>
      </c>
      <c r="K144">
        <v>2.7</v>
      </c>
      <c r="N144" t="s">
        <v>347</v>
      </c>
    </row>
    <row r="145" spans="1:14" x14ac:dyDescent="0.3">
      <c r="A145" t="s">
        <v>489</v>
      </c>
      <c r="B145">
        <v>8.5</v>
      </c>
      <c r="D145">
        <v>8.6019000000000005</v>
      </c>
      <c r="N145" t="s">
        <v>347</v>
      </c>
    </row>
    <row r="146" spans="1:14" x14ac:dyDescent="0.3">
      <c r="A146" t="s">
        <v>350</v>
      </c>
      <c r="F146">
        <v>6.4</v>
      </c>
      <c r="G146">
        <v>5.7</v>
      </c>
      <c r="H146">
        <v>5.4</v>
      </c>
      <c r="I146">
        <v>5.4</v>
      </c>
      <c r="J146">
        <v>5.4</v>
      </c>
      <c r="K146">
        <v>5.2</v>
      </c>
      <c r="L146">
        <v>7.9</v>
      </c>
      <c r="M146">
        <v>6.3</v>
      </c>
      <c r="N146" t="s">
        <v>347</v>
      </c>
    </row>
    <row r="147" spans="1:14" x14ac:dyDescent="0.3">
      <c r="A147" t="s">
        <v>355</v>
      </c>
      <c r="B147">
        <v>5.7</v>
      </c>
      <c r="C147">
        <v>4.0999999999999996</v>
      </c>
      <c r="D147">
        <v>3.4018999999999999</v>
      </c>
      <c r="N147" t="s">
        <v>347</v>
      </c>
    </row>
    <row r="148" spans="1:14" x14ac:dyDescent="0.3">
      <c r="A148" t="s">
        <v>473</v>
      </c>
      <c r="F148">
        <v>2.4</v>
      </c>
      <c r="G148">
        <v>4.4000000000000004</v>
      </c>
      <c r="H148">
        <v>3.8</v>
      </c>
      <c r="I148">
        <v>3.8</v>
      </c>
      <c r="J148">
        <v>3.8</v>
      </c>
      <c r="K148">
        <v>5</v>
      </c>
      <c r="L148">
        <v>4.9000000000000004</v>
      </c>
      <c r="M148">
        <v>3.9</v>
      </c>
      <c r="N148" t="s">
        <v>347</v>
      </c>
    </row>
    <row r="149" spans="1:14" x14ac:dyDescent="0.3">
      <c r="A149" t="s">
        <v>493</v>
      </c>
      <c r="B149">
        <v>4.4000000000000004</v>
      </c>
      <c r="C149">
        <v>3.7</v>
      </c>
      <c r="D149">
        <v>4.8018999999999998</v>
      </c>
      <c r="N149" t="s">
        <v>347</v>
      </c>
    </row>
    <row r="150" spans="1:14" x14ac:dyDescent="0.3">
      <c r="A150" t="s">
        <v>660</v>
      </c>
      <c r="F150">
        <v>7</v>
      </c>
      <c r="G150">
        <v>5.8</v>
      </c>
      <c r="H150">
        <v>1.6</v>
      </c>
      <c r="I150">
        <v>1.6</v>
      </c>
      <c r="J150">
        <v>1.6</v>
      </c>
      <c r="K150">
        <v>1.4</v>
      </c>
      <c r="L150">
        <v>4.2</v>
      </c>
      <c r="M150">
        <v>5.2</v>
      </c>
      <c r="N150" t="s">
        <v>347</v>
      </c>
    </row>
    <row r="151" spans="1:14" x14ac:dyDescent="0.3">
      <c r="A151" t="s">
        <v>552</v>
      </c>
      <c r="B151">
        <v>5.8</v>
      </c>
      <c r="C151">
        <v>10.1</v>
      </c>
      <c r="D151">
        <v>9.8018999999999998</v>
      </c>
      <c r="N151" t="s">
        <v>347</v>
      </c>
    </row>
    <row r="152" spans="1:14" x14ac:dyDescent="0.3">
      <c r="A152" t="s">
        <v>382</v>
      </c>
      <c r="F152">
        <v>3.9</v>
      </c>
      <c r="N152" t="s">
        <v>347</v>
      </c>
    </row>
    <row r="153" spans="1:14" x14ac:dyDescent="0.3">
      <c r="A153" t="s">
        <v>388</v>
      </c>
      <c r="C153">
        <v>2.9</v>
      </c>
      <c r="D153">
        <v>2.8018999999999998</v>
      </c>
      <c r="N153" t="s">
        <v>347</v>
      </c>
    </row>
    <row r="154" spans="1:14" x14ac:dyDescent="0.3">
      <c r="A154" t="s">
        <v>426</v>
      </c>
      <c r="G154">
        <v>6.8</v>
      </c>
      <c r="H154">
        <v>4.0999999999999996</v>
      </c>
      <c r="I154">
        <v>4.0999999999999996</v>
      </c>
      <c r="J154">
        <v>4.0999999999999996</v>
      </c>
      <c r="K154">
        <v>-1.2</v>
      </c>
      <c r="L154">
        <v>5.2</v>
      </c>
      <c r="M154">
        <v>0.9</v>
      </c>
      <c r="N154" t="s">
        <v>347</v>
      </c>
    </row>
    <row r="155" spans="1:14" x14ac:dyDescent="0.3">
      <c r="A155" t="s">
        <v>617</v>
      </c>
      <c r="B155">
        <v>6.8</v>
      </c>
      <c r="N155" t="s">
        <v>347</v>
      </c>
    </row>
    <row r="156" spans="1:14" x14ac:dyDescent="0.3">
      <c r="A156" t="s">
        <v>597</v>
      </c>
      <c r="M156">
        <v>9.6999999999999993</v>
      </c>
      <c r="N156" t="s">
        <v>347</v>
      </c>
    </row>
    <row r="157" spans="1:14" x14ac:dyDescent="0.3">
      <c r="A157" t="s">
        <v>655</v>
      </c>
      <c r="F157">
        <v>5.9</v>
      </c>
      <c r="G157">
        <v>5.6</v>
      </c>
      <c r="H157">
        <v>5.6</v>
      </c>
      <c r="I157">
        <v>5.6</v>
      </c>
      <c r="J157">
        <v>5.6</v>
      </c>
      <c r="K157">
        <v>2.2999999999999998</v>
      </c>
      <c r="L157">
        <v>4.2</v>
      </c>
      <c r="M157">
        <v>1.6</v>
      </c>
      <c r="N157" t="s">
        <v>347</v>
      </c>
    </row>
    <row r="158" spans="1:14" x14ac:dyDescent="0.3">
      <c r="A158" t="s">
        <v>511</v>
      </c>
      <c r="B158">
        <v>5.6</v>
      </c>
      <c r="C158">
        <v>4.5999999999999996</v>
      </c>
      <c r="D158">
        <v>4.5019</v>
      </c>
      <c r="N158" t="s">
        <v>347</v>
      </c>
    </row>
    <row r="159" spans="1:14" x14ac:dyDescent="0.3">
      <c r="A159" t="s">
        <v>503</v>
      </c>
      <c r="C159">
        <v>7.3</v>
      </c>
      <c r="N159" t="s">
        <v>347</v>
      </c>
    </row>
    <row r="160" spans="1:14" x14ac:dyDescent="0.3">
      <c r="A160" t="s">
        <v>581</v>
      </c>
      <c r="F160">
        <v>5.5</v>
      </c>
      <c r="G160">
        <v>8</v>
      </c>
      <c r="H160">
        <v>7.6</v>
      </c>
      <c r="I160">
        <v>7.6</v>
      </c>
      <c r="J160">
        <v>7.6</v>
      </c>
      <c r="N160" t="s">
        <v>347</v>
      </c>
    </row>
    <row r="161" spans="1:14" x14ac:dyDescent="0.3">
      <c r="A161" t="s">
        <v>589</v>
      </c>
      <c r="B161">
        <v>8</v>
      </c>
      <c r="D161">
        <v>5.6018999999999997</v>
      </c>
      <c r="N161" t="s">
        <v>347</v>
      </c>
    </row>
    <row r="162" spans="1:14" x14ac:dyDescent="0.3">
      <c r="A162" t="s">
        <v>639</v>
      </c>
      <c r="F162">
        <v>3.9</v>
      </c>
      <c r="G162">
        <v>2.9</v>
      </c>
      <c r="H162">
        <v>1.8</v>
      </c>
      <c r="I162">
        <v>1.8</v>
      </c>
      <c r="J162">
        <v>1.8</v>
      </c>
      <c r="K162">
        <v>-1.1000000000000001</v>
      </c>
      <c r="N162" t="s">
        <v>347</v>
      </c>
    </row>
    <row r="163" spans="1:14" x14ac:dyDescent="0.3">
      <c r="A163" t="s">
        <v>465</v>
      </c>
      <c r="B163">
        <v>2.9</v>
      </c>
      <c r="C163">
        <v>1.6</v>
      </c>
      <c r="D163">
        <v>5.0019</v>
      </c>
      <c r="N163" t="s">
        <v>347</v>
      </c>
    </row>
    <row r="164" spans="1:14" x14ac:dyDescent="0.3">
      <c r="A164" t="s">
        <v>434</v>
      </c>
      <c r="F164">
        <v>4.3</v>
      </c>
      <c r="G164">
        <v>5.7</v>
      </c>
      <c r="H164">
        <v>2.8</v>
      </c>
      <c r="I164">
        <v>2.8</v>
      </c>
      <c r="J164">
        <v>2.8</v>
      </c>
      <c r="K164">
        <v>-5.7</v>
      </c>
      <c r="L164">
        <v>2.6</v>
      </c>
      <c r="M164">
        <v>2.1</v>
      </c>
      <c r="N164" t="s">
        <v>347</v>
      </c>
    </row>
    <row r="165" spans="1:14" x14ac:dyDescent="0.3">
      <c r="A165" t="s">
        <v>562</v>
      </c>
      <c r="B165">
        <v>5.7</v>
      </c>
      <c r="C165">
        <v>3.6</v>
      </c>
      <c r="D165">
        <v>3.7019000000000002</v>
      </c>
      <c r="N165" t="s">
        <v>347</v>
      </c>
    </row>
    <row r="166" spans="1:14" x14ac:dyDescent="0.3">
      <c r="A166" t="s">
        <v>545</v>
      </c>
      <c r="C166">
        <v>-9</v>
      </c>
      <c r="N166" t="s">
        <v>347</v>
      </c>
    </row>
    <row r="167" spans="1:14" x14ac:dyDescent="0.3">
      <c r="A167" t="s">
        <v>456</v>
      </c>
      <c r="F167">
        <v>1.6</v>
      </c>
      <c r="G167">
        <v>3.2</v>
      </c>
      <c r="H167">
        <v>3.8</v>
      </c>
      <c r="I167">
        <v>3.8</v>
      </c>
      <c r="J167">
        <v>3.8</v>
      </c>
      <c r="N167" t="s">
        <v>347</v>
      </c>
    </row>
    <row r="168" spans="1:14" x14ac:dyDescent="0.3">
      <c r="A168" t="s">
        <v>459</v>
      </c>
      <c r="B168">
        <v>3.2</v>
      </c>
      <c r="D168">
        <v>-4.3000999999999996</v>
      </c>
      <c r="N168" t="s">
        <v>347</v>
      </c>
    </row>
    <row r="169" spans="1:14" x14ac:dyDescent="0.3">
      <c r="A169" t="s">
        <v>413</v>
      </c>
      <c r="F169">
        <v>6.2</v>
      </c>
      <c r="G169">
        <v>6.7</v>
      </c>
      <c r="H169">
        <v>5.8</v>
      </c>
      <c r="I169">
        <v>5.8</v>
      </c>
      <c r="J169">
        <v>5.8</v>
      </c>
      <c r="K169">
        <v>-18.399999999999999</v>
      </c>
      <c r="L169">
        <v>1.9</v>
      </c>
      <c r="M169">
        <v>-0.7</v>
      </c>
      <c r="N169" t="s">
        <v>347</v>
      </c>
    </row>
    <row r="170" spans="1:14" x14ac:dyDescent="0.3">
      <c r="A170" t="s">
        <v>590</v>
      </c>
      <c r="B170">
        <v>6.7</v>
      </c>
      <c r="N170" t="s">
        <v>347</v>
      </c>
    </row>
    <row r="171" spans="1:14" x14ac:dyDescent="0.3">
      <c r="A171" t="s">
        <v>542</v>
      </c>
      <c r="C171">
        <v>4.3</v>
      </c>
      <c r="D171">
        <v>1.4018999999999999</v>
      </c>
      <c r="N171" t="s">
        <v>347</v>
      </c>
    </row>
    <row r="172" spans="1:14" x14ac:dyDescent="0.3">
      <c r="A172" t="s">
        <v>636</v>
      </c>
      <c r="F172">
        <v>3.1</v>
      </c>
      <c r="G172">
        <v>3.8</v>
      </c>
      <c r="H172">
        <v>3.7</v>
      </c>
      <c r="I172">
        <v>3.7</v>
      </c>
      <c r="J172">
        <v>3.7</v>
      </c>
      <c r="K172">
        <v>1.9</v>
      </c>
      <c r="L172">
        <v>2.9</v>
      </c>
      <c r="N172" t="s">
        <v>347</v>
      </c>
    </row>
    <row r="173" spans="1:14" x14ac:dyDescent="0.3">
      <c r="A173" t="s">
        <v>214</v>
      </c>
      <c r="B173">
        <v>3.8</v>
      </c>
      <c r="N173" t="s">
        <v>347</v>
      </c>
    </row>
    <row r="174" spans="1:14" x14ac:dyDescent="0.3">
      <c r="A174" t="s">
        <v>666</v>
      </c>
      <c r="L174">
        <v>9.5</v>
      </c>
      <c r="M174">
        <v>9.4</v>
      </c>
      <c r="N174" t="s">
        <v>347</v>
      </c>
    </row>
    <row r="175" spans="1:14" x14ac:dyDescent="0.3">
      <c r="A175" t="s">
        <v>518</v>
      </c>
      <c r="C175">
        <v>3.1</v>
      </c>
      <c r="N175" t="s">
        <v>347</v>
      </c>
    </row>
    <row r="176" spans="1:14" x14ac:dyDescent="0.3">
      <c r="A176" t="s">
        <v>625</v>
      </c>
      <c r="F176">
        <v>3.7</v>
      </c>
      <c r="G176">
        <v>5</v>
      </c>
      <c r="H176">
        <v>4.5999999999999996</v>
      </c>
      <c r="I176">
        <v>4.5999999999999996</v>
      </c>
      <c r="J176">
        <v>4.5999999999999996</v>
      </c>
      <c r="K176">
        <v>4.5999999999999996</v>
      </c>
      <c r="L176">
        <v>4.5</v>
      </c>
      <c r="M176">
        <v>4.8</v>
      </c>
      <c r="N176" t="s">
        <v>347</v>
      </c>
    </row>
    <row r="177" spans="1:14" x14ac:dyDescent="0.3">
      <c r="A177" t="s">
        <v>647</v>
      </c>
      <c r="B177">
        <v>5</v>
      </c>
      <c r="D177">
        <v>3.7019000000000002</v>
      </c>
      <c r="N177" t="s">
        <v>347</v>
      </c>
    </row>
    <row r="178" spans="1:14" x14ac:dyDescent="0.3">
      <c r="A178" t="s">
        <v>630</v>
      </c>
      <c r="F178">
        <v>8.1</v>
      </c>
      <c r="G178">
        <v>6.6</v>
      </c>
      <c r="H178">
        <v>6.2</v>
      </c>
      <c r="I178">
        <v>6.2</v>
      </c>
      <c r="J178">
        <v>6.2</v>
      </c>
      <c r="K178">
        <v>8.3000000000000007</v>
      </c>
      <c r="L178">
        <v>9.1</v>
      </c>
      <c r="M178">
        <v>6.6</v>
      </c>
      <c r="N178" t="s">
        <v>347</v>
      </c>
    </row>
    <row r="179" spans="1:14" x14ac:dyDescent="0.3">
      <c r="A179" t="s">
        <v>577</v>
      </c>
      <c r="B179">
        <v>6.6</v>
      </c>
      <c r="C179">
        <v>4.4000000000000004</v>
      </c>
      <c r="D179">
        <v>7.1018999999999997</v>
      </c>
      <c r="N179" t="s">
        <v>347</v>
      </c>
    </row>
    <row r="180" spans="1:14" x14ac:dyDescent="0.3">
      <c r="A180" t="s">
        <v>362</v>
      </c>
      <c r="K180">
        <v>2.2999999999999998</v>
      </c>
      <c r="L180">
        <v>10.3</v>
      </c>
      <c r="M180">
        <v>15.4</v>
      </c>
      <c r="N180" t="s">
        <v>347</v>
      </c>
    </row>
    <row r="181" spans="1:14" x14ac:dyDescent="0.3">
      <c r="A181" t="s">
        <v>406</v>
      </c>
      <c r="F181">
        <v>4</v>
      </c>
      <c r="G181">
        <v>2.8</v>
      </c>
      <c r="H181">
        <v>-9.5</v>
      </c>
      <c r="I181">
        <v>-9.5</v>
      </c>
      <c r="J181">
        <v>-9.5</v>
      </c>
      <c r="K181">
        <v>-5.3</v>
      </c>
      <c r="L181">
        <v>-4.0999999999999996</v>
      </c>
      <c r="N181" t="s">
        <v>347</v>
      </c>
    </row>
    <row r="182" spans="1:14" x14ac:dyDescent="0.3">
      <c r="A182" t="s">
        <v>521</v>
      </c>
      <c r="B182">
        <v>2.8</v>
      </c>
      <c r="C182">
        <v>5.2</v>
      </c>
      <c r="D182">
        <v>6.0019</v>
      </c>
      <c r="N182" t="s">
        <v>347</v>
      </c>
    </row>
    <row r="183" spans="1:14" x14ac:dyDescent="0.3">
      <c r="A183" t="s">
        <v>450</v>
      </c>
      <c r="F183">
        <v>-0.6</v>
      </c>
      <c r="G183">
        <v>2.5</v>
      </c>
      <c r="N183" t="s">
        <v>347</v>
      </c>
    </row>
    <row r="184" spans="1:14" x14ac:dyDescent="0.3">
      <c r="A184" t="s">
        <v>468</v>
      </c>
      <c r="B184">
        <v>2.5</v>
      </c>
      <c r="C184">
        <v>11.3</v>
      </c>
      <c r="D184">
        <v>4.6018999999999997</v>
      </c>
      <c r="N184" t="s">
        <v>347</v>
      </c>
    </row>
    <row r="185" spans="1:14" x14ac:dyDescent="0.3">
      <c r="A185" t="s">
        <v>658</v>
      </c>
      <c r="F185">
        <v>4.8</v>
      </c>
      <c r="G185">
        <v>4.4000000000000004</v>
      </c>
      <c r="H185">
        <v>6.4</v>
      </c>
      <c r="I185">
        <v>6.4</v>
      </c>
      <c r="J185">
        <v>6.4</v>
      </c>
      <c r="K185">
        <v>5.7</v>
      </c>
      <c r="L185">
        <v>8.8000000000000007</v>
      </c>
      <c r="M185">
        <v>6.9</v>
      </c>
      <c r="N185" t="s">
        <v>347</v>
      </c>
    </row>
    <row r="186" spans="1:14" x14ac:dyDescent="0.3">
      <c r="A186" t="s">
        <v>688</v>
      </c>
      <c r="B186">
        <v>4.4000000000000004</v>
      </c>
      <c r="N186" t="s">
        <v>347</v>
      </c>
    </row>
    <row r="187" spans="1:14" x14ac:dyDescent="0.3">
      <c r="A187" t="s">
        <v>539</v>
      </c>
      <c r="C187">
        <v>3.6</v>
      </c>
      <c r="D187">
        <v>1.3019000000000001</v>
      </c>
      <c r="N187" t="s">
        <v>347</v>
      </c>
    </row>
    <row r="188" spans="1:14" x14ac:dyDescent="0.3">
      <c r="A188" t="s">
        <v>599</v>
      </c>
      <c r="H188">
        <v>5.0999999999999996</v>
      </c>
      <c r="I188">
        <v>5.0999999999999996</v>
      </c>
      <c r="J188">
        <v>5.0999999999999996</v>
      </c>
      <c r="K188">
        <v>4</v>
      </c>
      <c r="L188">
        <v>6.1</v>
      </c>
      <c r="M188">
        <v>5.2</v>
      </c>
      <c r="N188" t="s">
        <v>347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86B10-80A2-4A73-B724-60584C4E10C7}">
  <dimension ref="A1:N119"/>
  <sheetViews>
    <sheetView workbookViewId="0">
      <selection activeCell="A120" sqref="A120:XFD120"/>
    </sheetView>
  </sheetViews>
  <sheetFormatPr baseColWidth="10" defaultRowHeight="14.4" x14ac:dyDescent="0.3"/>
  <sheetData>
    <row r="1" spans="1:14" x14ac:dyDescent="0.3">
      <c r="A1" s="3"/>
      <c r="B1" s="3">
        <v>2011</v>
      </c>
      <c r="C1" s="3">
        <v>2012</v>
      </c>
      <c r="D1" s="3">
        <v>2013</v>
      </c>
      <c r="E1" s="3">
        <v>2014</v>
      </c>
      <c r="F1" s="3">
        <v>2015</v>
      </c>
      <c r="G1" s="3">
        <v>2016</v>
      </c>
      <c r="H1" s="3">
        <v>2017</v>
      </c>
      <c r="I1" s="3">
        <v>2018</v>
      </c>
      <c r="J1" s="3">
        <v>2019</v>
      </c>
      <c r="K1" s="3">
        <v>2020</v>
      </c>
      <c r="L1" s="3">
        <v>2021</v>
      </c>
      <c r="M1" s="3">
        <v>2022</v>
      </c>
    </row>
    <row r="2" spans="1:14" x14ac:dyDescent="0.3">
      <c r="A2" s="2" t="s">
        <v>298</v>
      </c>
      <c r="G2">
        <v>0</v>
      </c>
      <c r="N2" t="str">
        <f>VLOOKUP(A2,'Originales sin dirección'!V:W,2,FALSE)</f>
        <v>Computers, Office Equipment</v>
      </c>
    </row>
    <row r="3" spans="1:14" x14ac:dyDescent="0.3">
      <c r="A3" s="2" t="s">
        <v>278</v>
      </c>
      <c r="F3">
        <v>0</v>
      </c>
      <c r="G3">
        <v>0</v>
      </c>
      <c r="H3">
        <v>0</v>
      </c>
      <c r="I3">
        <v>0</v>
      </c>
      <c r="J3">
        <v>0</v>
      </c>
      <c r="N3" t="str">
        <f>VLOOKUP(A3,'Originales sin dirección'!V:W,2,FALSE)</f>
        <v>Computers, Office Equipment</v>
      </c>
    </row>
    <row r="4" spans="1:14" x14ac:dyDescent="0.3">
      <c r="A4" s="2" t="s">
        <v>282</v>
      </c>
      <c r="B4">
        <v>0</v>
      </c>
      <c r="N4" t="str">
        <f>VLOOKUP(A4,'Originales sin dirección'!V:W,2,FALSE)</f>
        <v>Internet Services and Retailing</v>
      </c>
    </row>
    <row r="5" spans="1:14" x14ac:dyDescent="0.3">
      <c r="A5" s="2" t="s">
        <v>307</v>
      </c>
      <c r="B5">
        <v>0</v>
      </c>
      <c r="N5" t="str">
        <f>VLOOKUP(A5,'Originales sin dirección'!V:W,2,FALSE)</f>
        <v>Telecommunications</v>
      </c>
    </row>
    <row r="6" spans="1:14" x14ac:dyDescent="0.3">
      <c r="A6" s="2" t="s">
        <v>81</v>
      </c>
      <c r="F6">
        <v>604304.1</v>
      </c>
      <c r="G6">
        <v>753717.9</v>
      </c>
      <c r="H6">
        <v>895667.4</v>
      </c>
      <c r="I6">
        <v>895667.4</v>
      </c>
      <c r="J6">
        <v>895667.4</v>
      </c>
      <c r="K6">
        <v>2050665.9</v>
      </c>
      <c r="L6">
        <v>2849537.6</v>
      </c>
      <c r="M6">
        <v>2609038.9</v>
      </c>
      <c r="N6" t="str">
        <f>VLOOKUP(A6,'Originales sin dirección'!V:W,2,FALSE)</f>
        <v>Computers, Office Equipment</v>
      </c>
    </row>
    <row r="7" spans="1:14" x14ac:dyDescent="0.3">
      <c r="A7" s="2" t="s">
        <v>87</v>
      </c>
      <c r="B7">
        <v>753717.9</v>
      </c>
      <c r="C7">
        <v>415683.3</v>
      </c>
      <c r="D7">
        <v>479069.4019</v>
      </c>
      <c r="N7" t="str">
        <f>VLOOKUP(A7,'Originales sin dirección'!V:W,2,FALSE)</f>
        <v>Computers, Office Equipment</v>
      </c>
    </row>
    <row r="8" spans="1:14" x14ac:dyDescent="0.3">
      <c r="A8" s="2" t="s">
        <v>148</v>
      </c>
      <c r="G8">
        <v>0</v>
      </c>
      <c r="N8" t="str">
        <f>VLOOKUP(A8,'Originales sin dirección'!V:W,2,FALSE)</f>
        <v>Telecommunications</v>
      </c>
    </row>
    <row r="9" spans="1:14" x14ac:dyDescent="0.3">
      <c r="A9" s="2" t="s">
        <v>178</v>
      </c>
      <c r="B9">
        <v>0</v>
      </c>
      <c r="N9" t="str">
        <f>VLOOKUP(A9,'Originales sin dirección'!V:W,2,FALSE)</f>
        <v>Telecommunications</v>
      </c>
    </row>
    <row r="10" spans="1:14" x14ac:dyDescent="0.3">
      <c r="A10" s="2" t="s">
        <v>290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 t="str">
        <f>VLOOKUP(A10,'Originales sin dirección'!V:W,2,FALSE)</f>
        <v>Telecommunications</v>
      </c>
    </row>
    <row r="11" spans="1:14" x14ac:dyDescent="0.3">
      <c r="A11" s="2" t="s">
        <v>235</v>
      </c>
      <c r="B11">
        <v>0</v>
      </c>
      <c r="C11">
        <v>0</v>
      </c>
      <c r="D11">
        <v>0</v>
      </c>
      <c r="N11" t="str">
        <f>VLOOKUP(A11,'Originales sin dirección'!V:W,2,FALSE)</f>
        <v>Telecommunications</v>
      </c>
    </row>
    <row r="12" spans="1:14" x14ac:dyDescent="0.3">
      <c r="A12" s="2" t="s">
        <v>65</v>
      </c>
      <c r="F12">
        <v>279510.7</v>
      </c>
      <c r="G12">
        <v>423030.8</v>
      </c>
      <c r="H12">
        <v>874709.5</v>
      </c>
      <c r="I12">
        <v>874709.5</v>
      </c>
      <c r="J12">
        <v>874709.5</v>
      </c>
      <c r="K12">
        <v>1558069.6</v>
      </c>
      <c r="L12">
        <v>1658807.3</v>
      </c>
      <c r="M12">
        <v>1058439.5</v>
      </c>
      <c r="N12" t="str">
        <f>VLOOKUP(A12,'Originales sin dirección'!V:W,2,FALSE)</f>
        <v>Internet Services and Retailing</v>
      </c>
    </row>
    <row r="13" spans="1:14" x14ac:dyDescent="0.3">
      <c r="A13" s="2" t="s">
        <v>67</v>
      </c>
      <c r="B13">
        <v>423030.8</v>
      </c>
      <c r="C13">
        <v>121133.3</v>
      </c>
      <c r="D13">
        <v>154480.5019</v>
      </c>
      <c r="N13" t="str">
        <f>VLOOKUP(A13,'Originales sin dirección'!V:W,2,FALSE)</f>
        <v>Internet Services and Retailing</v>
      </c>
    </row>
    <row r="14" spans="1:14" x14ac:dyDescent="0.3">
      <c r="A14" s="2" t="s">
        <v>272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 t="str">
        <f>VLOOKUP(A14,'Originales sin dirección'!V:W,2,FALSE)</f>
        <v>Internet Services and Retailing</v>
      </c>
    </row>
    <row r="15" spans="1:14" x14ac:dyDescent="0.3">
      <c r="A15" s="2" t="s">
        <v>281</v>
      </c>
      <c r="B15">
        <v>0</v>
      </c>
      <c r="N15" t="str">
        <f>VLOOKUP(A15,'Originales sin dirección'!V:W,2,FALSE)</f>
        <v>Internet Services and Retailing</v>
      </c>
    </row>
    <row r="16" spans="1:14" x14ac:dyDescent="0.3">
      <c r="A16" s="2" t="s">
        <v>261</v>
      </c>
      <c r="F16">
        <v>0</v>
      </c>
      <c r="G16">
        <v>0</v>
      </c>
      <c r="H16">
        <v>0</v>
      </c>
      <c r="I16">
        <v>0</v>
      </c>
      <c r="J16">
        <v>0</v>
      </c>
      <c r="N16" t="str">
        <f>VLOOKUP(A16,'Originales sin dirección'!V:W,2,FALSE)</f>
        <v>Telecommunications</v>
      </c>
    </row>
    <row r="17" spans="1:14" x14ac:dyDescent="0.3">
      <c r="A17" s="2" t="s">
        <v>220</v>
      </c>
      <c r="B17">
        <v>0</v>
      </c>
      <c r="C17">
        <v>0</v>
      </c>
      <c r="D17">
        <v>0</v>
      </c>
      <c r="N17" t="str">
        <f>VLOOKUP(A17,'Originales sin dirección'!V:W,2,FALSE)</f>
        <v>Telecommunications</v>
      </c>
    </row>
    <row r="18" spans="1:14" x14ac:dyDescent="0.3">
      <c r="A18" s="2" t="s">
        <v>259</v>
      </c>
      <c r="K18">
        <v>0</v>
      </c>
      <c r="N18" t="str">
        <f>VLOOKUP(A18,'Originales sin dirección'!V:W,2,FALSE)</f>
        <v>Telecommunications</v>
      </c>
    </row>
    <row r="19" spans="1:14" x14ac:dyDescent="0.3">
      <c r="A19" s="2" t="s">
        <v>196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N19" t="str">
        <f>VLOOKUP(A19,'Originales sin dirección'!V:W,2,FALSE)</f>
        <v>Computers, Office Equipment</v>
      </c>
    </row>
    <row r="20" spans="1:14" x14ac:dyDescent="0.3">
      <c r="A20" s="2" t="s">
        <v>203</v>
      </c>
      <c r="B20">
        <v>0</v>
      </c>
      <c r="C20">
        <v>0</v>
      </c>
      <c r="D20">
        <v>0</v>
      </c>
      <c r="N20" t="str">
        <f>VLOOKUP(A20,'Originales sin dirección'!V:W,2,FALSE)</f>
        <v>Computers, Office Equipment</v>
      </c>
    </row>
    <row r="21" spans="1:14" x14ac:dyDescent="0.3">
      <c r="A21" s="2" t="s">
        <v>45</v>
      </c>
      <c r="G21">
        <v>100595.2</v>
      </c>
      <c r="H21">
        <v>85923.4</v>
      </c>
      <c r="I21">
        <v>85923.4</v>
      </c>
      <c r="J21">
        <v>85923.4</v>
      </c>
      <c r="K21">
        <v>128965.7</v>
      </c>
      <c r="L21">
        <v>112803.4</v>
      </c>
      <c r="M21">
        <v>60477.4</v>
      </c>
      <c r="N21" t="str">
        <f>VLOOKUP(A21,'Originales sin dirección'!V:W,2,FALSE)</f>
        <v>Telecommunications</v>
      </c>
    </row>
    <row r="22" spans="1:14" x14ac:dyDescent="0.3">
      <c r="A22" s="2" t="s">
        <v>122</v>
      </c>
      <c r="B22">
        <v>100595.2</v>
      </c>
      <c r="N22" t="str">
        <f>VLOOKUP(A22,'Originales sin dirección'!V:W,2,FALSE)</f>
        <v>Telecommunications</v>
      </c>
    </row>
    <row r="23" spans="1:14" x14ac:dyDescent="0.3">
      <c r="A23" s="2" t="s">
        <v>69</v>
      </c>
      <c r="C23">
        <v>110805.9</v>
      </c>
      <c r="N23" t="str">
        <f>VLOOKUP(A23,'Originales sin dirección'!V:W,2,FALSE)</f>
        <v>Telecommunications</v>
      </c>
    </row>
    <row r="24" spans="1:14" x14ac:dyDescent="0.3">
      <c r="A24" s="2" t="s">
        <v>93</v>
      </c>
      <c r="F24">
        <v>149181.70000000001</v>
      </c>
      <c r="G24">
        <v>178257.8</v>
      </c>
      <c r="H24">
        <v>180948</v>
      </c>
      <c r="I24">
        <v>180948</v>
      </c>
      <c r="J24">
        <v>180948</v>
      </c>
      <c r="K24">
        <v>247859.3</v>
      </c>
      <c r="L24">
        <v>212245.8</v>
      </c>
      <c r="M24">
        <v>159830.70000000001</v>
      </c>
      <c r="N24" t="str">
        <f>VLOOKUP(A24,'Originales sin dirección'!V:W,2,FALSE)</f>
        <v>Telecommunications</v>
      </c>
    </row>
    <row r="25" spans="1:14" x14ac:dyDescent="0.3">
      <c r="A25" s="2" t="s">
        <v>110</v>
      </c>
      <c r="B25">
        <v>178257.8</v>
      </c>
      <c r="D25">
        <v>130431.7019</v>
      </c>
      <c r="N25" t="str">
        <f>VLOOKUP(A25,'Originales sin dirección'!V:W,2,FALSE)</f>
        <v>Telecommunications</v>
      </c>
    </row>
    <row r="26" spans="1:14" x14ac:dyDescent="0.3">
      <c r="A26" s="2" t="s">
        <v>56</v>
      </c>
      <c r="M26">
        <v>199780</v>
      </c>
      <c r="N26" t="str">
        <f>VLOOKUP(A26,'Originales sin dirección'!V:W,2,FALSE)</f>
        <v>Computer Software</v>
      </c>
    </row>
    <row r="27" spans="1:14" x14ac:dyDescent="0.3">
      <c r="A27" s="2" t="s">
        <v>31</v>
      </c>
      <c r="H27">
        <v>42170.5</v>
      </c>
      <c r="I27">
        <v>42170.5</v>
      </c>
      <c r="J27">
        <v>42170.5</v>
      </c>
      <c r="K27">
        <v>67229.100000000006</v>
      </c>
      <c r="L27">
        <v>38164.400000000001</v>
      </c>
      <c r="M27">
        <v>29401.7</v>
      </c>
      <c r="N27" t="str">
        <f>VLOOKUP(A27,'Originales sin dirección'!V:W,2,FALSE)</f>
        <v>Computers, Office Equipment</v>
      </c>
    </row>
    <row r="28" spans="1:14" x14ac:dyDescent="0.3">
      <c r="A28" s="2" t="s">
        <v>114</v>
      </c>
      <c r="C28">
        <v>25037.7</v>
      </c>
      <c r="N28" t="str">
        <f>VLOOKUP(A28,'Originales sin dirección'!V:W,2,FALSE)</f>
        <v>Computers, Office Equipment</v>
      </c>
    </row>
    <row r="29" spans="1:14" x14ac:dyDescent="0.3">
      <c r="A29" s="2" t="s">
        <v>256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 t="str">
        <f>VLOOKUP(A29,'Originales sin dirección'!V:W,2,FALSE)</f>
        <v>Telecommunications</v>
      </c>
    </row>
    <row r="30" spans="1:14" x14ac:dyDescent="0.3">
      <c r="A30" s="2" t="s">
        <v>164</v>
      </c>
      <c r="B30">
        <v>0</v>
      </c>
      <c r="C30">
        <v>0</v>
      </c>
      <c r="D30">
        <v>0</v>
      </c>
      <c r="N30" t="str">
        <f>VLOOKUP(A30,'Originales sin dirección'!V:W,2,FALSE)</f>
        <v>Telecommunications</v>
      </c>
    </row>
    <row r="31" spans="1:14" x14ac:dyDescent="0.3">
      <c r="A31" s="2" t="s">
        <v>51</v>
      </c>
      <c r="C31">
        <v>32432.799999999999</v>
      </c>
      <c r="D31">
        <v>38933.901899999997</v>
      </c>
      <c r="N31" t="str">
        <f>VLOOKUP(A31,'Originales sin dirección'!V:W,2,FALSE)</f>
        <v>Telecommunications</v>
      </c>
    </row>
    <row r="32" spans="1:14" x14ac:dyDescent="0.3">
      <c r="A32" s="2" t="s">
        <v>106</v>
      </c>
      <c r="F32">
        <v>51888.800000000003</v>
      </c>
      <c r="N32" t="str">
        <f>VLOOKUP(A32,'Originales sin dirección'!V:W,2,FALSE)</f>
        <v>Computers, Office Equipment</v>
      </c>
    </row>
    <row r="33" spans="1:14" x14ac:dyDescent="0.3">
      <c r="A33" s="2" t="s">
        <v>104</v>
      </c>
      <c r="F33">
        <v>34972.6</v>
      </c>
      <c r="N33" t="str">
        <f>VLOOKUP(A33,'Originales sin dirección'!V:W,2,FALSE)</f>
        <v>Electronics, Electrical Equip.</v>
      </c>
    </row>
    <row r="34" spans="1:14" x14ac:dyDescent="0.3">
      <c r="A34" s="2" t="s">
        <v>108</v>
      </c>
      <c r="C34">
        <v>40342.199999999997</v>
      </c>
      <c r="D34">
        <v>46959.501900000003</v>
      </c>
      <c r="N34" t="str">
        <f>VLOOKUP(A34,'Originales sin dirección'!V:W,2,FALSE)</f>
        <v>Electronics, Electrical Equip.</v>
      </c>
    </row>
    <row r="35" spans="1:14" x14ac:dyDescent="0.3">
      <c r="A35" s="2" t="s">
        <v>41</v>
      </c>
      <c r="G35">
        <v>410521.8</v>
      </c>
      <c r="H35">
        <v>475731.6</v>
      </c>
      <c r="I35">
        <v>475731.6</v>
      </c>
      <c r="J35">
        <v>475731.6</v>
      </c>
      <c r="K35">
        <v>838724.2</v>
      </c>
      <c r="N35" t="str">
        <f>VLOOKUP(A35,'Originales sin dirección'!V:W,2,FALSE)</f>
        <v>Internet Services and Retailing</v>
      </c>
    </row>
    <row r="36" spans="1:14" x14ac:dyDescent="0.3">
      <c r="A36" s="2" t="s">
        <v>53</v>
      </c>
      <c r="B36">
        <v>410521.8</v>
      </c>
      <c r="N36" t="str">
        <f>VLOOKUP(A36,'Originales sin dirección'!V:W,2,FALSE)</f>
        <v>Internet Services and Retailing</v>
      </c>
    </row>
    <row r="37" spans="1:14" x14ac:dyDescent="0.3">
      <c r="A37" s="2" t="s">
        <v>158</v>
      </c>
      <c r="C37">
        <v>0</v>
      </c>
      <c r="D37">
        <v>0</v>
      </c>
      <c r="N37" t="str">
        <f>VLOOKUP(A37,'Originales sin dirección'!V:W,2,FALSE)</f>
        <v>Computers, Office Equipment</v>
      </c>
    </row>
    <row r="38" spans="1:14" x14ac:dyDescent="0.3">
      <c r="A38" s="2" t="s">
        <v>294</v>
      </c>
      <c r="K38">
        <v>0</v>
      </c>
      <c r="N38" t="str">
        <f>VLOOKUP(A38,'Originales sin dirección'!V:W,2,FALSE)</f>
        <v>Electronics, Electrical Equip.</v>
      </c>
    </row>
    <row r="39" spans="1:14" x14ac:dyDescent="0.3">
      <c r="A39" s="2" t="s">
        <v>232</v>
      </c>
      <c r="C39">
        <v>0</v>
      </c>
      <c r="N39" t="str">
        <f>VLOOKUP(A39,'Originales sin dirección'!V:W,2,FALSE)</f>
        <v>Telecommunications</v>
      </c>
    </row>
    <row r="40" spans="1:14" x14ac:dyDescent="0.3">
      <c r="A40" s="2" t="s">
        <v>48</v>
      </c>
      <c r="C40">
        <v>261814.6</v>
      </c>
      <c r="D40">
        <v>375416.60190000001</v>
      </c>
      <c r="N40" t="str">
        <f>VLOOKUP(A40,'Originales sin dirección'!V:W,2,FALSE)</f>
        <v>Internet Services and Retailing</v>
      </c>
    </row>
    <row r="41" spans="1:14" x14ac:dyDescent="0.3">
      <c r="A41" s="2" t="s">
        <v>78</v>
      </c>
      <c r="F41">
        <v>525119.19999999995</v>
      </c>
      <c r="G41">
        <v>579426.1</v>
      </c>
      <c r="H41">
        <v>816824.2</v>
      </c>
      <c r="I41">
        <v>816824.2</v>
      </c>
      <c r="J41">
        <v>816824.2</v>
      </c>
      <c r="K41">
        <v>1392561.8</v>
      </c>
      <c r="L41">
        <v>1842326.1</v>
      </c>
      <c r="M41">
        <v>1330200.7</v>
      </c>
      <c r="N41" t="str">
        <f>VLOOKUP(A41,'Originales sin dirección'!V:W,2,FALSE)</f>
        <v>Internet Services and Retailing</v>
      </c>
    </row>
    <row r="42" spans="1:14" x14ac:dyDescent="0.3">
      <c r="A42" s="2" t="s">
        <v>88</v>
      </c>
      <c r="B42">
        <v>579426.1</v>
      </c>
      <c r="N42" t="str">
        <f>VLOOKUP(A42,'Originales sin dirección'!V:W,2,FALSE)</f>
        <v>Internet Services and Retailing</v>
      </c>
    </row>
    <row r="43" spans="1:14" x14ac:dyDescent="0.3">
      <c r="A43" s="2" t="s">
        <v>291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 t="str">
        <f>VLOOKUP(A43,'Originales sin dirección'!V:W,2,FALSE)</f>
        <v>Electronics, Electrical Equip.</v>
      </c>
    </row>
    <row r="44" spans="1:14" x14ac:dyDescent="0.3">
      <c r="A44" s="2" t="s">
        <v>244</v>
      </c>
      <c r="B44">
        <v>0</v>
      </c>
      <c r="C44">
        <v>0</v>
      </c>
      <c r="D44">
        <v>0</v>
      </c>
      <c r="N44" t="str">
        <f>VLOOKUP(A44,'Originales sin dirección'!V:W,2,FALSE)</f>
        <v>Electronics, Electrical Equip.</v>
      </c>
    </row>
    <row r="45" spans="1:14" x14ac:dyDescent="0.3">
      <c r="A45" s="2" t="s">
        <v>91</v>
      </c>
      <c r="F45">
        <v>85307.6</v>
      </c>
      <c r="G45">
        <v>94990.9</v>
      </c>
      <c r="H45">
        <v>115752.5</v>
      </c>
      <c r="I45">
        <v>115752.5</v>
      </c>
      <c r="J45">
        <v>115752.5</v>
      </c>
      <c r="K45">
        <v>150972.4</v>
      </c>
      <c r="L45">
        <v>133381</v>
      </c>
      <c r="M45">
        <v>127695</v>
      </c>
      <c r="N45" t="str">
        <f>VLOOKUP(A45,'Originales sin dirección'!V:W,2,FALSE)</f>
        <v>Electronics, Electrical Equip.</v>
      </c>
    </row>
    <row r="46" spans="1:14" x14ac:dyDescent="0.3">
      <c r="A46" s="2" t="s">
        <v>109</v>
      </c>
      <c r="B46">
        <v>94990.9</v>
      </c>
      <c r="D46">
        <v>72537.7019</v>
      </c>
      <c r="N46" t="str">
        <f>VLOOKUP(A46,'Originales sin dirección'!V:W,2,FALSE)</f>
        <v>Electronics, Electrical Equip.</v>
      </c>
    </row>
    <row r="47" spans="1:14" x14ac:dyDescent="0.3">
      <c r="A47" s="2" t="s">
        <v>38</v>
      </c>
      <c r="H47">
        <v>21144.9</v>
      </c>
      <c r="I47">
        <v>21144.9</v>
      </c>
      <c r="J47">
        <v>21144.9</v>
      </c>
      <c r="K47">
        <v>20480</v>
      </c>
      <c r="N47" t="str">
        <f>VLOOKUP(A47,'Originales sin dirección'!V:W,2,FALSE)</f>
        <v>Computers, Office Equipment</v>
      </c>
    </row>
    <row r="48" spans="1:14" x14ac:dyDescent="0.3">
      <c r="A48" s="2" t="s">
        <v>59</v>
      </c>
      <c r="F48">
        <v>21272.400000000001</v>
      </c>
      <c r="G48">
        <v>30231.200000000001</v>
      </c>
      <c r="H48">
        <v>29795.9</v>
      </c>
      <c r="I48">
        <v>29795.9</v>
      </c>
      <c r="J48">
        <v>29795.9</v>
      </c>
      <c r="K48">
        <v>39579.5</v>
      </c>
      <c r="L48">
        <v>38237.199999999997</v>
      </c>
      <c r="M48">
        <v>28919.4</v>
      </c>
      <c r="N48" t="str">
        <f>VLOOKUP(A48,'Originales sin dirección'!V:W,2,FALSE)</f>
        <v>Computers, Office Equipment</v>
      </c>
    </row>
    <row r="49" spans="1:14" x14ac:dyDescent="0.3">
      <c r="A49" s="2" t="s">
        <v>72</v>
      </c>
      <c r="B49">
        <v>30231.200000000001</v>
      </c>
      <c r="C49">
        <v>46345.4</v>
      </c>
      <c r="D49">
        <v>61326.101900000001</v>
      </c>
      <c r="N49" t="str">
        <f>VLOOKUP(A49,'Originales sin dirección'!V:W,2,FALSE)</f>
        <v>Computers, Office Equipment</v>
      </c>
    </row>
    <row r="50" spans="1:14" x14ac:dyDescent="0.3">
      <c r="A50" s="2" t="s">
        <v>275</v>
      </c>
      <c r="K50">
        <v>0</v>
      </c>
      <c r="N50" t="str">
        <f>VLOOKUP(A50,'Originales sin dirección'!V:W,2,FALSE)</f>
        <v>Electronics, Electrical Equip.</v>
      </c>
    </row>
    <row r="51" spans="1:14" x14ac:dyDescent="0.3">
      <c r="A51" s="2" t="s">
        <v>265</v>
      </c>
      <c r="L51">
        <v>0</v>
      </c>
      <c r="M51">
        <v>0</v>
      </c>
      <c r="N51" t="str">
        <f>VLOOKUP(A51,'Originales sin dirección'!V:W,2,FALSE)</f>
        <v>Electronics, Electrical Equip.</v>
      </c>
    </row>
    <row r="52" spans="1:14" x14ac:dyDescent="0.3">
      <c r="A52" s="2" t="s">
        <v>189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 t="str">
        <f>VLOOKUP(A52,'Originales sin dirección'!V:W,2,FALSE)</f>
        <v>Electronics, Electrical Equip.</v>
      </c>
    </row>
    <row r="53" spans="1:14" x14ac:dyDescent="0.3">
      <c r="A53" s="2" t="s">
        <v>209</v>
      </c>
      <c r="B53">
        <v>0</v>
      </c>
      <c r="C53">
        <v>0</v>
      </c>
      <c r="D53">
        <v>0</v>
      </c>
      <c r="N53" t="str">
        <f>VLOOKUP(A53,'Originales sin dirección'!V:W,2,FALSE)</f>
        <v>Electronics, Electrical Equip.</v>
      </c>
    </row>
    <row r="54" spans="1:14" x14ac:dyDescent="0.3">
      <c r="A54" s="2" t="s">
        <v>130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 t="str">
        <f>VLOOKUP(A54,'Originales sin dirección'!V:W,2,FALSE)</f>
        <v>Internet Services and Retailing</v>
      </c>
    </row>
    <row r="55" spans="1:14" x14ac:dyDescent="0.3">
      <c r="A55" s="2" t="s">
        <v>179</v>
      </c>
      <c r="B55">
        <v>0</v>
      </c>
      <c r="N55" t="str">
        <f>VLOOKUP(A55,'Originales sin dirección'!V:W,2,FALSE)</f>
        <v>Internet Services and Retailing</v>
      </c>
    </row>
    <row r="56" spans="1:14" x14ac:dyDescent="0.3">
      <c r="A56" s="2" t="s">
        <v>186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 t="str">
        <f>VLOOKUP(A56,'Originales sin dirección'!V:W,2,FALSE)</f>
        <v>Telecommunications</v>
      </c>
    </row>
    <row r="57" spans="1:14" x14ac:dyDescent="0.3">
      <c r="A57" s="2" t="s">
        <v>205</v>
      </c>
      <c r="B57">
        <v>0</v>
      </c>
      <c r="C57">
        <v>0</v>
      </c>
      <c r="D57">
        <v>0</v>
      </c>
      <c r="N57" t="str">
        <f>VLOOKUP(A57,'Originales sin dirección'!V:W,2,FALSE)</f>
        <v>Telecommunications</v>
      </c>
    </row>
    <row r="58" spans="1:14" x14ac:dyDescent="0.3">
      <c r="A58" s="2" t="s">
        <v>100</v>
      </c>
      <c r="L58">
        <v>0</v>
      </c>
      <c r="N58" t="str">
        <f>VLOOKUP(A58,'Originales sin dirección'!V:W,2,FALSE)</f>
        <v>Automotive Retailing, Services</v>
      </c>
    </row>
    <row r="59" spans="1:14" x14ac:dyDescent="0.3">
      <c r="A59" s="2" t="s">
        <v>142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 t="str">
        <f>VLOOKUP(A59,'Originales sin dirección'!V:W,2,FALSE)</f>
        <v>Computers, Office Equipment</v>
      </c>
    </row>
    <row r="60" spans="1:14" x14ac:dyDescent="0.3">
      <c r="A60" s="2" t="s">
        <v>180</v>
      </c>
      <c r="B60">
        <v>0</v>
      </c>
      <c r="C60">
        <v>0</v>
      </c>
      <c r="D60">
        <v>0</v>
      </c>
      <c r="N60" t="str">
        <f>VLOOKUP(A60,'Originales sin dirección'!V:W,2,FALSE)</f>
        <v>Computers, Office Equipment</v>
      </c>
    </row>
    <row r="61" spans="1:14" x14ac:dyDescent="0.3">
      <c r="A61" s="2" t="s">
        <v>296</v>
      </c>
      <c r="F61">
        <v>0</v>
      </c>
      <c r="G61">
        <v>0</v>
      </c>
      <c r="N61" t="str">
        <f>VLOOKUP(A61,'Originales sin dirección'!V:W,2,FALSE)</f>
        <v>Electronics, Electrical Equip.</v>
      </c>
    </row>
    <row r="62" spans="1:14" x14ac:dyDescent="0.3">
      <c r="A62" s="2" t="s">
        <v>170</v>
      </c>
      <c r="B62">
        <v>0</v>
      </c>
      <c r="C62">
        <v>0</v>
      </c>
      <c r="D62">
        <v>0</v>
      </c>
      <c r="N62" t="str">
        <f>VLOOKUP(A62,'Originales sin dirección'!V:W,2,FALSE)</f>
        <v>Electronics, Electrical Equip.</v>
      </c>
    </row>
    <row r="63" spans="1:14" x14ac:dyDescent="0.3">
      <c r="A63" s="2" t="s">
        <v>35</v>
      </c>
      <c r="L63">
        <v>605251</v>
      </c>
      <c r="M63">
        <v>549484</v>
      </c>
      <c r="N63" t="str">
        <f>VLOOKUP(A63,'Originales sin dirección'!V:W,2,FALSE)</f>
        <v>Internet Services and Retailing</v>
      </c>
    </row>
    <row r="64" spans="1:14" x14ac:dyDescent="0.3">
      <c r="A64" s="2" t="s">
        <v>183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 t="str">
        <f>VLOOKUP(A64,'Originales sin dirección'!V:W,2,FALSE)</f>
        <v>Electronics, Electrical Equip.</v>
      </c>
    </row>
    <row r="65" spans="1:14" x14ac:dyDescent="0.3">
      <c r="A65" s="2" t="s">
        <v>204</v>
      </c>
      <c r="B65">
        <v>0</v>
      </c>
      <c r="C65">
        <v>0</v>
      </c>
      <c r="D65">
        <v>0</v>
      </c>
      <c r="N65" t="str">
        <f>VLOOKUP(A65,'Originales sin dirección'!V:W,2,FALSE)</f>
        <v>Electronics, Electrical Equip.</v>
      </c>
    </row>
    <row r="66" spans="1:14" x14ac:dyDescent="0.3">
      <c r="A66" s="2" t="s">
        <v>124</v>
      </c>
      <c r="M66">
        <v>0</v>
      </c>
      <c r="N66" t="str">
        <f>VLOOKUP(A66,'Originales sin dirección'!V:W,2,FALSE)</f>
        <v>Internet Services and Retailing</v>
      </c>
    </row>
    <row r="67" spans="1:14" x14ac:dyDescent="0.3">
      <c r="A67" s="2" t="s">
        <v>96</v>
      </c>
      <c r="F67">
        <v>436830.8</v>
      </c>
      <c r="G67">
        <v>508935.1</v>
      </c>
      <c r="H67">
        <v>904860.9</v>
      </c>
      <c r="I67">
        <v>904860.9</v>
      </c>
      <c r="J67">
        <v>904860.9</v>
      </c>
      <c r="K67">
        <v>1778228.2</v>
      </c>
      <c r="L67">
        <v>2311358.9</v>
      </c>
      <c r="M67">
        <v>2146048.6</v>
      </c>
      <c r="N67" t="str">
        <f>VLOOKUP(A67,'Originales sin dirección'!V:W,2,FALSE)</f>
        <v>Computer Software</v>
      </c>
    </row>
    <row r="68" spans="1:14" x14ac:dyDescent="0.3">
      <c r="A68" s="2" t="s">
        <v>111</v>
      </c>
      <c r="B68">
        <v>508935.1</v>
      </c>
      <c r="C68">
        <v>239602.5</v>
      </c>
      <c r="D68">
        <v>340246.70189999999</v>
      </c>
      <c r="N68" t="str">
        <f>VLOOKUP(A68,'Originales sin dirección'!V:W,2,FALSE)</f>
        <v>Computer Software</v>
      </c>
    </row>
    <row r="69" spans="1:14" x14ac:dyDescent="0.3">
      <c r="A69" s="2" t="s">
        <v>202</v>
      </c>
      <c r="F69">
        <v>0</v>
      </c>
      <c r="N69" t="str">
        <f>VLOOKUP(A69,'Originales sin dirección'!V:W,2,FALSE)</f>
        <v>Telecommunications</v>
      </c>
    </row>
    <row r="70" spans="1:14" x14ac:dyDescent="0.3">
      <c r="A70" s="2" t="s">
        <v>211</v>
      </c>
      <c r="C70">
        <v>0</v>
      </c>
      <c r="D70">
        <v>0</v>
      </c>
      <c r="N70" t="str">
        <f>VLOOKUP(A70,'Originales sin dirección'!V:W,2,FALSE)</f>
        <v>Telecommunications</v>
      </c>
    </row>
    <row r="71" spans="1:14" x14ac:dyDescent="0.3">
      <c r="A71" s="2" t="s">
        <v>193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 t="str">
        <f>VLOOKUP(A71,'Originales sin dirección'!V:W,2,FALSE)</f>
        <v>Telecommunications</v>
      </c>
    </row>
    <row r="72" spans="1:14" x14ac:dyDescent="0.3">
      <c r="A72" s="2" t="s">
        <v>212</v>
      </c>
      <c r="B72">
        <v>0</v>
      </c>
      <c r="N72" t="str">
        <f>VLOOKUP(A72,'Originales sin dirección'!V:W,2,FALSE)</f>
        <v>Telecommunications</v>
      </c>
    </row>
    <row r="73" spans="1:14" x14ac:dyDescent="0.3">
      <c r="A73" s="2" t="s">
        <v>252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 t="str">
        <f>VLOOKUP(A73,'Originales sin dirección'!V:W,2,FALSE)</f>
        <v>Telecommunications</v>
      </c>
    </row>
    <row r="74" spans="1:14" x14ac:dyDescent="0.3">
      <c r="A74" s="2" t="s">
        <v>253</v>
      </c>
      <c r="B74">
        <v>0</v>
      </c>
      <c r="D74">
        <v>0</v>
      </c>
      <c r="N74" t="str">
        <f>VLOOKUP(A74,'Originales sin dirección'!V:W,2,FALSE)</f>
        <v>Telecommunications</v>
      </c>
    </row>
    <row r="75" spans="1:14" x14ac:dyDescent="0.3">
      <c r="A75" s="2" t="s">
        <v>84</v>
      </c>
      <c r="F75">
        <v>169771</v>
      </c>
      <c r="G75">
        <v>183556.1</v>
      </c>
      <c r="H75">
        <v>183562.2</v>
      </c>
      <c r="I75">
        <v>183562.2</v>
      </c>
      <c r="J75">
        <v>183562.2</v>
      </c>
      <c r="K75">
        <v>202337.7</v>
      </c>
      <c r="L75">
        <v>220736.6</v>
      </c>
      <c r="M75">
        <v>250865.6</v>
      </c>
      <c r="N75" t="str">
        <f>VLOOKUP(A75,'Originales sin dirección'!V:W,2,FALSE)</f>
        <v>Computer Software</v>
      </c>
    </row>
    <row r="76" spans="1:14" x14ac:dyDescent="0.3">
      <c r="A76" s="2" t="s">
        <v>86</v>
      </c>
      <c r="B76">
        <v>183556.1</v>
      </c>
      <c r="C76">
        <v>152295.6</v>
      </c>
      <c r="D76">
        <v>182413.0019</v>
      </c>
      <c r="N76" t="str">
        <f>VLOOKUP(A76,'Originales sin dirección'!V:W,2,FALSE)</f>
        <v>Computer Software</v>
      </c>
    </row>
    <row r="77" spans="1:14" x14ac:dyDescent="0.3">
      <c r="A77" s="2" t="s">
        <v>161</v>
      </c>
      <c r="C77">
        <v>0</v>
      </c>
      <c r="D77">
        <v>0</v>
      </c>
      <c r="N77" t="str">
        <f>VLOOKUP(A77,'Originales sin dirección'!V:W,2,FALSE)</f>
        <v>Electronics, Electrical Equip.</v>
      </c>
    </row>
    <row r="78" spans="1:14" x14ac:dyDescent="0.3">
      <c r="A78" s="2" t="s">
        <v>284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 t="str">
        <f>VLOOKUP(A78,'Originales sin dirección'!V:W,2,FALSE)</f>
        <v>Electronics, Electrical Equip.</v>
      </c>
    </row>
    <row r="79" spans="1:14" x14ac:dyDescent="0.3">
      <c r="A79" s="2" t="s">
        <v>288</v>
      </c>
      <c r="B79">
        <v>0</v>
      </c>
      <c r="N79" t="str">
        <f>VLOOKUP(A79,'Originales sin dirección'!V:W,2,FALSE)</f>
        <v>Electronics, Electrical Equip.</v>
      </c>
    </row>
    <row r="80" spans="1:14" x14ac:dyDescent="0.3">
      <c r="A80" s="2" t="s">
        <v>306</v>
      </c>
      <c r="F80">
        <v>0</v>
      </c>
      <c r="N80" t="str">
        <f>VLOOKUP(A80,'Originales sin dirección'!V:W,2,FALSE)</f>
        <v>Electronics, Electrical Equip.</v>
      </c>
    </row>
    <row r="81" spans="1:14" x14ac:dyDescent="0.3">
      <c r="A81" s="2" t="s">
        <v>173</v>
      </c>
      <c r="C81">
        <v>0</v>
      </c>
      <c r="D81">
        <v>0</v>
      </c>
      <c r="N81" t="str">
        <f>VLOOKUP(A81,'Originales sin dirección'!V:W,2,FALSE)</f>
        <v>Electronics, Electrical Equip.</v>
      </c>
    </row>
    <row r="82" spans="1:14" x14ac:dyDescent="0.3">
      <c r="A82" s="2" t="s">
        <v>226</v>
      </c>
      <c r="C82">
        <v>0</v>
      </c>
      <c r="D82">
        <v>0</v>
      </c>
      <c r="N82" t="str">
        <f>VLOOKUP(A82,'Originales sin dirección'!V:W,2,FALSE)</f>
        <v>Computers, Office Equipment</v>
      </c>
    </row>
    <row r="83" spans="1:14" x14ac:dyDescent="0.3">
      <c r="A83" s="2" t="s">
        <v>167</v>
      </c>
      <c r="C83">
        <v>0</v>
      </c>
      <c r="N83" t="str">
        <f>VLOOKUP(A83,'Originales sin dirección'!V:W,2,FALSE)</f>
        <v>Computers, Office Equipment</v>
      </c>
    </row>
    <row r="84" spans="1:14" x14ac:dyDescent="0.3">
      <c r="A84" s="2" t="s">
        <v>120</v>
      </c>
      <c r="C84">
        <v>18696.900000000001</v>
      </c>
      <c r="N84" t="str">
        <f>VLOOKUP(A84,'Originales sin dirección'!V:W,2,FALSE)</f>
        <v>Telecommunications</v>
      </c>
    </row>
    <row r="85" spans="1:14" x14ac:dyDescent="0.3">
      <c r="A85" s="2" t="s">
        <v>254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 t="str">
        <f>VLOOKUP(A85,'Originales sin dirección'!V:W,2,FALSE)</f>
        <v>Computer Software</v>
      </c>
    </row>
    <row r="86" spans="1:14" x14ac:dyDescent="0.3">
      <c r="A86" s="2" t="s">
        <v>258</v>
      </c>
      <c r="B86">
        <v>0</v>
      </c>
      <c r="N86" t="str">
        <f>VLOOKUP(A86,'Originales sin dirección'!V:W,2,FALSE)</f>
        <v>Computer Software</v>
      </c>
    </row>
    <row r="87" spans="1:14" x14ac:dyDescent="0.3">
      <c r="A87" s="2" t="s">
        <v>249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 t="str">
        <f>VLOOKUP(A87,'Originales sin dirección'!V:W,2,FALSE)</f>
        <v>Electronics, Electrical Equip.</v>
      </c>
    </row>
    <row r="88" spans="1:14" x14ac:dyDescent="0.3">
      <c r="A88" s="2" t="s">
        <v>223</v>
      </c>
      <c r="B88">
        <v>0</v>
      </c>
      <c r="C88">
        <v>0</v>
      </c>
      <c r="D88">
        <v>0</v>
      </c>
      <c r="N88" t="str">
        <f>VLOOKUP(A88,'Originales sin dirección'!V:W,2,FALSE)</f>
        <v>Electronics, Electrical Equip.</v>
      </c>
    </row>
    <row r="89" spans="1:14" x14ac:dyDescent="0.3">
      <c r="A89" s="2" t="s">
        <v>127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 t="str">
        <f>VLOOKUP(A89,'Originales sin dirección'!V:W,2,FALSE)</f>
        <v>Telecommunications</v>
      </c>
    </row>
    <row r="90" spans="1:14" x14ac:dyDescent="0.3">
      <c r="A90" s="2" t="s">
        <v>207</v>
      </c>
      <c r="B90">
        <v>0</v>
      </c>
      <c r="D90">
        <v>0</v>
      </c>
      <c r="N90" t="str">
        <f>VLOOKUP(A90,'Originales sin dirección'!V:W,2,FALSE)</f>
        <v>Telecommunications</v>
      </c>
    </row>
    <row r="91" spans="1:14" x14ac:dyDescent="0.3">
      <c r="A91" s="2" t="s">
        <v>154</v>
      </c>
      <c r="C91">
        <v>0</v>
      </c>
      <c r="D91">
        <v>0</v>
      </c>
      <c r="N91" t="str">
        <f>VLOOKUP(A91,'Originales sin dirección'!V:W,2,FALSE)</f>
        <v>Electronics, Electrical Equip.</v>
      </c>
    </row>
    <row r="92" spans="1:14" x14ac:dyDescent="0.3">
      <c r="A92" s="2" t="s">
        <v>241</v>
      </c>
      <c r="C92">
        <v>0</v>
      </c>
      <c r="D92">
        <v>0</v>
      </c>
      <c r="N92" t="str">
        <f>VLOOKUP(A92,'Originales sin dirección'!V:W,2,FALSE)</f>
        <v>Electronics, Electrical Equip.</v>
      </c>
    </row>
    <row r="93" spans="1:14" x14ac:dyDescent="0.3">
      <c r="A93" s="2" t="s">
        <v>257</v>
      </c>
      <c r="F93">
        <v>0</v>
      </c>
      <c r="N93" t="str">
        <f>VLOOKUP(A93,'Originales sin dirección'!V:W,2,FALSE)</f>
        <v>Electronics, Electrical Equip.</v>
      </c>
    </row>
    <row r="94" spans="1:14" x14ac:dyDescent="0.3">
      <c r="A94" s="2" t="s">
        <v>214</v>
      </c>
      <c r="C94">
        <v>0</v>
      </c>
      <c r="D94">
        <v>0</v>
      </c>
      <c r="N94" t="str">
        <f>VLOOKUP(A94,'Originales sin dirección'!V:W,2,FALSE)</f>
        <v>Electronics, Electrical Equip.</v>
      </c>
    </row>
    <row r="95" spans="1:14" x14ac:dyDescent="0.3">
      <c r="A95" s="2" t="s">
        <v>151</v>
      </c>
      <c r="F95">
        <v>0</v>
      </c>
      <c r="G95">
        <v>0</v>
      </c>
      <c r="H95">
        <v>0</v>
      </c>
      <c r="I95">
        <v>0</v>
      </c>
      <c r="J95">
        <v>0</v>
      </c>
      <c r="N95" t="str">
        <f>VLOOKUP(A95,'Originales sin dirección'!V:W,2,FALSE)</f>
        <v>Electronics, Electrical Equip.</v>
      </c>
    </row>
    <row r="96" spans="1:14" x14ac:dyDescent="0.3">
      <c r="A96" s="2" t="s">
        <v>177</v>
      </c>
      <c r="B96">
        <v>0</v>
      </c>
      <c r="C96">
        <v>0</v>
      </c>
      <c r="D96">
        <v>0</v>
      </c>
      <c r="N96" t="str">
        <f>VLOOKUP(A96,'Originales sin dirección'!V:W,2,FALSE)</f>
        <v>Electronics, Electrical Equip.</v>
      </c>
    </row>
    <row r="97" spans="1:14" x14ac:dyDescent="0.3">
      <c r="A97" s="2" t="s">
        <v>191</v>
      </c>
      <c r="K97">
        <v>0</v>
      </c>
      <c r="L97">
        <v>0</v>
      </c>
      <c r="M97">
        <v>0</v>
      </c>
      <c r="N97" t="str">
        <f>VLOOKUP(A97,'Originales sin dirección'!V:W,2,FALSE)</f>
        <v>Electronics, Electrical Equip.</v>
      </c>
    </row>
    <row r="98" spans="1:14" x14ac:dyDescent="0.3">
      <c r="A98" s="2" t="s">
        <v>304</v>
      </c>
      <c r="F98">
        <v>0</v>
      </c>
      <c r="G98">
        <v>0</v>
      </c>
      <c r="N98" t="str">
        <f>VLOOKUP(A98,'Originales sin dirección'!V:W,2,FALSE)</f>
        <v>Electronics, Electrical Equip.</v>
      </c>
    </row>
    <row r="99" spans="1:14" x14ac:dyDescent="0.3">
      <c r="A99" s="2" t="s">
        <v>247</v>
      </c>
      <c r="B99">
        <v>0</v>
      </c>
      <c r="C99">
        <v>0</v>
      </c>
      <c r="D99">
        <v>0</v>
      </c>
      <c r="N99" t="str">
        <f>VLOOKUP(A99,'Originales sin dirección'!V:W,2,FALSE)</f>
        <v>Electronics, Electrical Equip.</v>
      </c>
    </row>
    <row r="100" spans="1:14" x14ac:dyDescent="0.3">
      <c r="A100" s="2" t="s">
        <v>62</v>
      </c>
      <c r="F100">
        <v>240942.9</v>
      </c>
      <c r="G100">
        <v>255678.6</v>
      </c>
      <c r="H100">
        <v>228444.7</v>
      </c>
      <c r="I100">
        <v>228444.7</v>
      </c>
      <c r="J100">
        <v>228444.7</v>
      </c>
      <c r="K100">
        <v>215878.5</v>
      </c>
      <c r="L100">
        <v>169262.4</v>
      </c>
      <c r="M100">
        <v>137250</v>
      </c>
      <c r="N100" t="str">
        <f>VLOOKUP(A100,'Originales sin dirección'!V:W,2,FALSE)</f>
        <v>Telecommunications</v>
      </c>
    </row>
    <row r="101" spans="1:14" x14ac:dyDescent="0.3">
      <c r="A101" s="2" t="s">
        <v>112</v>
      </c>
      <c r="B101">
        <v>255678.6</v>
      </c>
      <c r="C101">
        <v>201487.2</v>
      </c>
      <c r="D101">
        <v>182604.20189999999</v>
      </c>
      <c r="N101" t="str">
        <f>VLOOKUP(A101,'Originales sin dirección'!V:W,2,FALSE)</f>
        <v>Telecommunications</v>
      </c>
    </row>
    <row r="102" spans="1:14" x14ac:dyDescent="0.3">
      <c r="A102" s="2" t="s">
        <v>269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 t="str">
        <f>VLOOKUP(A102,'Originales sin dirección'!V:W,2,FALSE)</f>
        <v>Internet Services and Retailing</v>
      </c>
    </row>
    <row r="103" spans="1:14" x14ac:dyDescent="0.3">
      <c r="A103" s="2" t="s">
        <v>280</v>
      </c>
      <c r="B103">
        <v>0</v>
      </c>
      <c r="N103" t="str">
        <f>VLOOKUP(A103,'Originales sin dirección'!V:W,2,FALSE)</f>
        <v>Internet Services and Retailing</v>
      </c>
    </row>
    <row r="104" spans="1:14" x14ac:dyDescent="0.3">
      <c r="A104" s="2" t="s">
        <v>289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 t="str">
        <f>VLOOKUP(A104,'Originales sin dirección'!V:W,2,FALSE)</f>
        <v>Telecommunications</v>
      </c>
    </row>
    <row r="105" spans="1:14" x14ac:dyDescent="0.3">
      <c r="A105" s="2" t="s">
        <v>238</v>
      </c>
      <c r="B105">
        <v>0</v>
      </c>
      <c r="C105">
        <v>0</v>
      </c>
      <c r="D105">
        <v>0</v>
      </c>
      <c r="N105" t="str">
        <f>VLOOKUP(A105,'Originales sin dirección'!V:W,2,FALSE)</f>
        <v>Telecommunications</v>
      </c>
    </row>
    <row r="106" spans="1:14" x14ac:dyDescent="0.3">
      <c r="A106" s="2" t="s">
        <v>145</v>
      </c>
      <c r="F106">
        <v>0</v>
      </c>
      <c r="G106">
        <v>0</v>
      </c>
      <c r="N106" t="str">
        <f>VLOOKUP(A106,'Originales sin dirección'!V:W,2,FALSE)</f>
        <v>Telecommunications</v>
      </c>
    </row>
    <row r="107" spans="1:14" x14ac:dyDescent="0.3">
      <c r="A107" s="2" t="s">
        <v>156</v>
      </c>
      <c r="B107">
        <v>0</v>
      </c>
      <c r="C107">
        <v>0</v>
      </c>
      <c r="D107">
        <v>0</v>
      </c>
      <c r="N107" t="str">
        <f>VLOOKUP(A107,'Originales sin dirección'!V:W,2,FALSE)</f>
        <v>Telecommunications</v>
      </c>
    </row>
    <row r="108" spans="1:14" x14ac:dyDescent="0.3">
      <c r="A108" s="2" t="s">
        <v>305</v>
      </c>
      <c r="F108">
        <v>0</v>
      </c>
      <c r="N108" t="str">
        <f>VLOOKUP(A108,'Originales sin dirección'!V:W,2,FALSE)</f>
        <v>Telecommunications</v>
      </c>
    </row>
    <row r="109" spans="1:14" x14ac:dyDescent="0.3">
      <c r="A109" s="2" t="s">
        <v>217</v>
      </c>
      <c r="C109">
        <v>0</v>
      </c>
      <c r="D109">
        <v>0</v>
      </c>
      <c r="N109" t="str">
        <f>VLOOKUP(A109,'Originales sin dirección'!V:W,2,FALSE)</f>
        <v>Telecommunications</v>
      </c>
    </row>
    <row r="110" spans="1:14" x14ac:dyDescent="0.3">
      <c r="A110" s="2" t="s">
        <v>175</v>
      </c>
      <c r="C110">
        <v>0</v>
      </c>
      <c r="D110">
        <v>0</v>
      </c>
      <c r="N110" t="str">
        <f>VLOOKUP(A110,'Originales sin dirección'!V:W,2,FALSE)</f>
        <v>Electronics, Electrical Equip.</v>
      </c>
    </row>
    <row r="111" spans="1:14" x14ac:dyDescent="0.3">
      <c r="A111" s="2" t="s">
        <v>133</v>
      </c>
      <c r="F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N111" t="str">
        <f>VLOOKUP(A111,'Originales sin dirección'!V:W,2,FALSE)</f>
        <v>Electronics, Electrical Equip.</v>
      </c>
    </row>
    <row r="112" spans="1:14" x14ac:dyDescent="0.3">
      <c r="A112" s="2" t="s">
        <v>117</v>
      </c>
      <c r="M112">
        <v>63839.7</v>
      </c>
      <c r="N112" t="str">
        <f>VLOOKUP(A112,'Originales sin dirección'!V:W,2,FALSE)</f>
        <v>Internet Services and Retailing</v>
      </c>
    </row>
    <row r="113" spans="1:14" x14ac:dyDescent="0.3">
      <c r="A113" s="2" t="s">
        <v>229</v>
      </c>
      <c r="C113">
        <v>0</v>
      </c>
      <c r="D113">
        <v>0</v>
      </c>
      <c r="N113" t="str">
        <f>VLOOKUP(A113,'Originales sin dirección'!V:W,2,FALSE)</f>
        <v>Telecommunications</v>
      </c>
    </row>
    <row r="114" spans="1:14" x14ac:dyDescent="0.3">
      <c r="A114" s="2" t="s">
        <v>136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 t="str">
        <f>VLOOKUP(A114,'Originales sin dirección'!V:W,2,FALSE)</f>
        <v>Telecommunications</v>
      </c>
    </row>
    <row r="115" spans="1:14" x14ac:dyDescent="0.3">
      <c r="A115" s="2" t="s">
        <v>181</v>
      </c>
      <c r="B115">
        <v>0</v>
      </c>
      <c r="C115">
        <v>0</v>
      </c>
      <c r="D115">
        <v>0</v>
      </c>
      <c r="N115" t="str">
        <f>VLOOKUP(A115,'Originales sin dirección'!V:W,2,FALSE)</f>
        <v>Telecommunications</v>
      </c>
    </row>
    <row r="116" spans="1:14" x14ac:dyDescent="0.3">
      <c r="A116" s="2" t="s">
        <v>74</v>
      </c>
      <c r="F116">
        <v>220646.39999999999</v>
      </c>
      <c r="G116">
        <v>198900</v>
      </c>
      <c r="H116">
        <v>244327.9</v>
      </c>
      <c r="I116">
        <v>244327.9</v>
      </c>
      <c r="J116">
        <v>244327.9</v>
      </c>
      <c r="K116">
        <v>240633.3</v>
      </c>
      <c r="L116">
        <v>213837.1</v>
      </c>
      <c r="M116">
        <v>163333.4</v>
      </c>
      <c r="N116" t="str">
        <f>VLOOKUP(A116,'Originales sin dirección'!V:W,2,FALSE)</f>
        <v>Telecommunications</v>
      </c>
    </row>
    <row r="117" spans="1:14" x14ac:dyDescent="0.3">
      <c r="A117" s="2" t="s">
        <v>76</v>
      </c>
      <c r="B117">
        <v>198900</v>
      </c>
      <c r="C117">
        <v>140484.20000000001</v>
      </c>
      <c r="D117">
        <v>196994.10190000001</v>
      </c>
      <c r="N117" t="str">
        <f>VLOOKUP(A117,'Originales sin dirección'!V:W,2,FALSE)</f>
        <v>Telecommunications</v>
      </c>
    </row>
    <row r="118" spans="1:14" x14ac:dyDescent="0.3">
      <c r="A118" s="2" t="s">
        <v>276</v>
      </c>
      <c r="K118">
        <v>0</v>
      </c>
      <c r="N118" t="str">
        <f>VLOOKUP(A118,'Originales sin dirección'!V:W,2,FALSE)</f>
        <v>Internet Services and Retailing</v>
      </c>
    </row>
    <row r="119" spans="1:14" x14ac:dyDescent="0.3">
      <c r="A119" s="2" t="s">
        <v>139</v>
      </c>
      <c r="H119">
        <v>0</v>
      </c>
      <c r="I119">
        <v>0</v>
      </c>
      <c r="J119">
        <v>0</v>
      </c>
      <c r="L119">
        <v>0</v>
      </c>
      <c r="M119">
        <v>0</v>
      </c>
      <c r="N119" t="str">
        <f>VLOOKUP(A119,'Originales sin dirección'!V:W,2,FALSE)</f>
        <v>Internet Services and Retailing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86A1E-62AF-438B-8446-3C889439F8A2}">
  <dimension ref="A1:N188"/>
  <sheetViews>
    <sheetView topLeftCell="A108" workbookViewId="0">
      <selection activeCell="N120" sqref="N120:N188"/>
    </sheetView>
  </sheetViews>
  <sheetFormatPr baseColWidth="10" defaultRowHeight="14.4" x14ac:dyDescent="0.3"/>
  <sheetData>
    <row r="1" spans="1:14" x14ac:dyDescent="0.3">
      <c r="A1" s="3"/>
      <c r="B1" s="3">
        <v>2011</v>
      </c>
      <c r="C1" s="3">
        <v>2012</v>
      </c>
      <c r="D1" s="3">
        <v>2013</v>
      </c>
      <c r="E1" s="3">
        <v>2014</v>
      </c>
      <c r="F1" s="3">
        <v>2015</v>
      </c>
      <c r="G1" s="3">
        <v>2016</v>
      </c>
      <c r="H1" s="3">
        <v>2017</v>
      </c>
      <c r="I1" s="3">
        <v>2018</v>
      </c>
      <c r="J1" s="3">
        <v>2019</v>
      </c>
      <c r="K1" s="3">
        <v>2020</v>
      </c>
      <c r="L1" s="3">
        <v>2021</v>
      </c>
      <c r="M1" s="3">
        <v>2022</v>
      </c>
    </row>
    <row r="2" spans="1:14" x14ac:dyDescent="0.3">
      <c r="A2" s="2" t="s">
        <v>298</v>
      </c>
      <c r="G2">
        <v>7884.4000000000005</v>
      </c>
      <c r="N2" t="str">
        <f>VLOOKUP(A2,'Originales sin dirección'!V:W,2,FALSE)</f>
        <v>Computers, Office Equipment</v>
      </c>
    </row>
    <row r="3" spans="1:14" x14ac:dyDescent="0.3">
      <c r="A3" s="2" t="s">
        <v>278</v>
      </c>
      <c r="F3">
        <v>9917.7000000000007</v>
      </c>
      <c r="G3">
        <v>22845</v>
      </c>
      <c r="H3">
        <v>215173.4</v>
      </c>
      <c r="I3">
        <v>215173.4</v>
      </c>
      <c r="J3">
        <v>215173.4</v>
      </c>
      <c r="N3" t="str">
        <f>VLOOKUP(A3,'Originales sin dirección'!V:W,2,FALSE)</f>
        <v>Computers, Office Equipment</v>
      </c>
    </row>
    <row r="4" spans="1:14" x14ac:dyDescent="0.3">
      <c r="A4" s="2" t="s">
        <v>282</v>
      </c>
      <c r="B4">
        <v>22845</v>
      </c>
      <c r="N4" t="str">
        <f>VLOOKUP(A4,'Originales sin dirección'!V:W,2,FALSE)</f>
        <v>Internet Services and Retailing</v>
      </c>
    </row>
    <row r="5" spans="1:14" x14ac:dyDescent="0.3">
      <c r="A5" s="2" t="s">
        <v>307</v>
      </c>
      <c r="B5">
        <v>7884.4000000000005</v>
      </c>
      <c r="N5" t="str">
        <f>VLOOKUP(A5,'Originales sin dirección'!V:W,2,FALSE)</f>
        <v>Telecommunications</v>
      </c>
    </row>
    <row r="6" spans="1:14" x14ac:dyDescent="0.3">
      <c r="A6" s="2" t="s">
        <v>81</v>
      </c>
      <c r="F6">
        <v>119355</v>
      </c>
      <c r="G6">
        <v>128249</v>
      </c>
      <c r="H6">
        <v>107147</v>
      </c>
      <c r="I6">
        <v>107147</v>
      </c>
      <c r="J6">
        <v>107147</v>
      </c>
      <c r="K6">
        <v>65339</v>
      </c>
      <c r="L6">
        <v>63090</v>
      </c>
      <c r="M6">
        <v>50672</v>
      </c>
      <c r="N6" t="str">
        <f>VLOOKUP(A6,'Originales sin dirección'!V:W,2,FALSE)</f>
        <v>Computers, Office Equipment</v>
      </c>
    </row>
    <row r="7" spans="1:14" x14ac:dyDescent="0.3">
      <c r="A7" s="2" t="s">
        <v>87</v>
      </c>
      <c r="B7">
        <v>128249</v>
      </c>
      <c r="C7">
        <v>118210</v>
      </c>
      <c r="D7">
        <v>123549.0019</v>
      </c>
      <c r="N7" t="str">
        <f>VLOOKUP(A7,'Originales sin dirección'!V:W,2,FALSE)</f>
        <v>Computers, Office Equipment</v>
      </c>
    </row>
    <row r="8" spans="1:14" x14ac:dyDescent="0.3">
      <c r="A8" s="2" t="s">
        <v>148</v>
      </c>
      <c r="G8">
        <v>-2668</v>
      </c>
      <c r="N8" t="str">
        <f>VLOOKUP(A8,'Originales sin dirección'!V:W,2,FALSE)</f>
        <v>Telecommunications</v>
      </c>
    </row>
    <row r="9" spans="1:14" x14ac:dyDescent="0.3">
      <c r="A9" s="2" t="s">
        <v>178</v>
      </c>
      <c r="B9">
        <v>-2668</v>
      </c>
      <c r="N9" t="str">
        <f>VLOOKUP(A9,'Originales sin dirección'!V:W,2,FALSE)</f>
        <v>Telecommunications</v>
      </c>
    </row>
    <row r="10" spans="1:14" x14ac:dyDescent="0.3">
      <c r="A10" s="2" t="s">
        <v>290</v>
      </c>
      <c r="F10">
        <v>6502.1</v>
      </c>
      <c r="G10">
        <v>10142.700000000001</v>
      </c>
      <c r="H10">
        <v>9953.2000000000007</v>
      </c>
      <c r="I10">
        <v>9953.2000000000007</v>
      </c>
      <c r="J10">
        <v>9953.2000000000007</v>
      </c>
      <c r="K10">
        <v>12576.1</v>
      </c>
      <c r="L10">
        <v>19044.8</v>
      </c>
      <c r="M10">
        <v>19187</v>
      </c>
      <c r="N10" t="str">
        <f>VLOOKUP(A10,'Originales sin dirección'!V:W,2,FALSE)</f>
        <v>Telecommunications</v>
      </c>
    </row>
    <row r="11" spans="1:14" x14ac:dyDescent="0.3">
      <c r="A11" s="2" t="s">
        <v>235</v>
      </c>
      <c r="B11">
        <v>10142.700000000001</v>
      </c>
      <c r="C11">
        <v>23241.7</v>
      </c>
      <c r="D11">
        <v>15454.901900000001</v>
      </c>
      <c r="N11" t="str">
        <f>VLOOKUP(A11,'Originales sin dirección'!V:W,2,FALSE)</f>
        <v>Telecommunications</v>
      </c>
    </row>
    <row r="12" spans="1:14" x14ac:dyDescent="0.3">
      <c r="A12" s="2" t="s">
        <v>65</v>
      </c>
      <c r="F12">
        <v>13384</v>
      </c>
      <c r="G12">
        <v>19285</v>
      </c>
      <c r="H12">
        <v>43549</v>
      </c>
      <c r="I12">
        <v>43549</v>
      </c>
      <c r="J12">
        <v>43549</v>
      </c>
      <c r="K12">
        <v>93404</v>
      </c>
      <c r="L12">
        <v>138245</v>
      </c>
      <c r="M12">
        <v>146043</v>
      </c>
      <c r="N12" t="str">
        <f>VLOOKUP(A12,'Originales sin dirección'!V:W,2,FALSE)</f>
        <v>Internet Services and Retailing</v>
      </c>
    </row>
    <row r="13" spans="1:14" x14ac:dyDescent="0.3">
      <c r="A13" s="2" t="s">
        <v>67</v>
      </c>
      <c r="B13">
        <v>19285</v>
      </c>
      <c r="C13">
        <v>8192</v>
      </c>
      <c r="D13">
        <v>9746.0018999999993</v>
      </c>
      <c r="N13" t="str">
        <f>VLOOKUP(A13,'Originales sin dirección'!V:W,2,FALSE)</f>
        <v>Internet Services and Retailing</v>
      </c>
    </row>
    <row r="14" spans="1:14" x14ac:dyDescent="0.3">
      <c r="A14" s="2" t="s">
        <v>272</v>
      </c>
      <c r="G14">
        <v>40453.699999999997</v>
      </c>
      <c r="H14">
        <v>73250.3</v>
      </c>
      <c r="I14">
        <v>73250.3</v>
      </c>
      <c r="J14">
        <v>73250.3</v>
      </c>
      <c r="K14">
        <v>143085.9</v>
      </c>
      <c r="L14">
        <v>149618.9</v>
      </c>
      <c r="M14">
        <v>144105.20000000001</v>
      </c>
      <c r="N14" t="str">
        <f>VLOOKUP(A14,'Originales sin dirección'!V:W,2,FALSE)</f>
        <v>Internet Services and Retailing</v>
      </c>
    </row>
    <row r="15" spans="1:14" x14ac:dyDescent="0.3">
      <c r="A15" s="2" t="s">
        <v>281</v>
      </c>
      <c r="B15">
        <v>40453.699999999997</v>
      </c>
      <c r="N15" t="str">
        <f>VLOOKUP(A15,'Originales sin dirección'!V:W,2,FALSE)</f>
        <v>Internet Services and Retailing</v>
      </c>
    </row>
    <row r="16" spans="1:14" x14ac:dyDescent="0.3">
      <c r="A16" s="2" t="s">
        <v>261</v>
      </c>
      <c r="F16">
        <v>14917.1</v>
      </c>
      <c r="G16">
        <v>10420.1</v>
      </c>
      <c r="H16">
        <v>13245.6</v>
      </c>
      <c r="I16">
        <v>13245.6</v>
      </c>
      <c r="J16">
        <v>13245.6</v>
      </c>
      <c r="N16" t="str">
        <f>VLOOKUP(A16,'Originales sin dirección'!V:W,2,FALSE)</f>
        <v>Telecommunications</v>
      </c>
    </row>
    <row r="17" spans="1:14" x14ac:dyDescent="0.3">
      <c r="A17" s="2" t="s">
        <v>220</v>
      </c>
      <c r="B17">
        <v>10420.1</v>
      </c>
      <c r="C17">
        <v>-397.8</v>
      </c>
      <c r="D17">
        <v>-986.80010000000004</v>
      </c>
      <c r="N17" t="str">
        <f>VLOOKUP(A17,'Originales sin dirección'!V:W,2,FALSE)</f>
        <v>Telecommunications</v>
      </c>
    </row>
    <row r="18" spans="1:14" x14ac:dyDescent="0.3">
      <c r="A18" s="2" t="s">
        <v>259</v>
      </c>
      <c r="K18">
        <v>16107.7</v>
      </c>
      <c r="N18" t="str">
        <f>VLOOKUP(A18,'Originales sin dirección'!V:W,2,FALSE)</f>
        <v>Telecommunications</v>
      </c>
    </row>
    <row r="19" spans="1:14" x14ac:dyDescent="0.3">
      <c r="A19" s="2" t="s">
        <v>196</v>
      </c>
      <c r="F19">
        <v>24662.6</v>
      </c>
      <c r="G19">
        <v>23864.9</v>
      </c>
      <c r="H19">
        <v>25775.8</v>
      </c>
      <c r="I19">
        <v>25775.8</v>
      </c>
      <c r="J19">
        <v>25775.8</v>
      </c>
      <c r="K19">
        <v>24947</v>
      </c>
      <c r="L19">
        <v>24961.1</v>
      </c>
      <c r="N19" t="str">
        <f>VLOOKUP(A19,'Originales sin dirección'!V:W,2,FALSE)</f>
        <v>Computers, Office Equipment</v>
      </c>
    </row>
    <row r="20" spans="1:14" x14ac:dyDescent="0.3">
      <c r="A20" s="2" t="s">
        <v>203</v>
      </c>
      <c r="B20">
        <v>23864.9</v>
      </c>
      <c r="C20">
        <v>30052.400000000001</v>
      </c>
      <c r="D20">
        <v>27693.001899999999</v>
      </c>
      <c r="N20" t="str">
        <f>VLOOKUP(A20,'Originales sin dirección'!V:W,2,FALSE)</f>
        <v>Computers, Office Equipment</v>
      </c>
    </row>
    <row r="21" spans="1:14" x14ac:dyDescent="0.3">
      <c r="A21" s="2" t="s">
        <v>45</v>
      </c>
      <c r="G21">
        <v>40139</v>
      </c>
      <c r="H21">
        <v>36285</v>
      </c>
      <c r="I21">
        <v>36285</v>
      </c>
      <c r="J21">
        <v>36285</v>
      </c>
      <c r="K21">
        <v>23805</v>
      </c>
      <c r="L21">
        <v>14050</v>
      </c>
      <c r="M21">
        <v>9119</v>
      </c>
      <c r="N21" t="str">
        <f>VLOOKUP(A21,'Originales sin dirección'!V:W,2,FALSE)</f>
        <v>Telecommunications</v>
      </c>
    </row>
    <row r="22" spans="1:14" x14ac:dyDescent="0.3">
      <c r="A22" s="2" t="s">
        <v>122</v>
      </c>
      <c r="B22">
        <v>40139</v>
      </c>
      <c r="N22" t="str">
        <f>VLOOKUP(A22,'Originales sin dirección'!V:W,2,FALSE)</f>
        <v>Telecommunications</v>
      </c>
    </row>
    <row r="23" spans="1:14" x14ac:dyDescent="0.3">
      <c r="A23" s="2" t="s">
        <v>69</v>
      </c>
      <c r="C23">
        <v>49356</v>
      </c>
      <c r="N23" t="str">
        <f>VLOOKUP(A23,'Originales sin dirección'!V:W,2,FALSE)</f>
        <v>Telecommunications</v>
      </c>
    </row>
    <row r="24" spans="1:14" x14ac:dyDescent="0.3">
      <c r="A24" s="2" t="s">
        <v>93</v>
      </c>
      <c r="F24">
        <v>52269</v>
      </c>
      <c r="G24">
        <v>53943</v>
      </c>
      <c r="H24">
        <v>71613</v>
      </c>
      <c r="I24">
        <v>71613</v>
      </c>
      <c r="J24">
        <v>71613</v>
      </c>
      <c r="K24">
        <v>90323</v>
      </c>
      <c r="L24">
        <v>96092</v>
      </c>
      <c r="M24">
        <v>80943</v>
      </c>
      <c r="N24" t="str">
        <f>VLOOKUP(A24,'Originales sin dirección'!V:W,2,FALSE)</f>
        <v>Telecommunications</v>
      </c>
    </row>
    <row r="25" spans="1:14" x14ac:dyDescent="0.3">
      <c r="A25" s="2" t="s">
        <v>110</v>
      </c>
      <c r="B25">
        <v>53943</v>
      </c>
      <c r="D25">
        <v>50694.001900000003</v>
      </c>
      <c r="N25" t="str">
        <f>VLOOKUP(A25,'Originales sin dirección'!V:W,2,FALSE)</f>
        <v>Telecommunications</v>
      </c>
    </row>
    <row r="26" spans="1:14" x14ac:dyDescent="0.3">
      <c r="A26" s="2" t="s">
        <v>56</v>
      </c>
      <c r="M26">
        <v>58359</v>
      </c>
      <c r="N26" t="str">
        <f>VLOOKUP(A26,'Originales sin dirección'!V:W,2,FALSE)</f>
        <v>Computer Software</v>
      </c>
    </row>
    <row r="27" spans="1:14" x14ac:dyDescent="0.3">
      <c r="A27" s="2" t="s">
        <v>31</v>
      </c>
      <c r="H27">
        <v>-5765</v>
      </c>
      <c r="I27">
        <v>-5765</v>
      </c>
      <c r="J27">
        <v>-5765</v>
      </c>
      <c r="K27">
        <v>2479</v>
      </c>
      <c r="L27">
        <v>-1685</v>
      </c>
      <c r="M27">
        <v>-3122</v>
      </c>
      <c r="N27" t="str">
        <f>VLOOKUP(A27,'Originales sin dirección'!V:W,2,FALSE)</f>
        <v>Computers, Office Equipment</v>
      </c>
    </row>
    <row r="28" spans="1:14" x14ac:dyDescent="0.3">
      <c r="A28" s="2" t="s">
        <v>114</v>
      </c>
      <c r="C28">
        <v>10680</v>
      </c>
      <c r="N28" t="str">
        <f>VLOOKUP(A28,'Originales sin dirección'!V:W,2,FALSE)</f>
        <v>Computers, Office Equipment</v>
      </c>
    </row>
    <row r="29" spans="1:14" x14ac:dyDescent="0.3">
      <c r="A29" s="2" t="s">
        <v>256</v>
      </c>
      <c r="F29">
        <v>31934.3</v>
      </c>
      <c r="G29">
        <v>30905.9</v>
      </c>
      <c r="H29">
        <v>35326.699999999997</v>
      </c>
      <c r="I29">
        <v>35326.699999999997</v>
      </c>
      <c r="J29">
        <v>35326.699999999997</v>
      </c>
      <c r="K29">
        <v>43961.3</v>
      </c>
      <c r="L29">
        <v>48526</v>
      </c>
      <c r="M29">
        <v>51811.4</v>
      </c>
      <c r="N29" t="str">
        <f>VLOOKUP(A29,'Originales sin dirección'!V:W,2,FALSE)</f>
        <v>Telecommunications</v>
      </c>
    </row>
    <row r="30" spans="1:14" x14ac:dyDescent="0.3">
      <c r="A30" s="2" t="s">
        <v>164</v>
      </c>
      <c r="B30">
        <v>30905.9</v>
      </c>
      <c r="C30">
        <v>34167.699999999997</v>
      </c>
      <c r="D30">
        <v>32900.501900000003</v>
      </c>
      <c r="N30" t="str">
        <f>VLOOKUP(A30,'Originales sin dirección'!V:W,2,FALSE)</f>
        <v>Telecommunications</v>
      </c>
    </row>
    <row r="31" spans="1:14" x14ac:dyDescent="0.3">
      <c r="A31" s="2" t="s">
        <v>51</v>
      </c>
      <c r="C31">
        <v>-5431</v>
      </c>
      <c r="D31">
        <v>-6544.0001000000002</v>
      </c>
      <c r="N31" t="str">
        <f>VLOOKUP(A31,'Originales sin dirección'!V:W,2,FALSE)</f>
        <v>Telecommunications</v>
      </c>
    </row>
    <row r="32" spans="1:14" x14ac:dyDescent="0.3">
      <c r="A32" s="2" t="s">
        <v>106</v>
      </c>
      <c r="F32">
        <v>21140</v>
      </c>
      <c r="N32" t="str">
        <f>VLOOKUP(A32,'Originales sin dirección'!V:W,2,FALSE)</f>
        <v>Computers, Office Equipment</v>
      </c>
    </row>
    <row r="33" spans="1:14" x14ac:dyDescent="0.3">
      <c r="A33" s="2" t="s">
        <v>104</v>
      </c>
      <c r="F33">
        <v>8081</v>
      </c>
      <c r="N33" t="str">
        <f>VLOOKUP(A33,'Originales sin dirección'!V:W,2,FALSE)</f>
        <v>Electronics, Electrical Equip.</v>
      </c>
    </row>
    <row r="34" spans="1:14" x14ac:dyDescent="0.3">
      <c r="A34" s="2" t="s">
        <v>108</v>
      </c>
      <c r="C34">
        <v>10295</v>
      </c>
      <c r="D34">
        <v>10585.001899999999</v>
      </c>
      <c r="N34" t="str">
        <f>VLOOKUP(A34,'Originales sin dirección'!V:W,2,FALSE)</f>
        <v>Electronics, Electrical Equip.</v>
      </c>
    </row>
    <row r="35" spans="1:14" x14ac:dyDescent="0.3">
      <c r="A35" s="2" t="s">
        <v>41</v>
      </c>
      <c r="G35">
        <v>59194</v>
      </c>
      <c r="H35">
        <v>84127</v>
      </c>
      <c r="I35">
        <v>84127</v>
      </c>
      <c r="J35">
        <v>84127</v>
      </c>
      <c r="K35">
        <v>128290</v>
      </c>
      <c r="N35" t="str">
        <f>VLOOKUP(A35,'Originales sin dirección'!V:W,2,FALSE)</f>
        <v>Internet Services and Retailing</v>
      </c>
    </row>
    <row r="36" spans="1:14" x14ac:dyDescent="0.3">
      <c r="A36" s="2" t="s">
        <v>53</v>
      </c>
      <c r="B36">
        <v>59194</v>
      </c>
      <c r="N36" t="str">
        <f>VLOOKUP(A36,'Originales sin dirección'!V:W,2,FALSE)</f>
        <v>Internet Services and Retailing</v>
      </c>
    </row>
    <row r="37" spans="1:14" x14ac:dyDescent="0.3">
      <c r="A37" s="2" t="s">
        <v>158</v>
      </c>
      <c r="C37">
        <v>8857.1</v>
      </c>
      <c r="D37">
        <v>8490.1018999999997</v>
      </c>
      <c r="N37" t="str">
        <f>VLOOKUP(A37,'Originales sin dirección'!V:W,2,FALSE)</f>
        <v>Computers, Office Equipment</v>
      </c>
    </row>
    <row r="38" spans="1:14" x14ac:dyDescent="0.3">
      <c r="A38" s="2" t="s">
        <v>294</v>
      </c>
      <c r="K38">
        <v>3436</v>
      </c>
      <c r="N38" t="str">
        <f>VLOOKUP(A38,'Originales sin dirección'!V:W,2,FALSE)</f>
        <v>Electronics, Electrical Equip.</v>
      </c>
    </row>
    <row r="39" spans="1:14" x14ac:dyDescent="0.3">
      <c r="A39" s="2" t="s">
        <v>232</v>
      </c>
      <c r="C39">
        <v>32040.1</v>
      </c>
      <c r="N39" t="str">
        <f>VLOOKUP(A39,'Originales sin dirección'!V:W,2,FALSE)</f>
        <v>Telecommunications</v>
      </c>
    </row>
    <row r="40" spans="1:14" x14ac:dyDescent="0.3">
      <c r="A40" s="2" t="s">
        <v>48</v>
      </c>
      <c r="C40">
        <v>71715</v>
      </c>
      <c r="D40">
        <v>87309.001900000003</v>
      </c>
      <c r="N40" t="str">
        <f>VLOOKUP(A40,'Originales sin dirección'!V:W,2,FALSE)</f>
        <v>Internet Services and Retailing</v>
      </c>
    </row>
    <row r="41" spans="1:14" x14ac:dyDescent="0.3">
      <c r="A41" s="2" t="s">
        <v>78</v>
      </c>
      <c r="F41">
        <v>120331</v>
      </c>
      <c r="G41">
        <v>139036</v>
      </c>
      <c r="H41">
        <v>177628</v>
      </c>
      <c r="I41">
        <v>177628</v>
      </c>
      <c r="J41">
        <v>177628</v>
      </c>
      <c r="K41">
        <v>222544</v>
      </c>
      <c r="L41">
        <v>251635</v>
      </c>
      <c r="M41">
        <v>256144</v>
      </c>
      <c r="N41" t="str">
        <f>VLOOKUP(A41,'Originales sin dirección'!V:W,2,FALSE)</f>
        <v>Internet Services and Retailing</v>
      </c>
    </row>
    <row r="42" spans="1:14" x14ac:dyDescent="0.3">
      <c r="A42" s="2" t="s">
        <v>88</v>
      </c>
      <c r="B42">
        <v>139036</v>
      </c>
      <c r="N42" t="str">
        <f>VLOOKUP(A42,'Originales sin dirección'!V:W,2,FALSE)</f>
        <v>Internet Services and Retailing</v>
      </c>
    </row>
    <row r="43" spans="1:14" x14ac:dyDescent="0.3">
      <c r="A43" s="2" t="s">
        <v>291</v>
      </c>
      <c r="F43">
        <v>30682.1</v>
      </c>
      <c r="G43">
        <v>33475.5</v>
      </c>
      <c r="H43">
        <v>39428.6</v>
      </c>
      <c r="I43">
        <v>39428.6</v>
      </c>
      <c r="J43">
        <v>39428.6</v>
      </c>
      <c r="K43">
        <v>46197.7</v>
      </c>
      <c r="L43">
        <v>49810.8</v>
      </c>
      <c r="M43">
        <v>47235.199999999997</v>
      </c>
      <c r="N43" t="str">
        <f>VLOOKUP(A43,'Originales sin dirección'!V:W,2,FALSE)</f>
        <v>Electronics, Electrical Equip.</v>
      </c>
    </row>
    <row r="44" spans="1:14" x14ac:dyDescent="0.3">
      <c r="A44" s="2" t="s">
        <v>244</v>
      </c>
      <c r="B44">
        <v>33475.5</v>
      </c>
      <c r="C44">
        <v>22265</v>
      </c>
      <c r="D44">
        <v>25660.101900000001</v>
      </c>
      <c r="N44" t="str">
        <f>VLOOKUP(A44,'Originales sin dirección'!V:W,2,FALSE)</f>
        <v>Electronics, Electrical Equip.</v>
      </c>
    </row>
    <row r="45" spans="1:14" x14ac:dyDescent="0.3">
      <c r="A45" s="2" t="s">
        <v>91</v>
      </c>
      <c r="F45">
        <v>18283</v>
      </c>
      <c r="G45">
        <v>19369</v>
      </c>
      <c r="H45">
        <v>18180</v>
      </c>
      <c r="I45">
        <v>18180</v>
      </c>
      <c r="J45">
        <v>18180</v>
      </c>
      <c r="K45">
        <v>17549</v>
      </c>
      <c r="L45">
        <v>18569</v>
      </c>
      <c r="M45">
        <v>16697</v>
      </c>
      <c r="N45" t="str">
        <f>VLOOKUP(A45,'Originales sin dirección'!V:W,2,FALSE)</f>
        <v>Electronics, Electrical Equip.</v>
      </c>
    </row>
    <row r="46" spans="1:14" x14ac:dyDescent="0.3">
      <c r="A46" s="2" t="s">
        <v>109</v>
      </c>
      <c r="B46">
        <v>19369</v>
      </c>
      <c r="D46">
        <v>17467.001899999999</v>
      </c>
      <c r="N46" t="str">
        <f>VLOOKUP(A46,'Originales sin dirección'!V:W,2,FALSE)</f>
        <v>Electronics, Electrical Equip.</v>
      </c>
    </row>
    <row r="47" spans="1:14" x14ac:dyDescent="0.3">
      <c r="A47" s="2" t="s">
        <v>38</v>
      </c>
      <c r="H47">
        <v>21239</v>
      </c>
      <c r="I47">
        <v>21239</v>
      </c>
      <c r="J47">
        <v>21239</v>
      </c>
      <c r="K47">
        <v>16049</v>
      </c>
      <c r="N47" t="str">
        <f>VLOOKUP(A47,'Originales sin dirección'!V:W,2,FALSE)</f>
        <v>Computers, Office Equipment</v>
      </c>
    </row>
    <row r="48" spans="1:14" x14ac:dyDescent="0.3">
      <c r="A48" s="2" t="s">
        <v>59</v>
      </c>
      <c r="F48">
        <v>27768</v>
      </c>
      <c r="G48">
        <v>-3889</v>
      </c>
      <c r="H48">
        <v>-639</v>
      </c>
      <c r="I48">
        <v>-639</v>
      </c>
      <c r="J48">
        <v>-639</v>
      </c>
      <c r="K48">
        <v>-2228</v>
      </c>
      <c r="L48">
        <v>-1650</v>
      </c>
      <c r="M48">
        <v>-2918</v>
      </c>
      <c r="N48" t="str">
        <f>VLOOKUP(A48,'Originales sin dirección'!V:W,2,FALSE)</f>
        <v>Computers, Office Equipment</v>
      </c>
    </row>
    <row r="49" spans="1:14" x14ac:dyDescent="0.3">
      <c r="A49" s="2" t="s">
        <v>72</v>
      </c>
      <c r="B49">
        <v>-3889</v>
      </c>
      <c r="C49">
        <v>22436</v>
      </c>
      <c r="D49">
        <v>27269.001899999999</v>
      </c>
      <c r="N49" t="str">
        <f>VLOOKUP(A49,'Originales sin dirección'!V:W,2,FALSE)</f>
        <v>Computers, Office Equipment</v>
      </c>
    </row>
    <row r="50" spans="1:14" x14ac:dyDescent="0.3">
      <c r="A50" s="2" t="s">
        <v>275</v>
      </c>
      <c r="K50">
        <v>10240.1</v>
      </c>
      <c r="N50" t="str">
        <f>VLOOKUP(A50,'Originales sin dirección'!V:W,2,FALSE)</f>
        <v>Electronics, Electrical Equip.</v>
      </c>
    </row>
    <row r="51" spans="1:14" x14ac:dyDescent="0.3">
      <c r="A51" s="2" t="s">
        <v>265</v>
      </c>
      <c r="L51">
        <v>12564.5</v>
      </c>
      <c r="M51">
        <v>13545</v>
      </c>
      <c r="N51" t="str">
        <f>VLOOKUP(A51,'Originales sin dirección'!V:W,2,FALSE)</f>
        <v>Electronics, Electrical Equip.</v>
      </c>
    </row>
    <row r="52" spans="1:14" x14ac:dyDescent="0.3">
      <c r="A52" s="2" t="s">
        <v>189</v>
      </c>
      <c r="F52">
        <v>24337.8</v>
      </c>
      <c r="G52">
        <v>26632.1</v>
      </c>
      <c r="H52">
        <v>29480.5</v>
      </c>
      <c r="I52">
        <v>29480.5</v>
      </c>
      <c r="J52">
        <v>29480.5</v>
      </c>
      <c r="K52">
        <v>31876.1</v>
      </c>
      <c r="L52">
        <v>35761.800000000003</v>
      </c>
      <c r="M52">
        <v>37237.1</v>
      </c>
      <c r="N52" t="str">
        <f>VLOOKUP(A52,'Originales sin dirección'!V:W,2,FALSE)</f>
        <v>Electronics, Electrical Equip.</v>
      </c>
    </row>
    <row r="53" spans="1:14" x14ac:dyDescent="0.3">
      <c r="A53" s="2" t="s">
        <v>209</v>
      </c>
      <c r="B53">
        <v>26632.1</v>
      </c>
      <c r="C53">
        <v>22154.9</v>
      </c>
      <c r="D53">
        <v>25747.7019</v>
      </c>
      <c r="N53" t="str">
        <f>VLOOKUP(A53,'Originales sin dirección'!V:W,2,FALSE)</f>
        <v>Electronics, Electrical Equip.</v>
      </c>
    </row>
    <row r="54" spans="1:14" x14ac:dyDescent="0.3">
      <c r="A54" s="2" t="s">
        <v>130</v>
      </c>
      <c r="F54">
        <v>4703.2</v>
      </c>
      <c r="G54">
        <v>4877</v>
      </c>
      <c r="H54">
        <v>8705.7000000000007</v>
      </c>
      <c r="I54">
        <v>8705.7000000000007</v>
      </c>
      <c r="J54">
        <v>8705.7000000000007</v>
      </c>
      <c r="K54">
        <v>28742.3</v>
      </c>
      <c r="L54">
        <v>32888.6</v>
      </c>
      <c r="M54">
        <v>30935.200000000001</v>
      </c>
      <c r="N54" t="str">
        <f>VLOOKUP(A54,'Originales sin dirección'!V:W,2,FALSE)</f>
        <v>Internet Services and Retailing</v>
      </c>
    </row>
    <row r="55" spans="1:14" x14ac:dyDescent="0.3">
      <c r="A55" s="2" t="s">
        <v>179</v>
      </c>
      <c r="B55">
        <v>4877</v>
      </c>
      <c r="N55" t="str">
        <f>VLOOKUP(A55,'Originales sin dirección'!V:W,2,FALSE)</f>
        <v>Internet Services and Retailing</v>
      </c>
    </row>
    <row r="56" spans="1:14" x14ac:dyDescent="0.3">
      <c r="A56" s="2" t="s">
        <v>186</v>
      </c>
      <c r="F56">
        <v>29437.9</v>
      </c>
      <c r="G56">
        <v>31904</v>
      </c>
      <c r="H56">
        <v>37801.5</v>
      </c>
      <c r="I56">
        <v>37801.5</v>
      </c>
      <c r="J56">
        <v>37801.5</v>
      </c>
      <c r="K56">
        <v>43035.4</v>
      </c>
      <c r="L56">
        <v>41039.300000000003</v>
      </c>
      <c r="M56">
        <v>38589.800000000003</v>
      </c>
      <c r="N56" t="str">
        <f>VLOOKUP(A56,'Originales sin dirección'!V:W,2,FALSE)</f>
        <v>Telecommunications</v>
      </c>
    </row>
    <row r="57" spans="1:14" x14ac:dyDescent="0.3">
      <c r="A57" s="2" t="s">
        <v>205</v>
      </c>
      <c r="B57">
        <v>31904</v>
      </c>
      <c r="C57">
        <v>23601.9</v>
      </c>
      <c r="D57">
        <v>25810.501899999999</v>
      </c>
      <c r="N57" t="str">
        <f>VLOOKUP(A57,'Originales sin dirección'!V:W,2,FALSE)</f>
        <v>Telecommunications</v>
      </c>
    </row>
    <row r="58" spans="1:14" x14ac:dyDescent="0.3">
      <c r="A58" s="2" t="s">
        <v>100</v>
      </c>
      <c r="L58">
        <v>5235.3999999999996</v>
      </c>
      <c r="N58" t="str">
        <f>VLOOKUP(A58,'Originales sin dirección'!V:W,2,FALSE)</f>
        <v>Automotive Retailing, Services</v>
      </c>
    </row>
    <row r="59" spans="1:14" x14ac:dyDescent="0.3">
      <c r="A59" s="2" t="s">
        <v>142</v>
      </c>
      <c r="F59">
        <v>3000.2</v>
      </c>
      <c r="G59">
        <v>3223.6</v>
      </c>
      <c r="H59">
        <v>3396.5</v>
      </c>
      <c r="I59">
        <v>3396.5</v>
      </c>
      <c r="J59">
        <v>3396.5</v>
      </c>
      <c r="K59">
        <v>3559</v>
      </c>
      <c r="L59">
        <v>4990.6000000000004</v>
      </c>
      <c r="M59">
        <v>5587.6</v>
      </c>
      <c r="N59" t="str">
        <f>VLOOKUP(A59,'Originales sin dirección'!V:W,2,FALSE)</f>
        <v>Computers, Office Equipment</v>
      </c>
    </row>
    <row r="60" spans="1:14" x14ac:dyDescent="0.3">
      <c r="A60" s="2" t="s">
        <v>180</v>
      </c>
      <c r="B60">
        <v>3223.6</v>
      </c>
      <c r="C60">
        <v>2666.6</v>
      </c>
      <c r="D60">
        <v>3010.1019000000001</v>
      </c>
      <c r="N60" t="str">
        <f>VLOOKUP(A60,'Originales sin dirección'!V:W,2,FALSE)</f>
        <v>Computers, Office Equipment</v>
      </c>
    </row>
    <row r="61" spans="1:14" x14ac:dyDescent="0.3">
      <c r="A61" s="2" t="s">
        <v>296</v>
      </c>
      <c r="F61">
        <v>10400.9</v>
      </c>
      <c r="G61">
        <v>10728.7</v>
      </c>
      <c r="N61" t="str">
        <f>VLOOKUP(A61,'Originales sin dirección'!V:W,2,FALSE)</f>
        <v>Electronics, Electrical Equip.</v>
      </c>
    </row>
    <row r="62" spans="1:14" x14ac:dyDescent="0.3">
      <c r="A62" s="2" t="s">
        <v>170</v>
      </c>
      <c r="B62">
        <v>10728.7</v>
      </c>
      <c r="C62">
        <v>9537.9</v>
      </c>
      <c r="D62">
        <v>10056.1019</v>
      </c>
      <c r="N62" t="str">
        <f>VLOOKUP(A62,'Originales sin dirección'!V:W,2,FALSE)</f>
        <v>Electronics, Electrical Equip.</v>
      </c>
    </row>
    <row r="63" spans="1:14" x14ac:dyDescent="0.3">
      <c r="A63" s="2" t="s">
        <v>35</v>
      </c>
      <c r="L63">
        <v>124879</v>
      </c>
      <c r="M63">
        <v>125713</v>
      </c>
      <c r="N63" t="str">
        <f>VLOOKUP(A63,'Originales sin dirección'!V:W,2,FALSE)</f>
        <v>Internet Services and Retailing</v>
      </c>
    </row>
    <row r="64" spans="1:14" x14ac:dyDescent="0.3">
      <c r="A64" s="2" t="s">
        <v>183</v>
      </c>
      <c r="F64">
        <v>16362.1</v>
      </c>
      <c r="G64">
        <v>18307.400000000001</v>
      </c>
      <c r="H64">
        <v>21685.599999999999</v>
      </c>
      <c r="I64">
        <v>21685.599999999999</v>
      </c>
      <c r="J64">
        <v>21685.599999999999</v>
      </c>
      <c r="K64">
        <v>24903.200000000001</v>
      </c>
      <c r="L64">
        <v>24511.5</v>
      </c>
      <c r="M64">
        <v>24401.3</v>
      </c>
      <c r="N64" t="str">
        <f>VLOOKUP(A64,'Originales sin dirección'!V:W,2,FALSE)</f>
        <v>Electronics, Electrical Equip.</v>
      </c>
    </row>
    <row r="65" spans="1:14" x14ac:dyDescent="0.3">
      <c r="A65" s="2" t="s">
        <v>204</v>
      </c>
      <c r="B65">
        <v>18307.400000000001</v>
      </c>
      <c r="C65">
        <v>13830.5</v>
      </c>
      <c r="D65">
        <v>14803.6019</v>
      </c>
      <c r="N65" t="str">
        <f>VLOOKUP(A65,'Originales sin dirección'!V:W,2,FALSE)</f>
        <v>Electronics, Electrical Equip.</v>
      </c>
    </row>
    <row r="66" spans="1:14" x14ac:dyDescent="0.3">
      <c r="A66" s="2" t="s">
        <v>124</v>
      </c>
      <c r="M66">
        <v>18668.7</v>
      </c>
      <c r="N66" t="str">
        <f>VLOOKUP(A66,'Originales sin dirección'!V:W,2,FALSE)</f>
        <v>Internet Services and Retailing</v>
      </c>
    </row>
    <row r="67" spans="1:14" x14ac:dyDescent="0.3">
      <c r="A67" s="2" t="s">
        <v>96</v>
      </c>
      <c r="F67">
        <v>80083</v>
      </c>
      <c r="G67">
        <v>71997</v>
      </c>
      <c r="H67">
        <v>82718</v>
      </c>
      <c r="I67">
        <v>82718</v>
      </c>
      <c r="J67">
        <v>82718</v>
      </c>
      <c r="K67">
        <v>118304</v>
      </c>
      <c r="L67">
        <v>141988</v>
      </c>
      <c r="M67">
        <v>166542</v>
      </c>
      <c r="N67" t="str">
        <f>VLOOKUP(A67,'Originales sin dirección'!V:W,2,FALSE)</f>
        <v>Computer Software</v>
      </c>
    </row>
    <row r="68" spans="1:14" x14ac:dyDescent="0.3">
      <c r="A68" s="2" t="s">
        <v>111</v>
      </c>
      <c r="B68">
        <v>71997</v>
      </c>
      <c r="C68">
        <v>66363</v>
      </c>
      <c r="D68">
        <v>78944.001900000003</v>
      </c>
      <c r="N68" t="str">
        <f>VLOOKUP(A68,'Originales sin dirección'!V:W,2,FALSE)</f>
        <v>Computer Software</v>
      </c>
    </row>
    <row r="69" spans="1:14" x14ac:dyDescent="0.3">
      <c r="A69" s="2" t="s">
        <v>202</v>
      </c>
      <c r="F69">
        <v>78606.600000000006</v>
      </c>
      <c r="N69" t="str">
        <f>VLOOKUP(A69,'Originales sin dirección'!V:W,2,FALSE)</f>
        <v>Telecommunications</v>
      </c>
    </row>
    <row r="70" spans="1:14" x14ac:dyDescent="0.3">
      <c r="A70" s="2" t="s">
        <v>211</v>
      </c>
      <c r="C70">
        <v>88500.4</v>
      </c>
      <c r="D70">
        <v>82658.601899999994</v>
      </c>
      <c r="N70" t="str">
        <f>VLOOKUP(A70,'Originales sin dirección'!V:W,2,FALSE)</f>
        <v>Telecommunications</v>
      </c>
    </row>
    <row r="71" spans="1:14" x14ac:dyDescent="0.3">
      <c r="A71" s="2" t="s">
        <v>193</v>
      </c>
      <c r="G71">
        <v>81253.7</v>
      </c>
      <c r="H71">
        <v>83716.600000000006</v>
      </c>
      <c r="I71">
        <v>83716.600000000006</v>
      </c>
      <c r="J71">
        <v>83716.600000000006</v>
      </c>
      <c r="K71">
        <v>68378.899999999994</v>
      </c>
      <c r="L71">
        <v>68218.899999999994</v>
      </c>
      <c r="M71">
        <v>64497.2</v>
      </c>
      <c r="N71" t="str">
        <f>VLOOKUP(A71,'Originales sin dirección'!V:W,2,FALSE)</f>
        <v>Telecommunications</v>
      </c>
    </row>
    <row r="72" spans="1:14" x14ac:dyDescent="0.3">
      <c r="A72" s="2" t="s">
        <v>212</v>
      </c>
      <c r="B72">
        <v>81253.7</v>
      </c>
      <c r="N72" t="str">
        <f>VLOOKUP(A72,'Originales sin dirección'!V:W,2,FALSE)</f>
        <v>Telecommunications</v>
      </c>
    </row>
    <row r="73" spans="1:14" x14ac:dyDescent="0.3">
      <c r="A73" s="2" t="s">
        <v>252</v>
      </c>
      <c r="F73">
        <v>33571.199999999997</v>
      </c>
      <c r="G73">
        <v>32364.5</v>
      </c>
      <c r="H73">
        <v>35054.699999999997</v>
      </c>
      <c r="I73">
        <v>35054.699999999997</v>
      </c>
      <c r="J73">
        <v>35054.699999999997</v>
      </c>
      <c r="K73">
        <v>42092.6</v>
      </c>
      <c r="L73">
        <v>36771.699999999997</v>
      </c>
      <c r="M73">
        <v>33913.5</v>
      </c>
      <c r="N73" t="str">
        <f>VLOOKUP(A73,'Originales sin dirección'!V:W,2,FALSE)</f>
        <v>Telecommunications</v>
      </c>
    </row>
    <row r="74" spans="1:14" x14ac:dyDescent="0.3">
      <c r="A74" s="2" t="s">
        <v>253</v>
      </c>
      <c r="B74">
        <v>32364.5</v>
      </c>
      <c r="D74">
        <v>33548.101900000001</v>
      </c>
      <c r="N74" t="str">
        <f>VLOOKUP(A74,'Originales sin dirección'!V:W,2,FALSE)</f>
        <v>Telecommunications</v>
      </c>
    </row>
    <row r="75" spans="1:14" x14ac:dyDescent="0.3">
      <c r="A75" s="2" t="s">
        <v>84</v>
      </c>
      <c r="F75">
        <v>48663</v>
      </c>
      <c r="G75">
        <v>47289</v>
      </c>
      <c r="H75">
        <v>45726</v>
      </c>
      <c r="I75">
        <v>45726</v>
      </c>
      <c r="J75">
        <v>45726</v>
      </c>
      <c r="K75">
        <v>12074</v>
      </c>
      <c r="L75">
        <v>5238</v>
      </c>
      <c r="M75">
        <v>-6220</v>
      </c>
      <c r="N75" t="str">
        <f>VLOOKUP(A75,'Originales sin dirección'!V:W,2,FALSE)</f>
        <v>Computer Software</v>
      </c>
    </row>
    <row r="76" spans="1:14" x14ac:dyDescent="0.3">
      <c r="A76" s="2" t="s">
        <v>86</v>
      </c>
      <c r="B76">
        <v>47289</v>
      </c>
      <c r="C76">
        <v>43688</v>
      </c>
      <c r="D76">
        <v>44648.001900000003</v>
      </c>
      <c r="N76" t="str">
        <f>VLOOKUP(A76,'Originales sin dirección'!V:W,2,FALSE)</f>
        <v>Computer Software</v>
      </c>
    </row>
    <row r="77" spans="1:14" x14ac:dyDescent="0.3">
      <c r="A77" s="2" t="s">
        <v>161</v>
      </c>
      <c r="C77">
        <v>13447.1</v>
      </c>
      <c r="D77">
        <v>15035.001899999999</v>
      </c>
      <c r="N77" t="str">
        <f>VLOOKUP(A77,'Originales sin dirección'!V:W,2,FALSE)</f>
        <v>Electronics, Electrical Equip.</v>
      </c>
    </row>
    <row r="78" spans="1:14" x14ac:dyDescent="0.3">
      <c r="A78" s="2" t="s">
        <v>284</v>
      </c>
      <c r="F78">
        <v>15172.2</v>
      </c>
      <c r="G78">
        <v>14109</v>
      </c>
      <c r="H78">
        <v>17290.3</v>
      </c>
      <c r="I78">
        <v>17290.3</v>
      </c>
      <c r="J78">
        <v>17290.3</v>
      </c>
      <c r="K78">
        <v>23454.2</v>
      </c>
      <c r="L78">
        <v>26068.400000000001</v>
      </c>
      <c r="M78">
        <v>27259.3</v>
      </c>
      <c r="N78" t="str">
        <f>VLOOKUP(A78,'Originales sin dirección'!V:W,2,FALSE)</f>
        <v>Electronics, Electrical Equip.</v>
      </c>
    </row>
    <row r="79" spans="1:14" x14ac:dyDescent="0.3">
      <c r="A79" s="2" t="s">
        <v>288</v>
      </c>
      <c r="B79">
        <v>14109</v>
      </c>
      <c r="N79" t="str">
        <f>VLOOKUP(A79,'Originales sin dirección'!V:W,2,FALSE)</f>
        <v>Electronics, Electrical Equip.</v>
      </c>
    </row>
    <row r="80" spans="1:14" x14ac:dyDescent="0.3">
      <c r="A80" s="2" t="s">
        <v>306</v>
      </c>
      <c r="F80">
        <v>12667.3</v>
      </c>
      <c r="N80" t="str">
        <f>VLOOKUP(A80,'Originales sin dirección'!V:W,2,FALSE)</f>
        <v>Electronics, Electrical Equip.</v>
      </c>
    </row>
    <row r="81" spans="1:14" x14ac:dyDescent="0.3">
      <c r="A81" s="2" t="s">
        <v>173</v>
      </c>
      <c r="C81">
        <v>14684.7</v>
      </c>
      <c r="D81">
        <v>15450.6019</v>
      </c>
      <c r="N81" t="str">
        <f>VLOOKUP(A81,'Originales sin dirección'!V:W,2,FALSE)</f>
        <v>Electronics, Electrical Equip.</v>
      </c>
    </row>
    <row r="82" spans="1:14" x14ac:dyDescent="0.3">
      <c r="A82" s="2" t="s">
        <v>226</v>
      </c>
      <c r="C82">
        <v>4264</v>
      </c>
      <c r="D82">
        <v>4137.7019</v>
      </c>
      <c r="N82" t="str">
        <f>VLOOKUP(A82,'Originales sin dirección'!V:W,2,FALSE)</f>
        <v>Computers, Office Equipment</v>
      </c>
    </row>
    <row r="83" spans="1:14" x14ac:dyDescent="0.3">
      <c r="A83" s="2" t="s">
        <v>167</v>
      </c>
      <c r="C83">
        <v>9553.1</v>
      </c>
      <c r="N83" t="str">
        <f>VLOOKUP(A83,'Originales sin dirección'!V:W,2,FALSE)</f>
        <v>Computers, Office Equipment</v>
      </c>
    </row>
    <row r="84" spans="1:14" x14ac:dyDescent="0.3">
      <c r="A84" s="2" t="s">
        <v>120</v>
      </c>
      <c r="C84">
        <v>7087</v>
      </c>
      <c r="N84" t="str">
        <f>VLOOKUP(A84,'Originales sin dirección'!V:W,2,FALSE)</f>
        <v>Telecommunications</v>
      </c>
    </row>
    <row r="85" spans="1:14" x14ac:dyDescent="0.3">
      <c r="A85" s="2" t="s">
        <v>254</v>
      </c>
      <c r="F85">
        <v>25272.6</v>
      </c>
      <c r="G85">
        <v>27816.9</v>
      </c>
      <c r="H85">
        <v>32955</v>
      </c>
      <c r="I85">
        <v>32955</v>
      </c>
      <c r="J85">
        <v>32955</v>
      </c>
      <c r="K85">
        <v>36367.699999999997</v>
      </c>
      <c r="L85">
        <v>44175.9</v>
      </c>
      <c r="M85">
        <v>42878.5</v>
      </c>
      <c r="N85" t="str">
        <f>VLOOKUP(A85,'Originales sin dirección'!V:W,2,FALSE)</f>
        <v>Computer Software</v>
      </c>
    </row>
    <row r="86" spans="1:14" x14ac:dyDescent="0.3">
      <c r="A86" s="2" t="s">
        <v>258</v>
      </c>
      <c r="B86">
        <v>27816.9</v>
      </c>
      <c r="N86" t="str">
        <f>VLOOKUP(A86,'Originales sin dirección'!V:W,2,FALSE)</f>
        <v>Computer Software</v>
      </c>
    </row>
    <row r="87" spans="1:14" x14ac:dyDescent="0.3">
      <c r="A87" s="2" t="s">
        <v>249</v>
      </c>
      <c r="F87">
        <v>22645.1</v>
      </c>
      <c r="G87">
        <v>21613.599999999999</v>
      </c>
      <c r="H87">
        <v>23753.8</v>
      </c>
      <c r="I87">
        <v>23753.8</v>
      </c>
      <c r="J87">
        <v>23753.8</v>
      </c>
      <c r="K87">
        <v>25238.400000000001</v>
      </c>
      <c r="L87">
        <v>27788.3</v>
      </c>
      <c r="M87">
        <v>27143.4</v>
      </c>
      <c r="N87" t="str">
        <f>VLOOKUP(A87,'Originales sin dirección'!V:W,2,FALSE)</f>
        <v>Electronics, Electrical Equip.</v>
      </c>
    </row>
    <row r="88" spans="1:14" x14ac:dyDescent="0.3">
      <c r="A88" s="2" t="s">
        <v>223</v>
      </c>
      <c r="B88">
        <v>21613.599999999999</v>
      </c>
      <c r="C88">
        <v>21937.5</v>
      </c>
      <c r="D88">
        <v>23714.7019</v>
      </c>
      <c r="N88" t="str">
        <f>VLOOKUP(A88,'Originales sin dirección'!V:W,2,FALSE)</f>
        <v>Electronics, Electrical Equip.</v>
      </c>
    </row>
    <row r="89" spans="1:14" x14ac:dyDescent="0.3">
      <c r="A89" s="2" t="s">
        <v>127</v>
      </c>
      <c r="F89">
        <v>23256.9</v>
      </c>
      <c r="G89">
        <v>32190.6</v>
      </c>
      <c r="H89">
        <v>68866.7</v>
      </c>
      <c r="I89">
        <v>68866.7</v>
      </c>
      <c r="J89">
        <v>68866.7</v>
      </c>
      <c r="K89">
        <v>92342.6</v>
      </c>
      <c r="L89">
        <v>82165.2</v>
      </c>
      <c r="M89">
        <v>68026.600000000006</v>
      </c>
      <c r="N89" t="str">
        <f>VLOOKUP(A89,'Originales sin dirección'!V:W,2,FALSE)</f>
        <v>Telecommunications</v>
      </c>
    </row>
    <row r="90" spans="1:14" x14ac:dyDescent="0.3">
      <c r="A90" s="2" t="s">
        <v>207</v>
      </c>
      <c r="B90">
        <v>32190.6</v>
      </c>
      <c r="D90">
        <v>18989.7019</v>
      </c>
      <c r="N90" t="str">
        <f>VLOOKUP(A90,'Originales sin dirección'!V:W,2,FALSE)</f>
        <v>Telecommunications</v>
      </c>
    </row>
    <row r="91" spans="1:14" x14ac:dyDescent="0.3">
      <c r="A91" s="2" t="s">
        <v>154</v>
      </c>
      <c r="C91">
        <v>1954.6</v>
      </c>
      <c r="D91">
        <v>3292.6019000000001</v>
      </c>
      <c r="N91" t="str">
        <f>VLOOKUP(A91,'Originales sin dirección'!V:W,2,FALSE)</f>
        <v>Electronics, Electrical Equip.</v>
      </c>
    </row>
    <row r="92" spans="1:14" x14ac:dyDescent="0.3">
      <c r="A92" s="2" t="s">
        <v>241</v>
      </c>
      <c r="C92">
        <v>39531.9</v>
      </c>
      <c r="D92">
        <v>38048.2019</v>
      </c>
      <c r="N92" t="str">
        <f>VLOOKUP(A92,'Originales sin dirección'!V:W,2,FALSE)</f>
        <v>Electronics, Electrical Equip.</v>
      </c>
    </row>
    <row r="93" spans="1:14" x14ac:dyDescent="0.3">
      <c r="A93" s="2" t="s">
        <v>257</v>
      </c>
      <c r="F93">
        <v>38476.400000000001</v>
      </c>
      <c r="N93" t="str">
        <f>VLOOKUP(A93,'Originales sin dirección'!V:W,2,FALSE)</f>
        <v>Electronics, Electrical Equip.</v>
      </c>
    </row>
    <row r="94" spans="1:14" x14ac:dyDescent="0.3">
      <c r="A94" s="2" t="s">
        <v>214</v>
      </c>
      <c r="C94">
        <v>10992.2</v>
      </c>
      <c r="D94">
        <v>10578.6019</v>
      </c>
      <c r="N94" t="str">
        <f>VLOOKUP(A94,'Originales sin dirección'!V:W,2,FALSE)</f>
        <v>Electronics, Electrical Equip.</v>
      </c>
    </row>
    <row r="95" spans="1:14" x14ac:dyDescent="0.3">
      <c r="A95" s="2" t="s">
        <v>151</v>
      </c>
      <c r="F95">
        <v>21919.7</v>
      </c>
      <c r="G95">
        <v>22414.9</v>
      </c>
      <c r="H95">
        <v>33851.800000000003</v>
      </c>
      <c r="I95">
        <v>33851.800000000003</v>
      </c>
      <c r="J95">
        <v>33851.800000000003</v>
      </c>
      <c r="N95" t="str">
        <f>VLOOKUP(A95,'Originales sin dirección'!V:W,2,FALSE)</f>
        <v>Electronics, Electrical Equip.</v>
      </c>
    </row>
    <row r="96" spans="1:14" x14ac:dyDescent="0.3">
      <c r="A96" s="2" t="s">
        <v>177</v>
      </c>
      <c r="B96">
        <v>22414.9</v>
      </c>
      <c r="C96">
        <v>23380.5</v>
      </c>
      <c r="D96">
        <v>21930.001899999999</v>
      </c>
      <c r="N96" t="str">
        <f>VLOOKUP(A96,'Originales sin dirección'!V:W,2,FALSE)</f>
        <v>Electronics, Electrical Equip.</v>
      </c>
    </row>
    <row r="97" spans="1:14" x14ac:dyDescent="0.3">
      <c r="A97" s="2" t="s">
        <v>191</v>
      </c>
      <c r="K97">
        <v>50414.5</v>
      </c>
      <c r="L97">
        <v>58845.8</v>
      </c>
      <c r="M97">
        <v>54465.2</v>
      </c>
      <c r="N97" t="str">
        <f>VLOOKUP(A97,'Originales sin dirección'!V:W,2,FALSE)</f>
        <v>Electronics, Electrical Equip.</v>
      </c>
    </row>
    <row r="98" spans="1:14" x14ac:dyDescent="0.3">
      <c r="A98" s="2" t="s">
        <v>304</v>
      </c>
      <c r="F98">
        <v>147468</v>
      </c>
      <c r="G98">
        <v>154375.9</v>
      </c>
      <c r="N98" t="str">
        <f>VLOOKUP(A98,'Originales sin dirección'!V:W,2,FALSE)</f>
        <v>Electronics, Electrical Equip.</v>
      </c>
    </row>
    <row r="99" spans="1:14" x14ac:dyDescent="0.3">
      <c r="A99" s="2" t="s">
        <v>247</v>
      </c>
      <c r="B99">
        <v>154375.9</v>
      </c>
      <c r="C99">
        <v>109387.7</v>
      </c>
      <c r="D99">
        <v>136886.5019</v>
      </c>
      <c r="N99" t="str">
        <f>VLOOKUP(A99,'Originales sin dirección'!V:W,2,FALSE)</f>
        <v>Electronics, Electrical Equip.</v>
      </c>
    </row>
    <row r="100" spans="1:14" x14ac:dyDescent="0.3">
      <c r="A100" s="2" t="s">
        <v>62</v>
      </c>
      <c r="F100">
        <v>122671</v>
      </c>
      <c r="G100">
        <v>123135</v>
      </c>
      <c r="H100">
        <v>184089</v>
      </c>
      <c r="I100">
        <v>184089</v>
      </c>
      <c r="J100">
        <v>184089</v>
      </c>
      <c r="K100">
        <v>161673</v>
      </c>
      <c r="L100">
        <v>166332</v>
      </c>
      <c r="M100">
        <v>97500</v>
      </c>
      <c r="N100" t="str">
        <f>VLOOKUP(A100,'Originales sin dirección'!V:W,2,FALSE)</f>
        <v>Telecommunications</v>
      </c>
    </row>
    <row r="101" spans="1:14" x14ac:dyDescent="0.3">
      <c r="A101" s="2" t="s">
        <v>112</v>
      </c>
      <c r="B101">
        <v>123135</v>
      </c>
      <c r="C101">
        <v>92362</v>
      </c>
      <c r="D101">
        <v>90988.001900000003</v>
      </c>
      <c r="N101" t="str">
        <f>VLOOKUP(A101,'Originales sin dirección'!V:W,2,FALSE)</f>
        <v>Telecommunications</v>
      </c>
    </row>
    <row r="102" spans="1:14" x14ac:dyDescent="0.3">
      <c r="A102" s="2" t="s">
        <v>269</v>
      </c>
      <c r="G102">
        <v>25127.599999999999</v>
      </c>
      <c r="H102">
        <v>47119.7</v>
      </c>
      <c r="I102">
        <v>47119.7</v>
      </c>
      <c r="J102">
        <v>47119.7</v>
      </c>
      <c r="K102">
        <v>107890.3</v>
      </c>
      <c r="L102">
        <v>126934.2</v>
      </c>
      <c r="M102">
        <v>104591.9</v>
      </c>
      <c r="N102" t="str">
        <f>VLOOKUP(A102,'Originales sin dirección'!V:W,2,FALSE)</f>
        <v>Internet Services and Retailing</v>
      </c>
    </row>
    <row r="103" spans="1:14" x14ac:dyDescent="0.3">
      <c r="A103" s="2" t="s">
        <v>280</v>
      </c>
      <c r="B103">
        <v>25127.599999999999</v>
      </c>
      <c r="N103" t="str">
        <f>VLOOKUP(A103,'Originales sin dirección'!V:W,2,FALSE)</f>
        <v>Internet Services and Retailing</v>
      </c>
    </row>
    <row r="104" spans="1:14" x14ac:dyDescent="0.3">
      <c r="A104" s="2" t="s">
        <v>289</v>
      </c>
      <c r="F104">
        <v>19433.2</v>
      </c>
      <c r="G104">
        <v>19148.900000000001</v>
      </c>
      <c r="H104">
        <v>20513.400000000001</v>
      </c>
      <c r="I104">
        <v>20513.400000000001</v>
      </c>
      <c r="J104">
        <v>20513.400000000001</v>
      </c>
      <c r="K104">
        <v>13749.4</v>
      </c>
      <c r="L104">
        <v>25249.4</v>
      </c>
      <c r="M104">
        <v>26768.9</v>
      </c>
      <c r="N104" t="str">
        <f>VLOOKUP(A104,'Originales sin dirección'!V:W,2,FALSE)</f>
        <v>Telecommunications</v>
      </c>
    </row>
    <row r="105" spans="1:14" x14ac:dyDescent="0.3">
      <c r="A105" s="2" t="s">
        <v>238</v>
      </c>
      <c r="B105">
        <v>19148.900000000001</v>
      </c>
      <c r="C105">
        <v>26971.7</v>
      </c>
      <c r="D105">
        <v>29188.7019</v>
      </c>
      <c r="N105" t="str">
        <f>VLOOKUP(A105,'Originales sin dirección'!V:W,2,FALSE)</f>
        <v>Telecommunications</v>
      </c>
    </row>
    <row r="106" spans="1:14" x14ac:dyDescent="0.3">
      <c r="A106" s="2" t="s">
        <v>145</v>
      </c>
      <c r="F106">
        <v>19128</v>
      </c>
      <c r="G106">
        <v>22365.5</v>
      </c>
      <c r="N106" t="str">
        <f>VLOOKUP(A106,'Originales sin dirección'!V:W,2,FALSE)</f>
        <v>Telecommunications</v>
      </c>
    </row>
    <row r="107" spans="1:14" x14ac:dyDescent="0.3">
      <c r="A107" s="2" t="s">
        <v>156</v>
      </c>
      <c r="B107">
        <v>22365.5</v>
      </c>
      <c r="C107">
        <v>25544.1</v>
      </c>
      <c r="D107">
        <v>23506.601900000001</v>
      </c>
      <c r="N107" t="str">
        <f>VLOOKUP(A107,'Originales sin dirección'!V:W,2,FALSE)</f>
        <v>Telecommunications</v>
      </c>
    </row>
    <row r="108" spans="1:14" x14ac:dyDescent="0.3">
      <c r="A108" s="2" t="s">
        <v>305</v>
      </c>
      <c r="F108">
        <v>10836.7</v>
      </c>
      <c r="N108" t="str">
        <f>VLOOKUP(A108,'Originales sin dirección'!V:W,2,FALSE)</f>
        <v>Telecommunications</v>
      </c>
    </row>
    <row r="109" spans="1:14" x14ac:dyDescent="0.3">
      <c r="A109" s="2" t="s">
        <v>217</v>
      </c>
      <c r="C109">
        <v>11764.7</v>
      </c>
      <c r="D109">
        <v>11540.3019</v>
      </c>
      <c r="N109" t="str">
        <f>VLOOKUP(A109,'Originales sin dirección'!V:W,2,FALSE)</f>
        <v>Telecommunications</v>
      </c>
    </row>
    <row r="110" spans="1:14" x14ac:dyDescent="0.3">
      <c r="A110" s="2" t="s">
        <v>175</v>
      </c>
      <c r="C110">
        <v>11004.9</v>
      </c>
      <c r="D110">
        <v>11936.2019</v>
      </c>
      <c r="N110" t="str">
        <f>VLOOKUP(A110,'Originales sin dirección'!V:W,2,FALSE)</f>
        <v>Electronics, Electrical Equip.</v>
      </c>
    </row>
    <row r="111" spans="1:14" x14ac:dyDescent="0.3">
      <c r="A111" s="2" t="s">
        <v>133</v>
      </c>
      <c r="F111">
        <v>2926.4</v>
      </c>
      <c r="H111">
        <v>13162.2</v>
      </c>
      <c r="I111">
        <v>13162.2</v>
      </c>
      <c r="J111">
        <v>13162.2</v>
      </c>
      <c r="K111">
        <v>10529.2</v>
      </c>
      <c r="L111">
        <v>9938.5</v>
      </c>
      <c r="N111" t="str">
        <f>VLOOKUP(A111,'Originales sin dirección'!V:W,2,FALSE)</f>
        <v>Electronics, Electrical Equip.</v>
      </c>
    </row>
    <row r="112" spans="1:14" x14ac:dyDescent="0.3">
      <c r="A112" s="2" t="s">
        <v>117</v>
      </c>
      <c r="M112">
        <v>7340</v>
      </c>
      <c r="N112" t="str">
        <f>VLOOKUP(A112,'Originales sin dirección'!V:W,2,FALSE)</f>
        <v>Internet Services and Retailing</v>
      </c>
    </row>
    <row r="113" spans="1:14" x14ac:dyDescent="0.3">
      <c r="A113" s="2" t="s">
        <v>229</v>
      </c>
      <c r="C113">
        <v>24340.5</v>
      </c>
      <c r="D113">
        <v>24052.301899999999</v>
      </c>
      <c r="N113" t="str">
        <f>VLOOKUP(A113,'Originales sin dirección'!V:W,2,FALSE)</f>
        <v>Telecommunications</v>
      </c>
    </row>
    <row r="114" spans="1:14" x14ac:dyDescent="0.3">
      <c r="A114" s="2" t="s">
        <v>136</v>
      </c>
      <c r="F114">
        <v>94683.3</v>
      </c>
      <c r="G114">
        <v>77211</v>
      </c>
      <c r="H114">
        <v>69852.100000000006</v>
      </c>
      <c r="I114">
        <v>69852.100000000006</v>
      </c>
      <c r="J114">
        <v>69852.100000000006</v>
      </c>
      <c r="K114">
        <v>65513.9</v>
      </c>
      <c r="L114">
        <v>60653.4</v>
      </c>
      <c r="M114">
        <v>68914.7</v>
      </c>
      <c r="N114" t="str">
        <f>VLOOKUP(A114,'Originales sin dirección'!V:W,2,FALSE)</f>
        <v>Telecommunications</v>
      </c>
    </row>
    <row r="115" spans="1:14" x14ac:dyDescent="0.3">
      <c r="A115" s="2" t="s">
        <v>181</v>
      </c>
      <c r="B115">
        <v>77211</v>
      </c>
      <c r="C115">
        <v>108516.4</v>
      </c>
      <c r="D115">
        <v>118019.80190000001</v>
      </c>
      <c r="N115" t="str">
        <f>VLOOKUP(A115,'Originales sin dirección'!V:W,2,FALSE)</f>
        <v>Telecommunications</v>
      </c>
    </row>
    <row r="116" spans="1:14" x14ac:dyDescent="0.3">
      <c r="A116" s="2" t="s">
        <v>74</v>
      </c>
      <c r="F116">
        <v>16428</v>
      </c>
      <c r="G116">
        <v>22524</v>
      </c>
      <c r="H116">
        <v>53145</v>
      </c>
      <c r="I116">
        <v>53145</v>
      </c>
      <c r="J116">
        <v>53145</v>
      </c>
      <c r="K116">
        <v>67842</v>
      </c>
      <c r="L116">
        <v>81790</v>
      </c>
      <c r="M116">
        <v>91144</v>
      </c>
      <c r="N116" t="str">
        <f>VLOOKUP(A116,'Originales sin dirección'!V:W,2,FALSE)</f>
        <v>Telecommunications</v>
      </c>
    </row>
    <row r="117" spans="1:14" x14ac:dyDescent="0.3">
      <c r="A117" s="2" t="s">
        <v>76</v>
      </c>
      <c r="B117">
        <v>22524</v>
      </c>
      <c r="C117">
        <v>33157</v>
      </c>
      <c r="D117">
        <v>38836.001900000003</v>
      </c>
      <c r="N117" t="str">
        <f>VLOOKUP(A117,'Originales sin dirección'!V:W,2,FALSE)</f>
        <v>Telecommunications</v>
      </c>
    </row>
    <row r="118" spans="1:14" x14ac:dyDescent="0.3">
      <c r="A118" s="2" t="s">
        <v>276</v>
      </c>
      <c r="K118">
        <v>18956.599999999999</v>
      </c>
      <c r="N118" t="str">
        <f>VLOOKUP(A118,'Originales sin dirección'!V:W,2,FALSE)</f>
        <v>Internet Services and Retailing</v>
      </c>
    </row>
    <row r="119" spans="1:14" x14ac:dyDescent="0.3">
      <c r="A119" s="2" t="s">
        <v>139</v>
      </c>
      <c r="H119">
        <v>10388.299999999999</v>
      </c>
      <c r="I119">
        <v>10388.299999999999</v>
      </c>
      <c r="J119">
        <v>10388.299999999999</v>
      </c>
      <c r="L119">
        <v>21601.200000000001</v>
      </c>
      <c r="M119">
        <v>20828.5</v>
      </c>
      <c r="N119" t="str">
        <f>VLOOKUP(A119,'Originales sin dirección'!V:W,2,FALSE)</f>
        <v>Internet Services and Retailing</v>
      </c>
    </row>
    <row r="120" spans="1:14" x14ac:dyDescent="0.3">
      <c r="A120" t="s">
        <v>278</v>
      </c>
      <c r="G120">
        <v>45606.1</v>
      </c>
      <c r="N120" t="s">
        <v>347</v>
      </c>
    </row>
    <row r="121" spans="1:14" x14ac:dyDescent="0.3">
      <c r="A121" t="s">
        <v>282</v>
      </c>
      <c r="B121">
        <v>45606.1</v>
      </c>
      <c r="N121" t="s">
        <v>347</v>
      </c>
    </row>
    <row r="122" spans="1:14" x14ac:dyDescent="0.3">
      <c r="A122" t="s">
        <v>645</v>
      </c>
      <c r="D122">
        <v>8371.3019000000004</v>
      </c>
      <c r="N122" t="s">
        <v>347</v>
      </c>
    </row>
    <row r="123" spans="1:14" x14ac:dyDescent="0.3">
      <c r="A123" t="s">
        <v>622</v>
      </c>
      <c r="F123">
        <v>8728.2000000000007</v>
      </c>
      <c r="G123">
        <v>11097.6</v>
      </c>
      <c r="H123">
        <v>12170.4</v>
      </c>
      <c r="I123">
        <v>12170.4</v>
      </c>
      <c r="J123">
        <v>12170.4</v>
      </c>
      <c r="K123">
        <v>13883.5</v>
      </c>
      <c r="L123">
        <v>14467.6</v>
      </c>
      <c r="M123">
        <v>13193.7</v>
      </c>
      <c r="N123" t="s">
        <v>347</v>
      </c>
    </row>
    <row r="124" spans="1:14" x14ac:dyDescent="0.3">
      <c r="A124" t="s">
        <v>652</v>
      </c>
      <c r="B124">
        <v>11097.6</v>
      </c>
      <c r="N124" t="s">
        <v>347</v>
      </c>
    </row>
    <row r="125" spans="1:14" x14ac:dyDescent="0.3">
      <c r="A125" t="s">
        <v>604</v>
      </c>
      <c r="F125">
        <v>46196.1</v>
      </c>
      <c r="N125" t="s">
        <v>347</v>
      </c>
    </row>
    <row r="126" spans="1:14" x14ac:dyDescent="0.3">
      <c r="A126" t="s">
        <v>559</v>
      </c>
      <c r="C126">
        <v>39934.800000000003</v>
      </c>
      <c r="D126">
        <v>48849.901899999997</v>
      </c>
      <c r="N126" t="s">
        <v>347</v>
      </c>
    </row>
    <row r="127" spans="1:14" x14ac:dyDescent="0.3">
      <c r="A127" t="s">
        <v>594</v>
      </c>
      <c r="G127">
        <v>49681.5</v>
      </c>
      <c r="H127">
        <v>65789.899999999994</v>
      </c>
      <c r="I127">
        <v>65789.899999999994</v>
      </c>
      <c r="J127">
        <v>65789.899999999994</v>
      </c>
      <c r="K127">
        <v>74518.399999999994</v>
      </c>
      <c r="L127">
        <v>84554.1</v>
      </c>
      <c r="M127">
        <v>92962.4</v>
      </c>
      <c r="N127" t="s">
        <v>347</v>
      </c>
    </row>
    <row r="128" spans="1:14" x14ac:dyDescent="0.3">
      <c r="A128" t="s">
        <v>609</v>
      </c>
      <c r="B128">
        <v>49681.5</v>
      </c>
      <c r="N128" t="s">
        <v>347</v>
      </c>
    </row>
    <row r="129" spans="1:14" x14ac:dyDescent="0.3">
      <c r="A129" t="s">
        <v>441</v>
      </c>
      <c r="F129">
        <v>18354.400000000001</v>
      </c>
      <c r="G129">
        <v>20267.599999999999</v>
      </c>
      <c r="H129">
        <v>23504.5</v>
      </c>
      <c r="I129">
        <v>23504.5</v>
      </c>
      <c r="J129">
        <v>23504.5</v>
      </c>
      <c r="K129">
        <v>20828.900000000001</v>
      </c>
      <c r="L129">
        <v>22842.7</v>
      </c>
      <c r="M129">
        <v>22481.9</v>
      </c>
      <c r="N129" t="s">
        <v>347</v>
      </c>
    </row>
    <row r="130" spans="1:14" x14ac:dyDescent="0.3">
      <c r="A130" t="s">
        <v>491</v>
      </c>
      <c r="B130">
        <v>20267.599999999999</v>
      </c>
      <c r="C130">
        <v>18755.400000000001</v>
      </c>
      <c r="D130">
        <v>17030.301899999999</v>
      </c>
      <c r="N130" t="s">
        <v>347</v>
      </c>
    </row>
    <row r="131" spans="1:14" x14ac:dyDescent="0.3">
      <c r="A131" t="s">
        <v>614</v>
      </c>
      <c r="L131">
        <v>14966.7</v>
      </c>
      <c r="M131">
        <v>16097.7</v>
      </c>
      <c r="N131" t="s">
        <v>347</v>
      </c>
    </row>
    <row r="132" spans="1:14" x14ac:dyDescent="0.3">
      <c r="A132" t="s">
        <v>419</v>
      </c>
      <c r="F132">
        <v>13888.5</v>
      </c>
      <c r="G132">
        <v>15049.6</v>
      </c>
      <c r="H132">
        <v>20403</v>
      </c>
      <c r="I132">
        <v>20403</v>
      </c>
      <c r="J132">
        <v>20403</v>
      </c>
      <c r="K132">
        <v>15006.7</v>
      </c>
      <c r="L132">
        <v>13860.8</v>
      </c>
      <c r="M132">
        <v>14147.6</v>
      </c>
      <c r="N132" t="s">
        <v>347</v>
      </c>
    </row>
    <row r="133" spans="1:14" x14ac:dyDescent="0.3">
      <c r="A133" t="s">
        <v>524</v>
      </c>
      <c r="B133">
        <v>15049.6</v>
      </c>
      <c r="C133">
        <v>11557.2</v>
      </c>
      <c r="D133">
        <v>12415.6019</v>
      </c>
      <c r="N133" t="s">
        <v>347</v>
      </c>
    </row>
    <row r="134" spans="1:14" x14ac:dyDescent="0.3">
      <c r="A134" t="s">
        <v>567</v>
      </c>
      <c r="C134">
        <v>57841.3</v>
      </c>
      <c r="N134" t="s">
        <v>347</v>
      </c>
    </row>
    <row r="135" spans="1:14" x14ac:dyDescent="0.3">
      <c r="A135" t="s">
        <v>603</v>
      </c>
      <c r="F135">
        <v>58177.9</v>
      </c>
      <c r="G135">
        <v>61115.8</v>
      </c>
      <c r="N135" t="s">
        <v>347</v>
      </c>
    </row>
    <row r="136" spans="1:14" x14ac:dyDescent="0.3">
      <c r="A136" t="s">
        <v>607</v>
      </c>
      <c r="B136">
        <v>61115.8</v>
      </c>
      <c r="D136">
        <v>58804.501900000003</v>
      </c>
      <c r="N136" t="s">
        <v>347</v>
      </c>
    </row>
    <row r="137" spans="1:14" x14ac:dyDescent="0.3">
      <c r="A137" t="s">
        <v>601</v>
      </c>
      <c r="H137">
        <v>73914.399999999994</v>
      </c>
      <c r="I137">
        <v>73914.399999999994</v>
      </c>
      <c r="J137">
        <v>73914.399999999994</v>
      </c>
      <c r="K137">
        <v>74273.600000000006</v>
      </c>
      <c r="L137">
        <v>81808.3</v>
      </c>
      <c r="N137" t="s">
        <v>347</v>
      </c>
    </row>
    <row r="138" spans="1:14" x14ac:dyDescent="0.3">
      <c r="A138" t="s">
        <v>627</v>
      </c>
      <c r="F138">
        <v>27794.799999999999</v>
      </c>
      <c r="G138">
        <v>29734.5</v>
      </c>
      <c r="H138">
        <v>32490.2</v>
      </c>
      <c r="I138">
        <v>32490.2</v>
      </c>
      <c r="J138">
        <v>32490.2</v>
      </c>
      <c r="K138">
        <v>35180.9</v>
      </c>
      <c r="L138">
        <v>35411.9</v>
      </c>
      <c r="M138">
        <v>32973.699999999997</v>
      </c>
      <c r="N138" t="s">
        <v>347</v>
      </c>
    </row>
    <row r="139" spans="1:14" x14ac:dyDescent="0.3">
      <c r="A139" t="s">
        <v>531</v>
      </c>
      <c r="B139">
        <v>29734.5</v>
      </c>
      <c r="C139">
        <v>23022.3</v>
      </c>
      <c r="D139">
        <v>23512.401900000001</v>
      </c>
      <c r="N139" t="s">
        <v>347</v>
      </c>
    </row>
    <row r="140" spans="1:14" x14ac:dyDescent="0.3">
      <c r="A140" t="s">
        <v>399</v>
      </c>
      <c r="M140">
        <v>21395.5</v>
      </c>
      <c r="N140" t="s">
        <v>347</v>
      </c>
    </row>
    <row r="141" spans="1:14" x14ac:dyDescent="0.3">
      <c r="A141" t="s">
        <v>684</v>
      </c>
      <c r="D141">
        <v>9571.6018999999997</v>
      </c>
      <c r="N141" t="s">
        <v>347</v>
      </c>
    </row>
    <row r="142" spans="1:14" x14ac:dyDescent="0.3">
      <c r="A142" t="s">
        <v>368</v>
      </c>
      <c r="F142">
        <v>28642</v>
      </c>
      <c r="G142">
        <v>29170</v>
      </c>
      <c r="H142">
        <v>35932</v>
      </c>
      <c r="I142">
        <v>35932</v>
      </c>
      <c r="J142">
        <v>35932</v>
      </c>
      <c r="K142">
        <v>30690</v>
      </c>
      <c r="L142">
        <v>48519</v>
      </c>
      <c r="M142">
        <v>43242</v>
      </c>
      <c r="N142" t="s">
        <v>347</v>
      </c>
    </row>
    <row r="143" spans="1:14" x14ac:dyDescent="0.3">
      <c r="A143" t="s">
        <v>374</v>
      </c>
      <c r="B143">
        <v>29170</v>
      </c>
      <c r="C143">
        <v>15947</v>
      </c>
      <c r="D143">
        <v>26383.001899999999</v>
      </c>
      <c r="N143" t="s">
        <v>347</v>
      </c>
    </row>
    <row r="144" spans="1:14" x14ac:dyDescent="0.3">
      <c r="A144" t="s">
        <v>479</v>
      </c>
      <c r="F144">
        <v>12115</v>
      </c>
      <c r="G144">
        <v>13285</v>
      </c>
      <c r="H144">
        <v>14703.7</v>
      </c>
      <c r="I144">
        <v>14703.7</v>
      </c>
      <c r="J144">
        <v>14703.7</v>
      </c>
      <c r="K144">
        <v>16073.6</v>
      </c>
      <c r="N144" t="s">
        <v>347</v>
      </c>
    </row>
    <row r="145" spans="1:14" x14ac:dyDescent="0.3">
      <c r="A145" t="s">
        <v>489</v>
      </c>
      <c r="B145">
        <v>13285</v>
      </c>
      <c r="D145">
        <v>7734.1018999999997</v>
      </c>
      <c r="N145" t="s">
        <v>347</v>
      </c>
    </row>
    <row r="146" spans="1:14" x14ac:dyDescent="0.3">
      <c r="A146" t="s">
        <v>350</v>
      </c>
      <c r="F146">
        <v>39871</v>
      </c>
      <c r="G146">
        <v>43836</v>
      </c>
      <c r="H146">
        <v>38860</v>
      </c>
      <c r="I146">
        <v>38860</v>
      </c>
      <c r="J146">
        <v>38860</v>
      </c>
      <c r="K146">
        <v>45030</v>
      </c>
      <c r="L146">
        <v>59744</v>
      </c>
      <c r="M146">
        <v>67792</v>
      </c>
      <c r="N146" t="s">
        <v>347</v>
      </c>
    </row>
    <row r="147" spans="1:14" x14ac:dyDescent="0.3">
      <c r="A147" t="s">
        <v>355</v>
      </c>
      <c r="B147">
        <v>43836</v>
      </c>
      <c r="C147">
        <v>36244</v>
      </c>
      <c r="D147">
        <v>42607.001900000003</v>
      </c>
      <c r="N147" t="s">
        <v>347</v>
      </c>
    </row>
    <row r="148" spans="1:14" x14ac:dyDescent="0.3">
      <c r="A148" t="s">
        <v>473</v>
      </c>
      <c r="F148">
        <v>60165.8</v>
      </c>
      <c r="G148">
        <v>65481.5</v>
      </c>
      <c r="H148">
        <v>74706.100000000006</v>
      </c>
      <c r="I148">
        <v>74706.100000000006</v>
      </c>
      <c r="J148">
        <v>74706.100000000006</v>
      </c>
      <c r="K148">
        <v>82118.5</v>
      </c>
      <c r="L148">
        <v>86260</v>
      </c>
      <c r="M148">
        <v>84256.8</v>
      </c>
      <c r="N148" t="s">
        <v>347</v>
      </c>
    </row>
    <row r="149" spans="1:14" x14ac:dyDescent="0.3">
      <c r="A149" t="s">
        <v>493</v>
      </c>
      <c r="B149">
        <v>65481.5</v>
      </c>
      <c r="C149">
        <v>53590.2</v>
      </c>
      <c r="D149">
        <v>57482.601900000001</v>
      </c>
      <c r="N149" t="s">
        <v>347</v>
      </c>
    </row>
    <row r="150" spans="1:14" x14ac:dyDescent="0.3">
      <c r="A150" t="s">
        <v>660</v>
      </c>
      <c r="F150">
        <v>52907.9</v>
      </c>
      <c r="G150">
        <v>55639</v>
      </c>
      <c r="H150">
        <v>60925</v>
      </c>
      <c r="I150">
        <v>60925</v>
      </c>
      <c r="J150">
        <v>60925</v>
      </c>
      <c r="K150">
        <v>63924.9</v>
      </c>
      <c r="L150">
        <v>63097.3</v>
      </c>
      <c r="M150">
        <v>65462.6</v>
      </c>
      <c r="N150" t="s">
        <v>347</v>
      </c>
    </row>
    <row r="151" spans="1:14" x14ac:dyDescent="0.3">
      <c r="A151" t="s">
        <v>552</v>
      </c>
      <c r="B151">
        <v>55639</v>
      </c>
      <c r="C151">
        <v>41140.699999999997</v>
      </c>
      <c r="D151">
        <v>49214.401899999997</v>
      </c>
      <c r="N151" t="s">
        <v>347</v>
      </c>
    </row>
    <row r="152" spans="1:14" x14ac:dyDescent="0.3">
      <c r="A152" t="s">
        <v>382</v>
      </c>
      <c r="F152">
        <v>10376</v>
      </c>
      <c r="N152" t="s">
        <v>347</v>
      </c>
    </row>
    <row r="153" spans="1:14" x14ac:dyDescent="0.3">
      <c r="A153" t="s">
        <v>388</v>
      </c>
      <c r="C153">
        <v>11555</v>
      </c>
      <c r="D153">
        <v>12314.001899999999</v>
      </c>
      <c r="N153" t="s">
        <v>347</v>
      </c>
    </row>
    <row r="154" spans="1:14" x14ac:dyDescent="0.3">
      <c r="A154" t="s">
        <v>426</v>
      </c>
      <c r="G154">
        <v>21800</v>
      </c>
      <c r="H154">
        <v>26342</v>
      </c>
      <c r="I154">
        <v>26342</v>
      </c>
      <c r="J154">
        <v>26342</v>
      </c>
      <c r="K154">
        <v>29387</v>
      </c>
      <c r="L154">
        <v>29781</v>
      </c>
      <c r="M154">
        <v>28826</v>
      </c>
      <c r="N154" t="s">
        <v>347</v>
      </c>
    </row>
    <row r="155" spans="1:14" x14ac:dyDescent="0.3">
      <c r="A155" t="s">
        <v>617</v>
      </c>
      <c r="B155">
        <v>21800</v>
      </c>
      <c r="N155" t="s">
        <v>347</v>
      </c>
    </row>
    <row r="156" spans="1:14" x14ac:dyDescent="0.3">
      <c r="A156" t="s">
        <v>597</v>
      </c>
      <c r="M156">
        <v>91137.8</v>
      </c>
      <c r="N156" t="s">
        <v>347</v>
      </c>
    </row>
    <row r="157" spans="1:14" x14ac:dyDescent="0.3">
      <c r="A157" t="s">
        <v>655</v>
      </c>
      <c r="F157">
        <v>8966</v>
      </c>
      <c r="G157">
        <v>9768</v>
      </c>
      <c r="H157">
        <v>10701</v>
      </c>
      <c r="I157">
        <v>10701</v>
      </c>
      <c r="J157">
        <v>10701</v>
      </c>
      <c r="K157">
        <v>11370</v>
      </c>
      <c r="L157">
        <v>11836</v>
      </c>
      <c r="M157">
        <v>10935</v>
      </c>
      <c r="N157" t="s">
        <v>347</v>
      </c>
    </row>
    <row r="158" spans="1:14" x14ac:dyDescent="0.3">
      <c r="A158" t="s">
        <v>511</v>
      </c>
      <c r="B158">
        <v>9768</v>
      </c>
      <c r="C158">
        <v>9429</v>
      </c>
      <c r="D158">
        <v>9623.0018999999993</v>
      </c>
      <c r="N158" t="s">
        <v>347</v>
      </c>
    </row>
    <row r="159" spans="1:14" x14ac:dyDescent="0.3">
      <c r="A159" t="s">
        <v>503</v>
      </c>
      <c r="C159">
        <v>11203.4</v>
      </c>
      <c r="N159" t="s">
        <v>347</v>
      </c>
    </row>
    <row r="160" spans="1:14" x14ac:dyDescent="0.3">
      <c r="A160" t="s">
        <v>581</v>
      </c>
      <c r="F160">
        <v>10306.9</v>
      </c>
      <c r="G160">
        <v>11178</v>
      </c>
      <c r="H160">
        <v>13881.7</v>
      </c>
      <c r="I160">
        <v>13881.7</v>
      </c>
      <c r="J160">
        <v>13881.7</v>
      </c>
      <c r="N160" t="s">
        <v>347</v>
      </c>
    </row>
    <row r="161" spans="1:14" x14ac:dyDescent="0.3">
      <c r="A161" t="s">
        <v>589</v>
      </c>
      <c r="B161">
        <v>11178</v>
      </c>
      <c r="D161">
        <v>12744.7019</v>
      </c>
      <c r="N161" t="s">
        <v>347</v>
      </c>
    </row>
    <row r="162" spans="1:14" x14ac:dyDescent="0.3">
      <c r="A162" t="s">
        <v>639</v>
      </c>
      <c r="F162">
        <v>7718.3</v>
      </c>
      <c r="G162">
        <v>8455.1</v>
      </c>
      <c r="H162">
        <v>10160.799999999999</v>
      </c>
      <c r="I162">
        <v>10160.799999999999</v>
      </c>
      <c r="J162">
        <v>10160.799999999999</v>
      </c>
      <c r="K162">
        <v>9526.1</v>
      </c>
      <c r="N162" t="s">
        <v>347</v>
      </c>
    </row>
    <row r="163" spans="1:14" x14ac:dyDescent="0.3">
      <c r="A163" t="s">
        <v>465</v>
      </c>
      <c r="B163">
        <v>8455.1</v>
      </c>
      <c r="C163">
        <v>4820.3999999999996</v>
      </c>
      <c r="D163">
        <v>5718.4018999999998</v>
      </c>
      <c r="N163" t="s">
        <v>347</v>
      </c>
    </row>
    <row r="164" spans="1:14" x14ac:dyDescent="0.3">
      <c r="A164" t="s">
        <v>434</v>
      </c>
      <c r="F164">
        <v>48171.5</v>
      </c>
      <c r="G164">
        <v>50549.5</v>
      </c>
      <c r="H164">
        <v>56411.1</v>
      </c>
      <c r="I164">
        <v>56411.1</v>
      </c>
      <c r="J164">
        <v>56411.1</v>
      </c>
      <c r="K164">
        <v>44426.400000000001</v>
      </c>
      <c r="L164">
        <v>42234.6</v>
      </c>
      <c r="M164">
        <v>40144</v>
      </c>
      <c r="N164" t="s">
        <v>347</v>
      </c>
    </row>
    <row r="165" spans="1:14" x14ac:dyDescent="0.3">
      <c r="A165" t="s">
        <v>562</v>
      </c>
      <c r="B165">
        <v>50549.5</v>
      </c>
      <c r="C165">
        <v>48031.3</v>
      </c>
      <c r="D165">
        <v>46495.401899999997</v>
      </c>
      <c r="N165" t="s">
        <v>347</v>
      </c>
    </row>
    <row r="166" spans="1:14" x14ac:dyDescent="0.3">
      <c r="A166" t="s">
        <v>545</v>
      </c>
      <c r="C166">
        <v>12947.4</v>
      </c>
      <c r="N166" t="s">
        <v>347</v>
      </c>
    </row>
    <row r="167" spans="1:14" x14ac:dyDescent="0.3">
      <c r="A167" t="s">
        <v>456</v>
      </c>
      <c r="F167">
        <v>11464.8</v>
      </c>
      <c r="G167">
        <v>13348.4</v>
      </c>
      <c r="H167">
        <v>19528.2</v>
      </c>
      <c r="I167">
        <v>19528.2</v>
      </c>
      <c r="J167">
        <v>19528.2</v>
      </c>
      <c r="N167" t="s">
        <v>347</v>
      </c>
    </row>
    <row r="168" spans="1:14" x14ac:dyDescent="0.3">
      <c r="A168" t="s">
        <v>459</v>
      </c>
      <c r="B168">
        <v>13348.4</v>
      </c>
      <c r="D168">
        <v>9482.0018999999993</v>
      </c>
      <c r="N168" t="s">
        <v>347</v>
      </c>
    </row>
    <row r="169" spans="1:14" x14ac:dyDescent="0.3">
      <c r="A169" t="s">
        <v>413</v>
      </c>
      <c r="F169">
        <v>30404.9</v>
      </c>
      <c r="G169">
        <v>32422.5</v>
      </c>
      <c r="H169">
        <v>40629.1</v>
      </c>
      <c r="I169">
        <v>40629.1</v>
      </c>
      <c r="J169">
        <v>40629.1</v>
      </c>
      <c r="K169">
        <v>30316</v>
      </c>
      <c r="L169">
        <v>31062.799999999999</v>
      </c>
      <c r="M169">
        <v>30727.5</v>
      </c>
      <c r="N169" t="s">
        <v>347</v>
      </c>
    </row>
    <row r="170" spans="1:14" x14ac:dyDescent="0.3">
      <c r="A170" t="s">
        <v>590</v>
      </c>
      <c r="B170">
        <v>32422.5</v>
      </c>
      <c r="N170" t="s">
        <v>347</v>
      </c>
    </row>
    <row r="171" spans="1:14" x14ac:dyDescent="0.3">
      <c r="A171" t="s">
        <v>542</v>
      </c>
      <c r="C171">
        <v>32021.7</v>
      </c>
      <c r="D171">
        <v>31464.801899999999</v>
      </c>
      <c r="N171" t="s">
        <v>347</v>
      </c>
    </row>
    <row r="172" spans="1:14" x14ac:dyDescent="0.3">
      <c r="A172" t="s">
        <v>636</v>
      </c>
      <c r="F172">
        <v>11138.9</v>
      </c>
      <c r="G172">
        <v>11769.4</v>
      </c>
      <c r="H172">
        <v>13247.2</v>
      </c>
      <c r="I172">
        <v>13247.2</v>
      </c>
      <c r="J172">
        <v>13247.2</v>
      </c>
      <c r="K172">
        <v>13848.1</v>
      </c>
      <c r="L172">
        <v>13143.1</v>
      </c>
      <c r="N172" t="s">
        <v>347</v>
      </c>
    </row>
    <row r="173" spans="1:14" x14ac:dyDescent="0.3">
      <c r="A173" t="s">
        <v>214</v>
      </c>
      <c r="B173">
        <v>11769.4</v>
      </c>
      <c r="N173" t="s">
        <v>347</v>
      </c>
    </row>
    <row r="174" spans="1:14" x14ac:dyDescent="0.3">
      <c r="A174" t="s">
        <v>666</v>
      </c>
      <c r="L174">
        <v>63566.3</v>
      </c>
      <c r="M174">
        <v>76822.899999999994</v>
      </c>
      <c r="N174" t="s">
        <v>347</v>
      </c>
    </row>
    <row r="175" spans="1:14" x14ac:dyDescent="0.3">
      <c r="A175" t="s">
        <v>518</v>
      </c>
      <c r="C175">
        <v>12708.5</v>
      </c>
      <c r="N175" t="s">
        <v>347</v>
      </c>
    </row>
    <row r="176" spans="1:14" x14ac:dyDescent="0.3">
      <c r="A176" t="s">
        <v>625</v>
      </c>
      <c r="F176">
        <v>8939.9</v>
      </c>
      <c r="G176">
        <v>10318.200000000001</v>
      </c>
      <c r="H176">
        <v>13397.9</v>
      </c>
      <c r="I176">
        <v>13397.9</v>
      </c>
      <c r="J176">
        <v>13397.9</v>
      </c>
      <c r="K176">
        <v>16098.2</v>
      </c>
      <c r="L176">
        <v>15645.6</v>
      </c>
      <c r="M176">
        <v>15597.1</v>
      </c>
      <c r="N176" t="s">
        <v>347</v>
      </c>
    </row>
    <row r="177" spans="1:14" x14ac:dyDescent="0.3">
      <c r="A177" t="s">
        <v>647</v>
      </c>
      <c r="B177">
        <v>10318.200000000001</v>
      </c>
      <c r="D177">
        <v>12536.401900000001</v>
      </c>
      <c r="N177" t="s">
        <v>347</v>
      </c>
    </row>
    <row r="178" spans="1:14" x14ac:dyDescent="0.3">
      <c r="A178" t="s">
        <v>630</v>
      </c>
      <c r="F178">
        <v>149020.6</v>
      </c>
      <c r="G178">
        <v>157210.4</v>
      </c>
      <c r="H178">
        <v>174827.4</v>
      </c>
      <c r="I178">
        <v>174827.4</v>
      </c>
      <c r="J178">
        <v>174827.4</v>
      </c>
      <c r="K178">
        <v>211614.3</v>
      </c>
      <c r="L178">
        <v>216176.3</v>
      </c>
      <c r="M178">
        <v>213490.3</v>
      </c>
      <c r="N178" t="s">
        <v>347</v>
      </c>
    </row>
    <row r="179" spans="1:14" x14ac:dyDescent="0.3">
      <c r="A179" t="s">
        <v>577</v>
      </c>
      <c r="B179">
        <v>157210.4</v>
      </c>
      <c r="C179">
        <v>129234.4</v>
      </c>
      <c r="D179">
        <v>140518.10190000001</v>
      </c>
      <c r="N179" t="s">
        <v>347</v>
      </c>
    </row>
    <row r="180" spans="1:14" x14ac:dyDescent="0.3">
      <c r="A180" t="s">
        <v>362</v>
      </c>
      <c r="K180">
        <v>22225</v>
      </c>
      <c r="L180">
        <v>30189</v>
      </c>
      <c r="M180">
        <v>44704</v>
      </c>
      <c r="N180" t="s">
        <v>347</v>
      </c>
    </row>
    <row r="181" spans="1:14" x14ac:dyDescent="0.3">
      <c r="A181" t="s">
        <v>406</v>
      </c>
      <c r="F181">
        <v>12199.6</v>
      </c>
      <c r="G181">
        <v>8942.2000000000007</v>
      </c>
      <c r="H181">
        <v>8688</v>
      </c>
      <c r="I181">
        <v>8688</v>
      </c>
      <c r="J181">
        <v>8688</v>
      </c>
      <c r="K181">
        <v>7553.9</v>
      </c>
      <c r="L181">
        <v>5873.1</v>
      </c>
      <c r="N181" t="s">
        <v>347</v>
      </c>
    </row>
    <row r="182" spans="1:14" x14ac:dyDescent="0.3">
      <c r="A182" t="s">
        <v>521</v>
      </c>
      <c r="B182">
        <v>8942.2000000000007</v>
      </c>
      <c r="C182">
        <v>6925.6</v>
      </c>
      <c r="D182">
        <v>10986.1019</v>
      </c>
      <c r="N182" t="s">
        <v>347</v>
      </c>
    </row>
    <row r="183" spans="1:14" x14ac:dyDescent="0.3">
      <c r="A183" t="s">
        <v>450</v>
      </c>
      <c r="F183">
        <v>95650.8</v>
      </c>
      <c r="G183">
        <v>97752.6</v>
      </c>
      <c r="N183" t="s">
        <v>347</v>
      </c>
    </row>
    <row r="184" spans="1:14" x14ac:dyDescent="0.3">
      <c r="A184" t="s">
        <v>468</v>
      </c>
      <c r="B184">
        <v>97752.6</v>
      </c>
      <c r="C184">
        <v>102180.2</v>
      </c>
      <c r="D184">
        <v>120878.5019</v>
      </c>
      <c r="N184" t="s">
        <v>347</v>
      </c>
    </row>
    <row r="185" spans="1:14" x14ac:dyDescent="0.3">
      <c r="A185" t="s">
        <v>658</v>
      </c>
      <c r="F185">
        <v>9943.9</v>
      </c>
      <c r="G185">
        <v>10577.2</v>
      </c>
      <c r="H185">
        <v>13921.5</v>
      </c>
      <c r="I185">
        <v>13921.5</v>
      </c>
      <c r="J185">
        <v>13921.5</v>
      </c>
      <c r="K185">
        <v>17710.7</v>
      </c>
      <c r="L185">
        <v>15582.7</v>
      </c>
      <c r="M185">
        <v>15615.2</v>
      </c>
      <c r="N185" t="s">
        <v>347</v>
      </c>
    </row>
    <row r="186" spans="1:14" x14ac:dyDescent="0.3">
      <c r="A186" t="s">
        <v>688</v>
      </c>
      <c r="B186">
        <v>10577.2</v>
      </c>
      <c r="N186" t="s">
        <v>347</v>
      </c>
    </row>
    <row r="187" spans="1:14" x14ac:dyDescent="0.3">
      <c r="A187" t="s">
        <v>539</v>
      </c>
      <c r="C187">
        <v>13169.9</v>
      </c>
      <c r="D187">
        <v>11842.8019</v>
      </c>
      <c r="N187" t="s">
        <v>347</v>
      </c>
    </row>
    <row r="188" spans="1:14" x14ac:dyDescent="0.3">
      <c r="A188" t="s">
        <v>599</v>
      </c>
      <c r="H188">
        <v>133864.70000000001</v>
      </c>
      <c r="I188">
        <v>133864.70000000001</v>
      </c>
      <c r="J188">
        <v>133864.70000000001</v>
      </c>
      <c r="K188">
        <v>155482.6</v>
      </c>
      <c r="L188">
        <v>164238.5</v>
      </c>
      <c r="M188">
        <v>176458.3</v>
      </c>
      <c r="N188" t="s">
        <v>347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F2DA9-6548-4BEB-A272-D88B13AD0145}">
  <dimension ref="A1:N188"/>
  <sheetViews>
    <sheetView topLeftCell="A108" workbookViewId="0">
      <selection activeCell="N120" sqref="N120:N188"/>
    </sheetView>
  </sheetViews>
  <sheetFormatPr baseColWidth="10" defaultRowHeight="14.4" x14ac:dyDescent="0.3"/>
  <sheetData>
    <row r="1" spans="1:14" x14ac:dyDescent="0.3">
      <c r="A1" s="3"/>
      <c r="B1" s="3">
        <v>2011</v>
      </c>
      <c r="C1" s="3">
        <v>2012</v>
      </c>
      <c r="D1" s="3">
        <v>2013</v>
      </c>
      <c r="E1" s="3">
        <v>2014</v>
      </c>
      <c r="F1" s="3">
        <v>2015</v>
      </c>
      <c r="G1" s="3">
        <v>2016</v>
      </c>
      <c r="H1" s="3">
        <v>2017</v>
      </c>
      <c r="I1" s="3">
        <v>2018</v>
      </c>
      <c r="J1" s="3">
        <v>2019</v>
      </c>
      <c r="K1" s="3">
        <v>2020</v>
      </c>
      <c r="L1" s="3">
        <v>2021</v>
      </c>
      <c r="M1" s="3">
        <v>2022</v>
      </c>
    </row>
    <row r="2" spans="1:14" x14ac:dyDescent="0.3">
      <c r="A2" s="2" t="s">
        <v>298</v>
      </c>
      <c r="G2">
        <v>24544.9</v>
      </c>
      <c r="N2" t="str">
        <f>VLOOKUP(A2,'Originales sin dirección'!V:W,2,FALSE)</f>
        <v>Computers, Office Equipment</v>
      </c>
    </row>
    <row r="3" spans="1:14" x14ac:dyDescent="0.3">
      <c r="A3" s="2" t="s">
        <v>278</v>
      </c>
      <c r="F3">
        <v>30976.6</v>
      </c>
      <c r="G3">
        <v>74125.100000000006</v>
      </c>
      <c r="H3">
        <v>304165.3</v>
      </c>
      <c r="I3">
        <v>304165.3</v>
      </c>
      <c r="J3">
        <v>304165.3</v>
      </c>
      <c r="N3" t="str">
        <f>VLOOKUP(A3,'Originales sin dirección'!V:W,2,FALSE)</f>
        <v>Computers, Office Equipment</v>
      </c>
    </row>
    <row r="4" spans="1:14" x14ac:dyDescent="0.3">
      <c r="A4" s="2" t="s">
        <v>282</v>
      </c>
      <c r="B4">
        <v>74125.100000000006</v>
      </c>
      <c r="N4" t="str">
        <f>VLOOKUP(A4,'Originales sin dirección'!V:W,2,FALSE)</f>
        <v>Internet Services and Retailing</v>
      </c>
    </row>
    <row r="5" spans="1:14" x14ac:dyDescent="0.3">
      <c r="A5" s="2" t="s">
        <v>307</v>
      </c>
      <c r="B5">
        <v>24544.9</v>
      </c>
      <c r="N5" t="str">
        <f>VLOOKUP(A5,'Originales sin dirección'!V:W,2,FALSE)</f>
        <v>Telecommunications</v>
      </c>
    </row>
    <row r="6" spans="1:14" x14ac:dyDescent="0.3">
      <c r="A6" s="2" t="s">
        <v>81</v>
      </c>
      <c r="F6">
        <v>290479</v>
      </c>
      <c r="G6">
        <v>321686</v>
      </c>
      <c r="H6">
        <v>365725</v>
      </c>
      <c r="I6">
        <v>365725</v>
      </c>
      <c r="J6">
        <v>365725</v>
      </c>
      <c r="K6">
        <v>323888</v>
      </c>
      <c r="L6">
        <v>351002</v>
      </c>
      <c r="M6">
        <v>352755</v>
      </c>
      <c r="N6" t="str">
        <f>VLOOKUP(A6,'Originales sin dirección'!V:W,2,FALSE)</f>
        <v>Computers, Office Equipment</v>
      </c>
    </row>
    <row r="7" spans="1:14" x14ac:dyDescent="0.3">
      <c r="A7" s="2" t="s">
        <v>87</v>
      </c>
      <c r="B7">
        <v>321686</v>
      </c>
      <c r="C7">
        <v>176064</v>
      </c>
      <c r="D7">
        <v>207000</v>
      </c>
      <c r="N7" t="str">
        <f>VLOOKUP(A7,'Originales sin dirección'!V:W,2,FALSE)</f>
        <v>Computers, Office Equipment</v>
      </c>
    </row>
    <row r="8" spans="1:14" x14ac:dyDescent="0.3">
      <c r="A8" s="2" t="s">
        <v>148</v>
      </c>
      <c r="G8">
        <v>84805.2</v>
      </c>
      <c r="N8" t="str">
        <f>VLOOKUP(A8,'Originales sin dirección'!V:W,2,FALSE)</f>
        <v>Telecommunications</v>
      </c>
    </row>
    <row r="9" spans="1:14" x14ac:dyDescent="0.3">
      <c r="A9" s="2" t="s">
        <v>178</v>
      </c>
      <c r="B9">
        <v>84805.2</v>
      </c>
      <c r="N9" t="str">
        <f>VLOOKUP(A9,'Originales sin dirección'!V:W,2,FALSE)</f>
        <v>Telecommunications</v>
      </c>
    </row>
    <row r="10" spans="1:14" x14ac:dyDescent="0.3">
      <c r="A10" s="2" t="s">
        <v>290</v>
      </c>
      <c r="F10">
        <v>75080.800000000003</v>
      </c>
      <c r="G10">
        <v>73554.7</v>
      </c>
      <c r="H10">
        <v>72580</v>
      </c>
      <c r="I10">
        <v>72580</v>
      </c>
      <c r="J10">
        <v>72580</v>
      </c>
      <c r="K10">
        <v>81591</v>
      </c>
      <c r="L10">
        <v>82587.5</v>
      </c>
      <c r="M10">
        <v>83055.3</v>
      </c>
      <c r="N10" t="str">
        <f>VLOOKUP(A10,'Originales sin dirección'!V:W,2,FALSE)</f>
        <v>Telecommunications</v>
      </c>
    </row>
    <row r="11" spans="1:14" x14ac:dyDescent="0.3">
      <c r="A11" s="2" t="s">
        <v>235</v>
      </c>
      <c r="B11">
        <v>73554.7</v>
      </c>
      <c r="C11">
        <v>77310.899999999994</v>
      </c>
      <c r="D11">
        <v>78312.2</v>
      </c>
      <c r="N11" t="str">
        <f>VLOOKUP(A11,'Originales sin dirección'!V:W,2,FALSE)</f>
        <v>Telecommunications</v>
      </c>
    </row>
    <row r="12" spans="1:14" x14ac:dyDescent="0.3">
      <c r="A12" s="2" t="s">
        <v>65</v>
      </c>
      <c r="F12">
        <v>65444</v>
      </c>
      <c r="G12">
        <v>83402</v>
      </c>
      <c r="H12">
        <v>162648</v>
      </c>
      <c r="I12">
        <v>162648</v>
      </c>
      <c r="J12">
        <v>162648</v>
      </c>
      <c r="K12">
        <v>321195</v>
      </c>
      <c r="L12">
        <v>420549</v>
      </c>
      <c r="M12">
        <v>462675</v>
      </c>
      <c r="N12" t="str">
        <f>VLOOKUP(A12,'Originales sin dirección'!V:W,2,FALSE)</f>
        <v>Internet Services and Retailing</v>
      </c>
    </row>
    <row r="13" spans="1:14" x14ac:dyDescent="0.3">
      <c r="A13" s="2" t="s">
        <v>67</v>
      </c>
      <c r="B13">
        <v>83402</v>
      </c>
      <c r="C13">
        <v>32555</v>
      </c>
      <c r="D13">
        <v>40159</v>
      </c>
      <c r="N13" t="str">
        <f>VLOOKUP(A13,'Originales sin dirección'!V:W,2,FALSE)</f>
        <v>Internet Services and Retailing</v>
      </c>
    </row>
    <row r="14" spans="1:14" x14ac:dyDescent="0.3">
      <c r="A14" s="2" t="s">
        <v>272</v>
      </c>
      <c r="G14">
        <v>73538.399999999994</v>
      </c>
      <c r="H14">
        <v>143608.20000000001</v>
      </c>
      <c r="I14">
        <v>143608.20000000001</v>
      </c>
      <c r="J14">
        <v>143608.20000000001</v>
      </c>
      <c r="K14">
        <v>257977.7</v>
      </c>
      <c r="L14">
        <v>267466.90000000002</v>
      </c>
      <c r="M14">
        <v>255263</v>
      </c>
      <c r="N14" t="str">
        <f>VLOOKUP(A14,'Originales sin dirección'!V:W,2,FALSE)</f>
        <v>Internet Services and Retailing</v>
      </c>
    </row>
    <row r="15" spans="1:14" x14ac:dyDescent="0.3">
      <c r="A15" s="2" t="s">
        <v>281</v>
      </c>
      <c r="B15">
        <v>73538.399999999994</v>
      </c>
      <c r="N15" t="str">
        <f>VLOOKUP(A15,'Originales sin dirección'!V:W,2,FALSE)</f>
        <v>Internet Services and Retailing</v>
      </c>
    </row>
    <row r="16" spans="1:14" x14ac:dyDescent="0.3">
      <c r="A16" s="2" t="s">
        <v>261</v>
      </c>
      <c r="F16">
        <v>61208.9</v>
      </c>
      <c r="G16">
        <v>52971.6</v>
      </c>
      <c r="H16">
        <v>60302.7</v>
      </c>
      <c r="I16">
        <v>60302.7</v>
      </c>
      <c r="J16">
        <v>60302.7</v>
      </c>
      <c r="N16" t="str">
        <f>VLOOKUP(A16,'Originales sin dirección'!V:W,2,FALSE)</f>
        <v>Telecommunications</v>
      </c>
    </row>
    <row r="17" spans="1:14" x14ac:dyDescent="0.3">
      <c r="A17" s="2" t="s">
        <v>220</v>
      </c>
      <c r="B17">
        <v>52971.6</v>
      </c>
      <c r="C17">
        <v>37690.800000000003</v>
      </c>
      <c r="D17">
        <v>41502.5</v>
      </c>
      <c r="N17" t="str">
        <f>VLOOKUP(A17,'Originales sin dirección'!V:W,2,FALSE)</f>
        <v>Telecommunications</v>
      </c>
    </row>
    <row r="18" spans="1:14" x14ac:dyDescent="0.3">
      <c r="A18" s="2" t="s">
        <v>259</v>
      </c>
      <c r="K18">
        <v>70169.600000000006</v>
      </c>
      <c r="N18" t="str">
        <f>VLOOKUP(A18,'Originales sin dirección'!V:W,2,FALSE)</f>
        <v>Telecommunications</v>
      </c>
    </row>
    <row r="19" spans="1:14" x14ac:dyDescent="0.3">
      <c r="A19" s="2" t="s">
        <v>196</v>
      </c>
      <c r="F19">
        <v>36812.199999999997</v>
      </c>
      <c r="G19">
        <v>44062.2</v>
      </c>
      <c r="H19">
        <v>44662.400000000001</v>
      </c>
      <c r="I19">
        <v>44662.400000000001</v>
      </c>
      <c r="J19">
        <v>44662.400000000001</v>
      </c>
      <c r="K19">
        <v>44813.2</v>
      </c>
      <c r="L19">
        <v>41265.4</v>
      </c>
      <c r="N19" t="str">
        <f>VLOOKUP(A19,'Originales sin dirección'!V:W,2,FALSE)</f>
        <v>Computers, Office Equipment</v>
      </c>
    </row>
    <row r="20" spans="1:14" x14ac:dyDescent="0.3">
      <c r="A20" s="2" t="s">
        <v>203</v>
      </c>
      <c r="B20">
        <v>44062.2</v>
      </c>
      <c r="C20">
        <v>45754.8</v>
      </c>
      <c r="D20">
        <v>40372.199999999997</v>
      </c>
      <c r="N20" t="str">
        <f>VLOOKUP(A20,'Originales sin dirección'!V:W,2,FALSE)</f>
        <v>Computers, Office Equipment</v>
      </c>
    </row>
    <row r="21" spans="1:14" x14ac:dyDescent="0.3">
      <c r="A21" s="2" t="s">
        <v>45</v>
      </c>
      <c r="G21">
        <v>149067</v>
      </c>
      <c r="H21">
        <v>146130</v>
      </c>
      <c r="I21">
        <v>146130</v>
      </c>
      <c r="J21">
        <v>146130</v>
      </c>
      <c r="K21">
        <v>144206</v>
      </c>
      <c r="L21">
        <v>142491</v>
      </c>
      <c r="M21">
        <v>144523</v>
      </c>
      <c r="N21" t="str">
        <f>VLOOKUP(A21,'Originales sin dirección'!V:W,2,FALSE)</f>
        <v>Telecommunications</v>
      </c>
    </row>
    <row r="22" spans="1:14" x14ac:dyDescent="0.3">
      <c r="A22" s="2" t="s">
        <v>122</v>
      </c>
      <c r="B22">
        <v>149067</v>
      </c>
      <c r="N22" t="str">
        <f>VLOOKUP(A22,'Originales sin dirección'!V:W,2,FALSE)</f>
        <v>Telecommunications</v>
      </c>
    </row>
    <row r="23" spans="1:14" x14ac:dyDescent="0.3">
      <c r="A23" s="2" t="s">
        <v>69</v>
      </c>
      <c r="C23">
        <v>164971</v>
      </c>
      <c r="N23" t="str">
        <f>VLOOKUP(A23,'Originales sin dirección'!V:W,2,FALSE)</f>
        <v>Telecommunications</v>
      </c>
    </row>
    <row r="24" spans="1:14" x14ac:dyDescent="0.3">
      <c r="A24" s="2" t="s">
        <v>93</v>
      </c>
      <c r="F24">
        <v>166574</v>
      </c>
      <c r="G24">
        <v>180500</v>
      </c>
      <c r="H24">
        <v>251684</v>
      </c>
      <c r="I24">
        <v>251684</v>
      </c>
      <c r="J24">
        <v>251684</v>
      </c>
      <c r="K24">
        <v>273869</v>
      </c>
      <c r="L24">
        <v>275905</v>
      </c>
      <c r="M24">
        <v>257275</v>
      </c>
      <c r="N24" t="str">
        <f>VLOOKUP(A24,'Originales sin dirección'!V:W,2,FALSE)</f>
        <v>Telecommunications</v>
      </c>
    </row>
    <row r="25" spans="1:14" x14ac:dyDescent="0.3">
      <c r="A25" s="2" t="s">
        <v>110</v>
      </c>
      <c r="B25">
        <v>180500</v>
      </c>
      <c r="D25">
        <v>158813</v>
      </c>
      <c r="N25" t="str">
        <f>VLOOKUP(A25,'Originales sin dirección'!V:W,2,FALSE)</f>
        <v>Telecommunications</v>
      </c>
    </row>
    <row r="26" spans="1:14" x14ac:dyDescent="0.3">
      <c r="A26" s="2" t="s">
        <v>56</v>
      </c>
      <c r="M26">
        <v>98849</v>
      </c>
      <c r="N26" t="str">
        <f>VLOOKUP(A26,'Originales sin dirección'!V:W,2,FALSE)</f>
        <v>Computer Software</v>
      </c>
    </row>
    <row r="27" spans="1:14" x14ac:dyDescent="0.3">
      <c r="A27" s="2" t="s">
        <v>31</v>
      </c>
      <c r="H27">
        <v>111820</v>
      </c>
      <c r="I27">
        <v>111820</v>
      </c>
      <c r="J27">
        <v>111820</v>
      </c>
      <c r="K27">
        <v>123415</v>
      </c>
      <c r="L27">
        <v>92735</v>
      </c>
      <c r="M27">
        <v>89611</v>
      </c>
      <c r="N27" t="str">
        <f>VLOOKUP(A27,'Originales sin dirección'!V:W,2,FALSE)</f>
        <v>Computers, Office Equipment</v>
      </c>
    </row>
    <row r="28" spans="1:14" x14ac:dyDescent="0.3">
      <c r="A28" s="2" t="s">
        <v>114</v>
      </c>
      <c r="C28">
        <v>47540</v>
      </c>
      <c r="N28" t="str">
        <f>VLOOKUP(A28,'Originales sin dirección'!V:W,2,FALSE)</f>
        <v>Computers, Office Equipment</v>
      </c>
    </row>
    <row r="29" spans="1:14" x14ac:dyDescent="0.3">
      <c r="A29" s="2" t="s">
        <v>256</v>
      </c>
      <c r="F29">
        <v>156325.9</v>
      </c>
      <c r="G29">
        <v>156596.70000000001</v>
      </c>
      <c r="H29">
        <v>166163.6</v>
      </c>
      <c r="I29">
        <v>166163.6</v>
      </c>
      <c r="J29">
        <v>166163.6</v>
      </c>
      <c r="K29">
        <v>324205.40000000002</v>
      </c>
      <c r="L29">
        <v>320209.90000000002</v>
      </c>
      <c r="M29">
        <v>318595.5</v>
      </c>
      <c r="N29" t="str">
        <f>VLOOKUP(A29,'Originales sin dirección'!V:W,2,FALSE)</f>
        <v>Telecommunications</v>
      </c>
    </row>
    <row r="30" spans="1:14" x14ac:dyDescent="0.3">
      <c r="A30" s="2" t="s">
        <v>164</v>
      </c>
      <c r="B30">
        <v>156596.70000000001</v>
      </c>
      <c r="C30">
        <v>142289.1</v>
      </c>
      <c r="D30">
        <v>162784.29999999999</v>
      </c>
      <c r="N30" t="str">
        <f>VLOOKUP(A30,'Originales sin dirección'!V:W,2,FALSE)</f>
        <v>Telecommunications</v>
      </c>
    </row>
    <row r="31" spans="1:14" x14ac:dyDescent="0.3">
      <c r="A31" s="2" t="s">
        <v>51</v>
      </c>
      <c r="C31">
        <v>20555</v>
      </c>
      <c r="D31">
        <v>21905</v>
      </c>
      <c r="N31" t="str">
        <f>VLOOKUP(A31,'Originales sin dirección'!V:W,2,FALSE)</f>
        <v>Telecommunications</v>
      </c>
    </row>
    <row r="32" spans="1:14" x14ac:dyDescent="0.3">
      <c r="A32" s="2" t="s">
        <v>106</v>
      </c>
      <c r="F32">
        <v>46612</v>
      </c>
      <c r="N32" t="str">
        <f>VLOOKUP(A32,'Originales sin dirección'!V:W,2,FALSE)</f>
        <v>Computers, Office Equipment</v>
      </c>
    </row>
    <row r="33" spans="1:14" x14ac:dyDescent="0.3">
      <c r="A33" s="2" t="s">
        <v>104</v>
      </c>
      <c r="F33">
        <v>22088</v>
      </c>
      <c r="N33" t="str">
        <f>VLOOKUP(A33,'Originales sin dirección'!V:W,2,FALSE)</f>
        <v>Electronics, Electrical Equip.</v>
      </c>
    </row>
    <row r="34" spans="1:14" x14ac:dyDescent="0.3">
      <c r="A34" s="2" t="s">
        <v>108</v>
      </c>
      <c r="C34">
        <v>23818</v>
      </c>
      <c r="D34">
        <v>24711</v>
      </c>
      <c r="N34" t="str">
        <f>VLOOKUP(A34,'Originales sin dirección'!V:W,2,FALSE)</f>
        <v>Electronics, Electrical Equip.</v>
      </c>
    </row>
    <row r="35" spans="1:14" x14ac:dyDescent="0.3">
      <c r="A35" s="2" t="s">
        <v>41</v>
      </c>
      <c r="G35">
        <v>64961</v>
      </c>
      <c r="H35">
        <v>97334</v>
      </c>
      <c r="I35">
        <v>97334</v>
      </c>
      <c r="J35">
        <v>97334</v>
      </c>
      <c r="K35">
        <v>159316</v>
      </c>
      <c r="N35" t="str">
        <f>VLOOKUP(A35,'Originales sin dirección'!V:W,2,FALSE)</f>
        <v>Internet Services and Retailing</v>
      </c>
    </row>
    <row r="36" spans="1:14" x14ac:dyDescent="0.3">
      <c r="A36" s="2" t="s">
        <v>53</v>
      </c>
      <c r="B36">
        <v>64961</v>
      </c>
      <c r="N36" t="str">
        <f>VLOOKUP(A36,'Originales sin dirección'!V:W,2,FALSE)</f>
        <v>Internet Services and Retailing</v>
      </c>
    </row>
    <row r="37" spans="1:14" x14ac:dyDescent="0.3">
      <c r="A37" s="2" t="s">
        <v>158</v>
      </c>
      <c r="C37">
        <v>32436.7</v>
      </c>
      <c r="D37">
        <v>29907.1</v>
      </c>
      <c r="N37" t="str">
        <f>VLOOKUP(A37,'Originales sin dirección'!V:W,2,FALSE)</f>
        <v>Computers, Office Equipment</v>
      </c>
    </row>
    <row r="38" spans="1:14" x14ac:dyDescent="0.3">
      <c r="A38" s="2" t="s">
        <v>294</v>
      </c>
      <c r="K38">
        <v>15836</v>
      </c>
      <c r="N38" t="str">
        <f>VLOOKUP(A38,'Originales sin dirección'!V:W,2,FALSE)</f>
        <v>Electronics, Electrical Equip.</v>
      </c>
    </row>
    <row r="39" spans="1:14" x14ac:dyDescent="0.3">
      <c r="A39" s="2" t="s">
        <v>232</v>
      </c>
      <c r="C39">
        <v>118611.6</v>
      </c>
      <c r="N39" t="str">
        <f>VLOOKUP(A39,'Originales sin dirección'!V:W,2,FALSE)</f>
        <v>Telecommunications</v>
      </c>
    </row>
    <row r="40" spans="1:14" x14ac:dyDescent="0.3">
      <c r="A40" s="2" t="s">
        <v>48</v>
      </c>
      <c r="C40">
        <v>93798</v>
      </c>
      <c r="D40">
        <v>110920</v>
      </c>
      <c r="N40" t="str">
        <f>VLOOKUP(A40,'Originales sin dirección'!V:W,2,FALSE)</f>
        <v>Internet Services and Retailing</v>
      </c>
    </row>
    <row r="41" spans="1:14" x14ac:dyDescent="0.3">
      <c r="A41" s="2" t="s">
        <v>78</v>
      </c>
      <c r="F41">
        <v>147461</v>
      </c>
      <c r="G41">
        <v>167497</v>
      </c>
      <c r="H41">
        <v>232792</v>
      </c>
      <c r="I41">
        <v>232792</v>
      </c>
      <c r="J41">
        <v>232792</v>
      </c>
      <c r="K41">
        <v>319616</v>
      </c>
      <c r="L41">
        <v>359268</v>
      </c>
      <c r="M41">
        <v>365264</v>
      </c>
      <c r="N41" t="str">
        <f>VLOOKUP(A41,'Originales sin dirección'!V:W,2,FALSE)</f>
        <v>Internet Services and Retailing</v>
      </c>
    </row>
    <row r="42" spans="1:14" x14ac:dyDescent="0.3">
      <c r="A42" s="2" t="s">
        <v>88</v>
      </c>
      <c r="B42">
        <v>167497</v>
      </c>
      <c r="N42" t="str">
        <f>VLOOKUP(A42,'Originales sin dirección'!V:W,2,FALSE)</f>
        <v>Internet Services and Retailing</v>
      </c>
    </row>
    <row r="43" spans="1:14" x14ac:dyDescent="0.3">
      <c r="A43" s="2" t="s">
        <v>291</v>
      </c>
      <c r="F43">
        <v>70287.199999999997</v>
      </c>
      <c r="G43">
        <v>80435.8</v>
      </c>
      <c r="H43">
        <v>110012.9</v>
      </c>
      <c r="I43">
        <v>110012.9</v>
      </c>
      <c r="J43">
        <v>110012.9</v>
      </c>
      <c r="K43">
        <v>130845.6</v>
      </c>
      <c r="L43">
        <v>141043.5</v>
      </c>
      <c r="M43">
        <v>134617.70000000001</v>
      </c>
      <c r="N43" t="str">
        <f>VLOOKUP(A43,'Originales sin dirección'!V:W,2,FALSE)</f>
        <v>Electronics, Electrical Equip.</v>
      </c>
    </row>
    <row r="44" spans="1:14" x14ac:dyDescent="0.3">
      <c r="A44" s="2" t="s">
        <v>244</v>
      </c>
      <c r="B44">
        <v>80435.8</v>
      </c>
      <c r="C44">
        <v>70404.399999999994</v>
      </c>
      <c r="D44">
        <v>77599.399999999994</v>
      </c>
      <c r="N44" t="str">
        <f>VLOOKUP(A44,'Originales sin dirección'!V:W,2,FALSE)</f>
        <v>Electronics, Electrical Equip.</v>
      </c>
    </row>
    <row r="45" spans="1:14" x14ac:dyDescent="0.3">
      <c r="A45" s="2" t="s">
        <v>91</v>
      </c>
      <c r="F45">
        <v>49316</v>
      </c>
      <c r="G45">
        <v>54146</v>
      </c>
      <c r="H45">
        <v>57773</v>
      </c>
      <c r="I45">
        <v>57773</v>
      </c>
      <c r="J45">
        <v>57773</v>
      </c>
      <c r="K45">
        <v>64586</v>
      </c>
      <c r="L45">
        <v>64470</v>
      </c>
      <c r="M45">
        <v>62275</v>
      </c>
      <c r="N45" t="str">
        <f>VLOOKUP(A45,'Originales sin dirección'!V:W,2,FALSE)</f>
        <v>Electronics, Electrical Equip.</v>
      </c>
    </row>
    <row r="46" spans="1:14" x14ac:dyDescent="0.3">
      <c r="A46" s="2" t="s">
        <v>109</v>
      </c>
      <c r="B46">
        <v>54146</v>
      </c>
      <c r="D46">
        <v>45435</v>
      </c>
      <c r="N46" t="str">
        <f>VLOOKUP(A46,'Originales sin dirección'!V:W,2,FALSE)</f>
        <v>Electronics, Electrical Equip.</v>
      </c>
    </row>
    <row r="47" spans="1:14" x14ac:dyDescent="0.3">
      <c r="A47" s="2" t="s">
        <v>38</v>
      </c>
      <c r="H47">
        <v>55493</v>
      </c>
      <c r="I47">
        <v>55493</v>
      </c>
      <c r="J47">
        <v>55493</v>
      </c>
      <c r="K47">
        <v>54015</v>
      </c>
      <c r="N47" t="str">
        <f>VLOOKUP(A47,'Originales sin dirección'!V:W,2,FALSE)</f>
        <v>Computers, Office Equipment</v>
      </c>
    </row>
    <row r="48" spans="1:14" x14ac:dyDescent="0.3">
      <c r="A48" s="2" t="s">
        <v>59</v>
      </c>
      <c r="F48">
        <v>106882</v>
      </c>
      <c r="G48">
        <v>29010</v>
      </c>
      <c r="H48">
        <v>34622</v>
      </c>
      <c r="I48">
        <v>34622</v>
      </c>
      <c r="J48">
        <v>34622</v>
      </c>
      <c r="K48">
        <v>34681</v>
      </c>
      <c r="L48">
        <v>38610</v>
      </c>
      <c r="M48">
        <v>38587</v>
      </c>
      <c r="N48" t="str">
        <f>VLOOKUP(A48,'Originales sin dirección'!V:W,2,FALSE)</f>
        <v>Computers, Office Equipment</v>
      </c>
    </row>
    <row r="49" spans="1:14" x14ac:dyDescent="0.3">
      <c r="A49" s="2" t="s">
        <v>72</v>
      </c>
      <c r="B49">
        <v>29010</v>
      </c>
      <c r="C49">
        <v>108768</v>
      </c>
      <c r="D49">
        <v>105676</v>
      </c>
      <c r="N49" t="str">
        <f>VLOOKUP(A49,'Originales sin dirección'!V:W,2,FALSE)</f>
        <v>Computers, Office Equipment</v>
      </c>
    </row>
    <row r="50" spans="1:14" x14ac:dyDescent="0.3">
      <c r="A50" s="2" t="s">
        <v>275</v>
      </c>
      <c r="K50">
        <v>31181.5</v>
      </c>
      <c r="N50" t="str">
        <f>VLOOKUP(A50,'Originales sin dirección'!V:W,2,FALSE)</f>
        <v>Electronics, Electrical Equip.</v>
      </c>
    </row>
    <row r="51" spans="1:14" x14ac:dyDescent="0.3">
      <c r="A51" s="2" t="s">
        <v>265</v>
      </c>
      <c r="L51">
        <v>34234.300000000003</v>
      </c>
      <c r="M51">
        <v>34193.9</v>
      </c>
      <c r="N51" t="str">
        <f>VLOOKUP(A51,'Originales sin dirección'!V:W,2,FALSE)</f>
        <v>Electronics, Electrical Equip.</v>
      </c>
    </row>
    <row r="52" spans="1:14" x14ac:dyDescent="0.3">
      <c r="A52" s="2" t="s">
        <v>189</v>
      </c>
      <c r="F52">
        <v>111683.6</v>
      </c>
      <c r="G52">
        <v>86741.9</v>
      </c>
      <c r="H52">
        <v>86984.7</v>
      </c>
      <c r="I52">
        <v>86984.7</v>
      </c>
      <c r="J52">
        <v>86984.7</v>
      </c>
      <c r="K52">
        <v>107168.7</v>
      </c>
      <c r="L52">
        <v>114385.2</v>
      </c>
      <c r="M52">
        <v>94179.7</v>
      </c>
      <c r="N52" t="str">
        <f>VLOOKUP(A52,'Originales sin dirección'!V:W,2,FALSE)</f>
        <v>Electronics, Electrical Equip.</v>
      </c>
    </row>
    <row r="53" spans="1:14" x14ac:dyDescent="0.3">
      <c r="A53" s="2" t="s">
        <v>209</v>
      </c>
      <c r="B53">
        <v>86741.9</v>
      </c>
      <c r="C53">
        <v>104353.5</v>
      </c>
      <c r="D53">
        <v>106991.4</v>
      </c>
      <c r="N53" t="str">
        <f>VLOOKUP(A53,'Originales sin dirección'!V:W,2,FALSE)</f>
        <v>Electronics, Electrical Equip.</v>
      </c>
    </row>
    <row r="54" spans="1:14" x14ac:dyDescent="0.3">
      <c r="A54" s="2" t="s">
        <v>130</v>
      </c>
      <c r="F54">
        <v>13115.4</v>
      </c>
      <c r="G54">
        <v>23077</v>
      </c>
      <c r="H54">
        <v>30465.200000000001</v>
      </c>
      <c r="I54">
        <v>30465.200000000001</v>
      </c>
      <c r="J54">
        <v>30465.200000000001</v>
      </c>
      <c r="K54">
        <v>64718.400000000001</v>
      </c>
      <c r="L54">
        <v>78164.2</v>
      </c>
      <c r="M54">
        <v>86303.1</v>
      </c>
      <c r="N54" t="str">
        <f>VLOOKUP(A54,'Originales sin dirección'!V:W,2,FALSE)</f>
        <v>Internet Services and Retailing</v>
      </c>
    </row>
    <row r="55" spans="1:14" x14ac:dyDescent="0.3">
      <c r="A55" s="2" t="s">
        <v>179</v>
      </c>
      <c r="B55">
        <v>23077</v>
      </c>
      <c r="N55" t="str">
        <f>VLOOKUP(A55,'Originales sin dirección'!V:W,2,FALSE)</f>
        <v>Internet Services and Retailing</v>
      </c>
    </row>
    <row r="56" spans="1:14" x14ac:dyDescent="0.3">
      <c r="A56" s="2" t="s">
        <v>186</v>
      </c>
      <c r="F56">
        <v>51675.1</v>
      </c>
      <c r="G56">
        <v>56223.199999999997</v>
      </c>
      <c r="H56">
        <v>66236.7</v>
      </c>
      <c r="I56">
        <v>66236.7</v>
      </c>
      <c r="J56">
        <v>66236.7</v>
      </c>
      <c r="K56">
        <v>95256.1</v>
      </c>
      <c r="L56">
        <v>91297.1</v>
      </c>
      <c r="M56">
        <v>89781.9</v>
      </c>
      <c r="N56" t="str">
        <f>VLOOKUP(A56,'Originales sin dirección'!V:W,2,FALSE)</f>
        <v>Telecommunications</v>
      </c>
    </row>
    <row r="57" spans="1:14" x14ac:dyDescent="0.3">
      <c r="A57" s="2" t="s">
        <v>205</v>
      </c>
      <c r="B57">
        <v>56223.199999999997</v>
      </c>
      <c r="C57">
        <v>43457.4</v>
      </c>
      <c r="D57">
        <v>48031</v>
      </c>
      <c r="N57" t="str">
        <f>VLOOKUP(A57,'Originales sin dirección'!V:W,2,FALSE)</f>
        <v>Telecommunications</v>
      </c>
    </row>
    <row r="58" spans="1:14" x14ac:dyDescent="0.3">
      <c r="A58" s="2" t="s">
        <v>100</v>
      </c>
      <c r="L58">
        <v>26338.3</v>
      </c>
      <c r="N58" t="str">
        <f>VLOOKUP(A58,'Originales sin dirección'!V:W,2,FALSE)</f>
        <v>Automotive Retailing, Services</v>
      </c>
    </row>
    <row r="59" spans="1:14" x14ac:dyDescent="0.3">
      <c r="A59" s="2" t="s">
        <v>142</v>
      </c>
      <c r="F59">
        <v>24933.4</v>
      </c>
      <c r="G59">
        <v>27186</v>
      </c>
      <c r="H59">
        <v>29988.5</v>
      </c>
      <c r="I59">
        <v>29988.5</v>
      </c>
      <c r="J59">
        <v>29988.5</v>
      </c>
      <c r="K59">
        <v>37990.6</v>
      </c>
      <c r="L59">
        <v>44510.400000000001</v>
      </c>
      <c r="M59">
        <v>38920.1</v>
      </c>
      <c r="N59" t="str">
        <f>VLOOKUP(A59,'Originales sin dirección'!V:W,2,FALSE)</f>
        <v>Computers, Office Equipment</v>
      </c>
    </row>
    <row r="60" spans="1:14" x14ac:dyDescent="0.3">
      <c r="A60" s="2" t="s">
        <v>180</v>
      </c>
      <c r="B60">
        <v>27186</v>
      </c>
      <c r="C60">
        <v>16882</v>
      </c>
      <c r="D60">
        <v>18357.099999999999</v>
      </c>
      <c r="N60" t="str">
        <f>VLOOKUP(A60,'Originales sin dirección'!V:W,2,FALSE)</f>
        <v>Computers, Office Equipment</v>
      </c>
    </row>
    <row r="61" spans="1:14" x14ac:dyDescent="0.3">
      <c r="A61" s="2" t="s">
        <v>296</v>
      </c>
      <c r="F61">
        <v>19258.900000000001</v>
      </c>
      <c r="G61">
        <v>20606.400000000001</v>
      </c>
      <c r="N61" t="str">
        <f>VLOOKUP(A61,'Originales sin dirección'!V:W,2,FALSE)</f>
        <v>Electronics, Electrical Equip.</v>
      </c>
    </row>
    <row r="62" spans="1:14" x14ac:dyDescent="0.3">
      <c r="A62" s="2" t="s">
        <v>170</v>
      </c>
      <c r="B62">
        <v>20606.400000000001</v>
      </c>
      <c r="C62">
        <v>22846</v>
      </c>
      <c r="D62">
        <v>20579.3</v>
      </c>
      <c r="N62" t="str">
        <f>VLOOKUP(A62,'Originales sin dirección'!V:W,2,FALSE)</f>
        <v>Electronics, Electrical Equip.</v>
      </c>
    </row>
    <row r="63" spans="1:14" x14ac:dyDescent="0.3">
      <c r="A63" s="2" t="s">
        <v>35</v>
      </c>
      <c r="L63">
        <v>165987</v>
      </c>
      <c r="M63">
        <v>185727</v>
      </c>
      <c r="N63" t="str">
        <f>VLOOKUP(A63,'Originales sin dirección'!V:W,2,FALSE)</f>
        <v>Internet Services and Retailing</v>
      </c>
    </row>
    <row r="64" spans="1:14" x14ac:dyDescent="0.3">
      <c r="A64" s="2" t="s">
        <v>183</v>
      </c>
      <c r="F64">
        <v>36126.9</v>
      </c>
      <c r="G64">
        <v>37519.300000000003</v>
      </c>
      <c r="H64">
        <v>39362.199999999997</v>
      </c>
      <c r="I64">
        <v>39362.199999999997</v>
      </c>
      <c r="J64">
        <v>39362.199999999997</v>
      </c>
      <c r="K64">
        <v>43380.800000000003</v>
      </c>
      <c r="L64">
        <v>42072.1</v>
      </c>
      <c r="M64">
        <v>42056</v>
      </c>
      <c r="N64" t="str">
        <f>VLOOKUP(A64,'Originales sin dirección'!V:W,2,FALSE)</f>
        <v>Electronics, Electrical Equip.</v>
      </c>
    </row>
    <row r="65" spans="1:14" x14ac:dyDescent="0.3">
      <c r="A65" s="2" t="s">
        <v>204</v>
      </c>
      <c r="B65">
        <v>37519.300000000003</v>
      </c>
      <c r="C65">
        <v>36281</v>
      </c>
      <c r="D65">
        <v>35087.599999999999</v>
      </c>
      <c r="N65" t="str">
        <f>VLOOKUP(A65,'Originales sin dirección'!V:W,2,FALSE)</f>
        <v>Electronics, Electrical Equip.</v>
      </c>
    </row>
    <row r="66" spans="1:14" x14ac:dyDescent="0.3">
      <c r="A66" s="2" t="s">
        <v>124</v>
      </c>
      <c r="M66">
        <v>35446.400000000001</v>
      </c>
      <c r="N66" t="str">
        <f>VLOOKUP(A66,'Originales sin dirección'!V:W,2,FALSE)</f>
        <v>Internet Services and Retailing</v>
      </c>
    </row>
    <row r="67" spans="1:14" x14ac:dyDescent="0.3">
      <c r="A67" s="2" t="s">
        <v>96</v>
      </c>
      <c r="F67">
        <v>176223</v>
      </c>
      <c r="G67">
        <v>193694</v>
      </c>
      <c r="H67">
        <v>258848</v>
      </c>
      <c r="I67">
        <v>258848</v>
      </c>
      <c r="J67">
        <v>258848</v>
      </c>
      <c r="K67">
        <v>301311</v>
      </c>
      <c r="L67">
        <v>333779</v>
      </c>
      <c r="M67">
        <v>364840</v>
      </c>
      <c r="N67" t="str">
        <f>VLOOKUP(A67,'Originales sin dirección'!V:W,2,FALSE)</f>
        <v>Computer Software</v>
      </c>
    </row>
    <row r="68" spans="1:14" x14ac:dyDescent="0.3">
      <c r="A68" s="2" t="s">
        <v>111</v>
      </c>
      <c r="B68">
        <v>193694</v>
      </c>
      <c r="C68">
        <v>121271</v>
      </c>
      <c r="D68">
        <v>142431</v>
      </c>
      <c r="N68" t="str">
        <f>VLOOKUP(A68,'Originales sin dirección'!V:W,2,FALSE)</f>
        <v>Computer Software</v>
      </c>
    </row>
    <row r="69" spans="1:14" x14ac:dyDescent="0.3">
      <c r="A69" s="2" t="s">
        <v>202</v>
      </c>
      <c r="F69">
        <v>187185.7</v>
      </c>
      <c r="N69" t="str">
        <f>VLOOKUP(A69,'Originales sin dirección'!V:W,2,FALSE)</f>
        <v>Telecommunications</v>
      </c>
    </row>
    <row r="70" spans="1:14" x14ac:dyDescent="0.3">
      <c r="A70" s="2" t="s">
        <v>211</v>
      </c>
      <c r="C70">
        <v>209081.8</v>
      </c>
      <c r="D70">
        <v>196998.6</v>
      </c>
      <c r="N70" t="str">
        <f>VLOOKUP(A70,'Originales sin dirección'!V:W,2,FALSE)</f>
        <v>Telecommunications</v>
      </c>
    </row>
    <row r="71" spans="1:14" x14ac:dyDescent="0.3">
      <c r="A71" s="2" t="s">
        <v>193</v>
      </c>
      <c r="G71">
        <v>190739.8</v>
      </c>
      <c r="H71">
        <v>201456.1</v>
      </c>
      <c r="I71">
        <v>201456.1</v>
      </c>
      <c r="J71">
        <v>201456.1</v>
      </c>
      <c r="K71">
        <v>207644.6</v>
      </c>
      <c r="L71">
        <v>196542.6</v>
      </c>
      <c r="M71">
        <v>190664.8</v>
      </c>
      <c r="N71" t="str">
        <f>VLOOKUP(A71,'Originales sin dirección'!V:W,2,FALSE)</f>
        <v>Telecommunications</v>
      </c>
    </row>
    <row r="72" spans="1:14" x14ac:dyDescent="0.3">
      <c r="A72" s="2" t="s">
        <v>212</v>
      </c>
      <c r="B72">
        <v>190739.8</v>
      </c>
      <c r="N72" t="str">
        <f>VLOOKUP(A72,'Originales sin dirección'!V:W,2,FALSE)</f>
        <v>Telecommunications</v>
      </c>
    </row>
    <row r="73" spans="1:14" x14ac:dyDescent="0.3">
      <c r="A73" s="2" t="s">
        <v>252</v>
      </c>
      <c r="F73">
        <v>99311.2</v>
      </c>
      <c r="G73">
        <v>99839.7</v>
      </c>
      <c r="H73">
        <v>110404.7</v>
      </c>
      <c r="I73">
        <v>110404.7</v>
      </c>
      <c r="J73">
        <v>110404.7</v>
      </c>
      <c r="K73">
        <v>131843.6</v>
      </c>
      <c r="L73">
        <v>122876.7</v>
      </c>
      <c r="M73">
        <v>116996.6</v>
      </c>
      <c r="N73" t="str">
        <f>VLOOKUP(A73,'Originales sin dirección'!V:W,2,FALSE)</f>
        <v>Telecommunications</v>
      </c>
    </row>
    <row r="74" spans="1:14" x14ac:dyDescent="0.3">
      <c r="A74" s="2" t="s">
        <v>253</v>
      </c>
      <c r="B74">
        <v>99839.7</v>
      </c>
      <c r="D74">
        <v>118260.7</v>
      </c>
      <c r="N74" t="str">
        <f>VLOOKUP(A74,'Originales sin dirección'!V:W,2,FALSE)</f>
        <v>Telecommunications</v>
      </c>
    </row>
    <row r="75" spans="1:14" x14ac:dyDescent="0.3">
      <c r="A75" s="2" t="s">
        <v>84</v>
      </c>
      <c r="F75">
        <v>110903</v>
      </c>
      <c r="G75">
        <v>112180</v>
      </c>
      <c r="H75">
        <v>137264</v>
      </c>
      <c r="I75">
        <v>137264</v>
      </c>
      <c r="J75">
        <v>137264</v>
      </c>
      <c r="K75">
        <v>115438</v>
      </c>
      <c r="L75">
        <v>131107</v>
      </c>
      <c r="M75">
        <v>109297</v>
      </c>
      <c r="N75" t="str">
        <f>VLOOKUP(A75,'Originales sin dirección'!V:W,2,FALSE)</f>
        <v>Computer Software</v>
      </c>
    </row>
    <row r="76" spans="1:14" x14ac:dyDescent="0.3">
      <c r="A76" s="2" t="s">
        <v>86</v>
      </c>
      <c r="B76">
        <v>112180</v>
      </c>
      <c r="C76">
        <v>78327</v>
      </c>
      <c r="D76">
        <v>81812</v>
      </c>
      <c r="N76" t="str">
        <f>VLOOKUP(A76,'Originales sin dirección'!V:W,2,FALSE)</f>
        <v>Computer Software</v>
      </c>
    </row>
    <row r="77" spans="1:14" x14ac:dyDescent="0.3">
      <c r="A77" s="2" t="s">
        <v>161</v>
      </c>
      <c r="C77">
        <v>57423.5</v>
      </c>
      <c r="D77">
        <v>50626.3</v>
      </c>
      <c r="N77" t="str">
        <f>VLOOKUP(A77,'Originales sin dirección'!V:W,2,FALSE)</f>
        <v>Electronics, Electrical Equip.</v>
      </c>
    </row>
    <row r="78" spans="1:14" x14ac:dyDescent="0.3">
      <c r="A78" s="2" t="s">
        <v>284</v>
      </c>
      <c r="F78">
        <v>49804.1</v>
      </c>
      <c r="G78">
        <v>53702.2</v>
      </c>
      <c r="H78">
        <v>54341.1</v>
      </c>
      <c r="I78">
        <v>54341.1</v>
      </c>
      <c r="J78">
        <v>54341.1</v>
      </c>
      <c r="K78">
        <v>61908.4</v>
      </c>
      <c r="L78">
        <v>66086.7</v>
      </c>
      <c r="M78">
        <v>60716.6</v>
      </c>
      <c r="N78" t="str">
        <f>VLOOKUP(A78,'Originales sin dirección'!V:W,2,FALSE)</f>
        <v>Electronics, Electrical Equip.</v>
      </c>
    </row>
    <row r="79" spans="1:14" x14ac:dyDescent="0.3">
      <c r="A79" s="2" t="s">
        <v>288</v>
      </c>
      <c r="B79">
        <v>53702.2</v>
      </c>
      <c r="N79" t="str">
        <f>VLOOKUP(A79,'Originales sin dirección'!V:W,2,FALSE)</f>
        <v>Electronics, Electrical Equip.</v>
      </c>
    </row>
    <row r="80" spans="1:14" x14ac:dyDescent="0.3">
      <c r="A80" s="2" t="s">
        <v>306</v>
      </c>
      <c r="F80">
        <v>33646.1</v>
      </c>
      <c r="N80" t="str">
        <f>VLOOKUP(A80,'Originales sin dirección'!V:W,2,FALSE)</f>
        <v>Electronics, Electrical Equip.</v>
      </c>
    </row>
    <row r="81" spans="1:14" x14ac:dyDescent="0.3">
      <c r="A81" s="2" t="s">
        <v>173</v>
      </c>
      <c r="C81">
        <v>38331.9</v>
      </c>
      <c r="D81">
        <v>36593</v>
      </c>
      <c r="N81" t="str">
        <f>VLOOKUP(A81,'Originales sin dirección'!V:W,2,FALSE)</f>
        <v>Electronics, Electrical Equip.</v>
      </c>
    </row>
    <row r="82" spans="1:14" x14ac:dyDescent="0.3">
      <c r="A82" s="2" t="s">
        <v>226</v>
      </c>
      <c r="C82">
        <v>19547.7</v>
      </c>
      <c r="D82">
        <v>18727.7</v>
      </c>
      <c r="N82" t="str">
        <f>VLOOKUP(A82,'Originales sin dirección'!V:W,2,FALSE)</f>
        <v>Computers, Office Equipment</v>
      </c>
    </row>
    <row r="83" spans="1:14" x14ac:dyDescent="0.3">
      <c r="A83" s="2" t="s">
        <v>167</v>
      </c>
      <c r="C83">
        <v>25113.8</v>
      </c>
      <c r="N83" t="str">
        <f>VLOOKUP(A83,'Originales sin dirección'!V:W,2,FALSE)</f>
        <v>Computers, Office Equipment</v>
      </c>
    </row>
    <row r="84" spans="1:14" x14ac:dyDescent="0.3">
      <c r="A84" s="2" t="s">
        <v>120</v>
      </c>
      <c r="C84">
        <v>51570</v>
      </c>
      <c r="N84" t="str">
        <f>VLOOKUP(A84,'Originales sin dirección'!V:W,2,FALSE)</f>
        <v>Telecommunications</v>
      </c>
    </row>
    <row r="85" spans="1:14" x14ac:dyDescent="0.3">
      <c r="A85" s="2" t="s">
        <v>254</v>
      </c>
      <c r="F85">
        <v>44957.8</v>
      </c>
      <c r="G85">
        <v>46695.8</v>
      </c>
      <c r="H85">
        <v>58854.2</v>
      </c>
      <c r="I85">
        <v>58854.2</v>
      </c>
      <c r="J85">
        <v>58854.2</v>
      </c>
      <c r="K85">
        <v>71558</v>
      </c>
      <c r="L85">
        <v>80919.199999999997</v>
      </c>
      <c r="M85">
        <v>76993.7</v>
      </c>
      <c r="N85" t="str">
        <f>VLOOKUP(A85,'Originales sin dirección'!V:W,2,FALSE)</f>
        <v>Computer Software</v>
      </c>
    </row>
    <row r="86" spans="1:14" x14ac:dyDescent="0.3">
      <c r="A86" s="2" t="s">
        <v>258</v>
      </c>
      <c r="B86">
        <v>46695.8</v>
      </c>
      <c r="N86" t="str">
        <f>VLOOKUP(A86,'Originales sin dirección'!V:W,2,FALSE)</f>
        <v>Computer Software</v>
      </c>
    </row>
    <row r="87" spans="1:14" x14ac:dyDescent="0.3">
      <c r="A87" s="2" t="s">
        <v>249</v>
      </c>
      <c r="F87">
        <v>46247.1</v>
      </c>
      <c r="G87">
        <v>44137.3</v>
      </c>
      <c r="H87">
        <v>48302</v>
      </c>
      <c r="I87">
        <v>48302</v>
      </c>
      <c r="J87">
        <v>48302</v>
      </c>
      <c r="K87">
        <v>60556.1</v>
      </c>
      <c r="L87">
        <v>62019.9</v>
      </c>
      <c r="M87">
        <v>62278.7</v>
      </c>
      <c r="N87" t="str">
        <f>VLOOKUP(A87,'Originales sin dirección'!V:W,2,FALSE)</f>
        <v>Electronics, Electrical Equip.</v>
      </c>
    </row>
    <row r="88" spans="1:14" x14ac:dyDescent="0.3">
      <c r="A88" s="2" t="s">
        <v>223</v>
      </c>
      <c r="B88">
        <v>44137.3</v>
      </c>
      <c r="C88">
        <v>47660.800000000003</v>
      </c>
      <c r="D88">
        <v>50962.1</v>
      </c>
      <c r="N88" t="str">
        <f>VLOOKUP(A88,'Originales sin dirección'!V:W,2,FALSE)</f>
        <v>Electronics, Electrical Equip.</v>
      </c>
    </row>
    <row r="89" spans="1:14" x14ac:dyDescent="0.3">
      <c r="A89" s="2" t="s">
        <v>127</v>
      </c>
      <c r="F89">
        <v>184260.5</v>
      </c>
      <c r="G89">
        <v>221113.1</v>
      </c>
      <c r="H89">
        <v>326163.20000000001</v>
      </c>
      <c r="I89">
        <v>326163.20000000001</v>
      </c>
      <c r="J89">
        <v>326163.20000000001</v>
      </c>
      <c r="K89">
        <v>413656.9</v>
      </c>
      <c r="L89">
        <v>391604.2</v>
      </c>
      <c r="M89">
        <v>330995.7</v>
      </c>
      <c r="N89" t="str">
        <f>VLOOKUP(A89,'Originales sin dirección'!V:W,2,FALSE)</f>
        <v>Telecommunications</v>
      </c>
    </row>
    <row r="90" spans="1:14" x14ac:dyDescent="0.3">
      <c r="A90" s="2" t="s">
        <v>207</v>
      </c>
      <c r="B90">
        <v>221113.1</v>
      </c>
      <c r="D90">
        <v>162037.5</v>
      </c>
      <c r="N90" t="str">
        <f>VLOOKUP(A90,'Originales sin dirección'!V:W,2,FALSE)</f>
        <v>Telecommunications</v>
      </c>
    </row>
    <row r="91" spans="1:14" x14ac:dyDescent="0.3">
      <c r="A91" s="2" t="s">
        <v>154</v>
      </c>
      <c r="C91">
        <v>22210.2</v>
      </c>
      <c r="D91">
        <v>21187.5</v>
      </c>
      <c r="N91" t="str">
        <f>VLOOKUP(A91,'Originales sin dirección'!V:W,2,FALSE)</f>
        <v>Electronics, Electrical Equip.</v>
      </c>
    </row>
    <row r="92" spans="1:14" x14ac:dyDescent="0.3">
      <c r="A92" s="2" t="s">
        <v>241</v>
      </c>
      <c r="C92">
        <v>139283.1</v>
      </c>
      <c r="D92">
        <v>137970.29999999999</v>
      </c>
      <c r="N92" t="str">
        <f>VLOOKUP(A92,'Originales sin dirección'!V:W,2,FALSE)</f>
        <v>Electronics, Electrical Equip.</v>
      </c>
    </row>
    <row r="93" spans="1:14" x14ac:dyDescent="0.3">
      <c r="A93" s="2" t="s">
        <v>257</v>
      </c>
      <c r="F93">
        <v>134320.29999999999</v>
      </c>
      <c r="N93" t="str">
        <f>VLOOKUP(A93,'Originales sin dirección'!V:W,2,FALSE)</f>
        <v>Electronics, Electrical Equip.</v>
      </c>
    </row>
    <row r="94" spans="1:14" x14ac:dyDescent="0.3">
      <c r="A94" s="2" t="s">
        <v>214</v>
      </c>
      <c r="C94">
        <v>24442.2</v>
      </c>
      <c r="D94">
        <v>24811.3</v>
      </c>
      <c r="N94" t="str">
        <f>VLOOKUP(A94,'Originales sin dirección'!V:W,2,FALSE)</f>
        <v>Electronics, Electrical Equip.</v>
      </c>
    </row>
    <row r="95" spans="1:14" x14ac:dyDescent="0.3">
      <c r="A95" s="2" t="s">
        <v>151</v>
      </c>
      <c r="F95">
        <v>148366.20000000001</v>
      </c>
      <c r="G95">
        <v>158518.6</v>
      </c>
      <c r="H95">
        <v>189586.9</v>
      </c>
      <c r="I95">
        <v>189586.9</v>
      </c>
      <c r="J95">
        <v>189586.9</v>
      </c>
      <c r="N95" t="str">
        <f>VLOOKUP(A95,'Originales sin dirección'!V:W,2,FALSE)</f>
        <v>Electronics, Electrical Equip.</v>
      </c>
    </row>
    <row r="96" spans="1:14" x14ac:dyDescent="0.3">
      <c r="A96" s="2" t="s">
        <v>177</v>
      </c>
      <c r="B96">
        <v>158518.6</v>
      </c>
      <c r="C96">
        <v>151130.79999999999</v>
      </c>
      <c r="D96">
        <v>148914.5</v>
      </c>
      <c r="N96" t="str">
        <f>VLOOKUP(A96,'Originales sin dirección'!V:W,2,FALSE)</f>
        <v>Electronics, Electrical Equip.</v>
      </c>
    </row>
    <row r="97" spans="1:14" x14ac:dyDescent="0.3">
      <c r="A97" s="2" t="s">
        <v>191</v>
      </c>
      <c r="K97">
        <v>238289.7</v>
      </c>
      <c r="L97">
        <v>251058.1</v>
      </c>
      <c r="M97">
        <v>241383.3</v>
      </c>
      <c r="N97" t="str">
        <f>VLOOKUP(A97,'Originales sin dirección'!V:W,2,FALSE)</f>
        <v>Electronics, Electrical Equip.</v>
      </c>
    </row>
    <row r="98" spans="1:14" x14ac:dyDescent="0.3">
      <c r="A98" s="2" t="s">
        <v>304</v>
      </c>
      <c r="F98">
        <v>206585</v>
      </c>
      <c r="G98">
        <v>217103.6</v>
      </c>
      <c r="N98" t="str">
        <f>VLOOKUP(A98,'Originales sin dirección'!V:W,2,FALSE)</f>
        <v>Electronics, Electrical Equip.</v>
      </c>
    </row>
    <row r="99" spans="1:14" x14ac:dyDescent="0.3">
      <c r="A99" s="2" t="s">
        <v>247</v>
      </c>
      <c r="B99">
        <v>217103.6</v>
      </c>
      <c r="C99">
        <v>169154.6</v>
      </c>
      <c r="D99">
        <v>202876.2</v>
      </c>
      <c r="N99" t="str">
        <f>VLOOKUP(A99,'Originales sin dirección'!V:W,2,FALSE)</f>
        <v>Electronics, Electrical Equip.</v>
      </c>
    </row>
    <row r="100" spans="1:14" x14ac:dyDescent="0.3">
      <c r="A100" s="2" t="s">
        <v>62</v>
      </c>
      <c r="F100">
        <v>402672</v>
      </c>
      <c r="G100">
        <v>403821</v>
      </c>
      <c r="H100">
        <v>531864</v>
      </c>
      <c r="I100">
        <v>531864</v>
      </c>
      <c r="J100">
        <v>531864</v>
      </c>
      <c r="K100">
        <v>525761</v>
      </c>
      <c r="L100">
        <v>551622</v>
      </c>
      <c r="M100">
        <v>402853</v>
      </c>
      <c r="N100" t="str">
        <f>VLOOKUP(A100,'Originales sin dirección'!V:W,2,FALSE)</f>
        <v>Telecommunications</v>
      </c>
    </row>
    <row r="101" spans="1:14" x14ac:dyDescent="0.3">
      <c r="A101" s="2" t="s">
        <v>112</v>
      </c>
      <c r="B101">
        <v>403821</v>
      </c>
      <c r="C101">
        <v>272315</v>
      </c>
      <c r="D101">
        <v>277787</v>
      </c>
      <c r="N101" t="str">
        <f>VLOOKUP(A101,'Originales sin dirección'!V:W,2,FALSE)</f>
        <v>Telecommunications</v>
      </c>
    </row>
    <row r="102" spans="1:14" x14ac:dyDescent="0.3">
      <c r="A102" s="2" t="s">
        <v>269</v>
      </c>
      <c r="G102">
        <v>56968</v>
      </c>
      <c r="H102">
        <v>105382</v>
      </c>
      <c r="I102">
        <v>105382</v>
      </c>
      <c r="J102">
        <v>105382</v>
      </c>
      <c r="K102">
        <v>204356.3</v>
      </c>
      <c r="L102">
        <v>253831.6</v>
      </c>
      <c r="M102">
        <v>228807.5</v>
      </c>
      <c r="N102" t="str">
        <f>VLOOKUP(A102,'Originales sin dirección'!V:W,2,FALSE)</f>
        <v>Internet Services and Retailing</v>
      </c>
    </row>
    <row r="103" spans="1:14" x14ac:dyDescent="0.3">
      <c r="A103" s="2" t="s">
        <v>280</v>
      </c>
      <c r="B103">
        <v>56968</v>
      </c>
      <c r="N103" t="str">
        <f>VLOOKUP(A103,'Originales sin dirección'!V:W,2,FALSE)</f>
        <v>Internet Services and Retailing</v>
      </c>
    </row>
    <row r="104" spans="1:14" x14ac:dyDescent="0.3">
      <c r="A104" s="2" t="s">
        <v>289</v>
      </c>
      <c r="F104">
        <v>133574.29999999999</v>
      </c>
      <c r="G104">
        <v>130395.5</v>
      </c>
      <c r="H104">
        <v>130355.7</v>
      </c>
      <c r="I104">
        <v>130355.7</v>
      </c>
      <c r="J104">
        <v>130355.7</v>
      </c>
      <c r="K104">
        <v>128561.4</v>
      </c>
      <c r="L104">
        <v>124175.2</v>
      </c>
      <c r="M104">
        <v>116988</v>
      </c>
      <c r="N104" t="str">
        <f>VLOOKUP(A104,'Originales sin dirección'!V:W,2,FALSE)</f>
        <v>Telecommunications</v>
      </c>
    </row>
    <row r="105" spans="1:14" x14ac:dyDescent="0.3">
      <c r="A105" s="2" t="s">
        <v>238</v>
      </c>
      <c r="B105">
        <v>130395.5</v>
      </c>
      <c r="C105">
        <v>171066.7</v>
      </c>
      <c r="D105">
        <v>163768.1</v>
      </c>
      <c r="N105" t="str">
        <f>VLOOKUP(A105,'Originales sin dirección'!V:W,2,FALSE)</f>
        <v>Telecommunications</v>
      </c>
    </row>
    <row r="106" spans="1:14" x14ac:dyDescent="0.3">
      <c r="A106" s="2" t="s">
        <v>145</v>
      </c>
      <c r="F106">
        <v>77372.2</v>
      </c>
      <c r="G106">
        <v>74294.5</v>
      </c>
      <c r="N106" t="str">
        <f>VLOOKUP(A106,'Originales sin dirección'!V:W,2,FALSE)</f>
        <v>Telecommunications</v>
      </c>
    </row>
    <row r="107" spans="1:14" x14ac:dyDescent="0.3">
      <c r="A107" s="2" t="s">
        <v>156</v>
      </c>
      <c r="B107">
        <v>74294.5</v>
      </c>
      <c r="C107">
        <v>102232.9</v>
      </c>
      <c r="D107">
        <v>96749.1</v>
      </c>
      <c r="N107" t="str">
        <f>VLOOKUP(A107,'Originales sin dirección'!V:W,2,FALSE)</f>
        <v>Telecommunications</v>
      </c>
    </row>
    <row r="108" spans="1:14" x14ac:dyDescent="0.3">
      <c r="A108" s="2" t="s">
        <v>305</v>
      </c>
      <c r="F108">
        <v>31077.9</v>
      </c>
      <c r="N108" t="str">
        <f>VLOOKUP(A108,'Originales sin dirección'!V:W,2,FALSE)</f>
        <v>Telecommunications</v>
      </c>
    </row>
    <row r="109" spans="1:14" x14ac:dyDescent="0.3">
      <c r="A109" s="2" t="s">
        <v>217</v>
      </c>
      <c r="C109">
        <v>40505.199999999997</v>
      </c>
      <c r="D109">
        <v>35256.1</v>
      </c>
      <c r="N109" t="str">
        <f>VLOOKUP(A109,'Originales sin dirección'!V:W,2,FALSE)</f>
        <v>Telecommunications</v>
      </c>
    </row>
    <row r="110" spans="1:14" x14ac:dyDescent="0.3">
      <c r="A110" s="2" t="s">
        <v>175</v>
      </c>
      <c r="C110">
        <v>64965.2</v>
      </c>
      <c r="D110">
        <v>60615.9</v>
      </c>
      <c r="N110" t="str">
        <f>VLOOKUP(A110,'Originales sin dirección'!V:W,2,FALSE)</f>
        <v>Electronics, Electrical Equip.</v>
      </c>
    </row>
    <row r="111" spans="1:14" x14ac:dyDescent="0.3">
      <c r="A111" s="2" t="s">
        <v>133</v>
      </c>
      <c r="F111">
        <v>48347.9</v>
      </c>
      <c r="H111">
        <v>38830.300000000003</v>
      </c>
      <c r="I111">
        <v>38830.300000000003</v>
      </c>
      <c r="J111">
        <v>38830.300000000003</v>
      </c>
      <c r="K111">
        <v>31651.3</v>
      </c>
      <c r="L111">
        <v>30759.599999999999</v>
      </c>
      <c r="N111" t="str">
        <f>VLOOKUP(A111,'Originales sin dirección'!V:W,2,FALSE)</f>
        <v>Electronics, Electrical Equip.</v>
      </c>
    </row>
    <row r="112" spans="1:14" x14ac:dyDescent="0.3">
      <c r="A112" s="2" t="s">
        <v>117</v>
      </c>
      <c r="M112">
        <v>32109</v>
      </c>
      <c r="N112" t="str">
        <f>VLOOKUP(A112,'Originales sin dirección'!V:W,2,FALSE)</f>
        <v>Internet Services and Retailing</v>
      </c>
    </row>
    <row r="113" spans="1:14" x14ac:dyDescent="0.3">
      <c r="A113" s="2" t="s">
        <v>229</v>
      </c>
      <c r="C113">
        <v>78451.3</v>
      </c>
      <c r="D113">
        <v>67760.2</v>
      </c>
      <c r="N113" t="str">
        <f>VLOOKUP(A113,'Originales sin dirección'!V:W,2,FALSE)</f>
        <v>Telecommunications</v>
      </c>
    </row>
    <row r="114" spans="1:14" x14ac:dyDescent="0.3">
      <c r="A114" s="2" t="s">
        <v>136</v>
      </c>
      <c r="F114">
        <v>192158.9</v>
      </c>
      <c r="G114">
        <v>165419.70000000001</v>
      </c>
      <c r="H114">
        <v>160391.20000000001</v>
      </c>
      <c r="I114">
        <v>160391.20000000001</v>
      </c>
      <c r="J114">
        <v>160391.20000000001</v>
      </c>
      <c r="K114">
        <v>182044</v>
      </c>
      <c r="L114">
        <v>170749.3</v>
      </c>
      <c r="M114">
        <v>169051.3</v>
      </c>
      <c r="N114" t="str">
        <f>VLOOKUP(A114,'Originales sin dirección'!V:W,2,FALSE)</f>
        <v>Telecommunications</v>
      </c>
    </row>
    <row r="115" spans="1:14" x14ac:dyDescent="0.3">
      <c r="A115" s="2" t="s">
        <v>181</v>
      </c>
      <c r="B115">
        <v>165419.70000000001</v>
      </c>
      <c r="C115">
        <v>216644.1</v>
      </c>
      <c r="D115">
        <v>203095.1</v>
      </c>
      <c r="N115" t="str">
        <f>VLOOKUP(A115,'Originales sin dirección'!V:W,2,FALSE)</f>
        <v>Telecommunications</v>
      </c>
    </row>
    <row r="116" spans="1:14" x14ac:dyDescent="0.3">
      <c r="A116" s="2" t="s">
        <v>74</v>
      </c>
      <c r="F116">
        <v>244640</v>
      </c>
      <c r="G116">
        <v>244180</v>
      </c>
      <c r="H116">
        <v>264829</v>
      </c>
      <c r="I116">
        <v>264829</v>
      </c>
      <c r="J116">
        <v>264829</v>
      </c>
      <c r="K116">
        <v>316481</v>
      </c>
      <c r="L116">
        <v>366596</v>
      </c>
      <c r="M116">
        <v>379680</v>
      </c>
      <c r="N116" t="str">
        <f>VLOOKUP(A116,'Originales sin dirección'!V:W,2,FALSE)</f>
        <v>Telecommunications</v>
      </c>
    </row>
    <row r="117" spans="1:14" x14ac:dyDescent="0.3">
      <c r="A117" s="2" t="s">
        <v>76</v>
      </c>
      <c r="B117">
        <v>244180</v>
      </c>
      <c r="C117">
        <v>225222</v>
      </c>
      <c r="D117">
        <v>274098</v>
      </c>
      <c r="N117" t="str">
        <f>VLOOKUP(A117,'Originales sin dirección'!V:W,2,FALSE)</f>
        <v>Telecommunications</v>
      </c>
    </row>
    <row r="118" spans="1:14" x14ac:dyDescent="0.3">
      <c r="A118" s="2" t="s">
        <v>276</v>
      </c>
      <c r="K118">
        <v>38878.1</v>
      </c>
      <c r="N118" t="str">
        <f>VLOOKUP(A118,'Originales sin dirección'!V:W,2,FALSE)</f>
        <v>Internet Services and Retailing</v>
      </c>
    </row>
    <row r="119" spans="1:14" x14ac:dyDescent="0.3">
      <c r="A119" s="2" t="s">
        <v>139</v>
      </c>
      <c r="H119">
        <v>21152.7</v>
      </c>
      <c r="I119">
        <v>21152.7</v>
      </c>
      <c r="J119">
        <v>21152.7</v>
      </c>
      <c r="L119">
        <v>46109.5</v>
      </c>
      <c r="M119">
        <v>39654.800000000003</v>
      </c>
      <c r="N119" t="str">
        <f>VLOOKUP(A119,'Originales sin dirección'!V:W,2,FALSE)</f>
        <v>Internet Services and Retailing</v>
      </c>
    </row>
    <row r="120" spans="1:14" x14ac:dyDescent="0.3">
      <c r="A120" t="s">
        <v>278</v>
      </c>
      <c r="G120">
        <v>76681.700000000012</v>
      </c>
      <c r="N120" t="s">
        <v>347</v>
      </c>
    </row>
    <row r="121" spans="1:14" x14ac:dyDescent="0.3">
      <c r="A121" t="s">
        <v>282</v>
      </c>
      <c r="B121">
        <v>76681.700000000012</v>
      </c>
      <c r="N121" t="s">
        <v>347</v>
      </c>
    </row>
    <row r="122" spans="1:14" x14ac:dyDescent="0.3">
      <c r="A122" t="s">
        <v>645</v>
      </c>
      <c r="D122">
        <v>25129.9</v>
      </c>
      <c r="N122" t="s">
        <v>347</v>
      </c>
    </row>
    <row r="123" spans="1:14" x14ac:dyDescent="0.3">
      <c r="A123" t="s">
        <v>622</v>
      </c>
      <c r="F123">
        <v>25492.2</v>
      </c>
      <c r="G123">
        <v>29964.400000000001</v>
      </c>
      <c r="H123">
        <v>33901.5</v>
      </c>
      <c r="I123">
        <v>33901.5</v>
      </c>
      <c r="J123">
        <v>33901.5</v>
      </c>
      <c r="K123">
        <v>36411.4</v>
      </c>
      <c r="L123">
        <v>34641.300000000003</v>
      </c>
      <c r="M123">
        <v>31157.3</v>
      </c>
      <c r="N123" t="s">
        <v>347</v>
      </c>
    </row>
    <row r="124" spans="1:14" x14ac:dyDescent="0.3">
      <c r="A124" t="s">
        <v>652</v>
      </c>
      <c r="B124">
        <v>29964.400000000001</v>
      </c>
      <c r="N124" t="s">
        <v>347</v>
      </c>
    </row>
    <row r="125" spans="1:14" x14ac:dyDescent="0.3">
      <c r="A125" t="s">
        <v>604</v>
      </c>
      <c r="F125">
        <v>187015.4</v>
      </c>
      <c r="N125" t="s">
        <v>347</v>
      </c>
    </row>
    <row r="126" spans="1:14" x14ac:dyDescent="0.3">
      <c r="A126" t="s">
        <v>559</v>
      </c>
      <c r="C126">
        <v>173804.6</v>
      </c>
      <c r="D126">
        <v>190643.4</v>
      </c>
      <c r="N126" t="s">
        <v>347</v>
      </c>
    </row>
    <row r="127" spans="1:14" x14ac:dyDescent="0.3">
      <c r="A127" t="s">
        <v>594</v>
      </c>
      <c r="G127">
        <v>198834.6</v>
      </c>
      <c r="H127">
        <v>238864.1</v>
      </c>
      <c r="I127">
        <v>238864.1</v>
      </c>
      <c r="J127">
        <v>238864.1</v>
      </c>
      <c r="K127">
        <v>265146.09999999998</v>
      </c>
      <c r="L127">
        <v>260972.2</v>
      </c>
      <c r="M127">
        <v>263470</v>
      </c>
      <c r="N127" t="s">
        <v>347</v>
      </c>
    </row>
    <row r="128" spans="1:14" x14ac:dyDescent="0.3">
      <c r="A128" t="s">
        <v>609</v>
      </c>
      <c r="B128">
        <v>198834.6</v>
      </c>
      <c r="N128" t="s">
        <v>347</v>
      </c>
    </row>
    <row r="129" spans="1:14" x14ac:dyDescent="0.3">
      <c r="A129" t="s">
        <v>441</v>
      </c>
      <c r="F129">
        <v>31558.400000000001</v>
      </c>
      <c r="G129">
        <v>31900.5</v>
      </c>
      <c r="H129">
        <v>35220.6</v>
      </c>
      <c r="I129">
        <v>35220.6</v>
      </c>
      <c r="J129">
        <v>35220.6</v>
      </c>
      <c r="K129">
        <v>40586.400000000001</v>
      </c>
      <c r="L129">
        <v>39736.699999999997</v>
      </c>
      <c r="M129">
        <v>37612.300000000003</v>
      </c>
      <c r="N129" t="s">
        <v>347</v>
      </c>
    </row>
    <row r="130" spans="1:14" x14ac:dyDescent="0.3">
      <c r="A130" t="s">
        <v>491</v>
      </c>
      <c r="B130">
        <v>31900.5</v>
      </c>
      <c r="C130">
        <v>35156.199999999997</v>
      </c>
      <c r="D130">
        <v>34037.9</v>
      </c>
      <c r="N130" t="s">
        <v>347</v>
      </c>
    </row>
    <row r="131" spans="1:14" x14ac:dyDescent="0.3">
      <c r="A131" t="s">
        <v>614</v>
      </c>
      <c r="L131">
        <v>46564.2</v>
      </c>
      <c r="M131">
        <v>71603.100000000006</v>
      </c>
      <c r="N131" t="s">
        <v>347</v>
      </c>
    </row>
    <row r="132" spans="1:14" x14ac:dyDescent="0.3">
      <c r="A132" t="s">
        <v>419</v>
      </c>
      <c r="F132">
        <v>35666.1</v>
      </c>
      <c r="G132">
        <v>38151.1</v>
      </c>
      <c r="H132">
        <v>46229.1</v>
      </c>
      <c r="I132">
        <v>46229.1</v>
      </c>
      <c r="J132">
        <v>46229.1</v>
      </c>
      <c r="K132">
        <v>48509</v>
      </c>
      <c r="L132">
        <v>40751</v>
      </c>
      <c r="M132">
        <v>40467.800000000003</v>
      </c>
      <c r="N132" t="s">
        <v>347</v>
      </c>
    </row>
    <row r="133" spans="1:14" x14ac:dyDescent="0.3">
      <c r="A133" t="s">
        <v>524</v>
      </c>
      <c r="B133">
        <v>38151.1</v>
      </c>
      <c r="C133">
        <v>36036.800000000003</v>
      </c>
      <c r="D133">
        <v>36953.699999999997</v>
      </c>
      <c r="N133" t="s">
        <v>347</v>
      </c>
    </row>
    <row r="134" spans="1:14" x14ac:dyDescent="0.3">
      <c r="A134" t="s">
        <v>567</v>
      </c>
      <c r="C134">
        <v>214837.5</v>
      </c>
      <c r="N134" t="s">
        <v>347</v>
      </c>
    </row>
    <row r="135" spans="1:14" x14ac:dyDescent="0.3">
      <c r="A135" t="s">
        <v>603</v>
      </c>
      <c r="F135">
        <v>235885.7</v>
      </c>
      <c r="G135">
        <v>256262.39999999999</v>
      </c>
      <c r="N135" t="s">
        <v>347</v>
      </c>
    </row>
    <row r="136" spans="1:14" x14ac:dyDescent="0.3">
      <c r="A136" t="s">
        <v>607</v>
      </c>
      <c r="B136">
        <v>256262.39999999999</v>
      </c>
      <c r="D136">
        <v>232184.1</v>
      </c>
      <c r="N136" t="s">
        <v>347</v>
      </c>
    </row>
    <row r="137" spans="1:14" x14ac:dyDescent="0.3">
      <c r="A137" t="s">
        <v>601</v>
      </c>
      <c r="H137">
        <v>321890.5</v>
      </c>
      <c r="I137">
        <v>321890.5</v>
      </c>
      <c r="J137">
        <v>321890.5</v>
      </c>
      <c r="K137">
        <v>349684.9</v>
      </c>
      <c r="L137">
        <v>295427.8</v>
      </c>
      <c r="N137" t="s">
        <v>347</v>
      </c>
    </row>
    <row r="138" spans="1:14" x14ac:dyDescent="0.3">
      <c r="A138" t="s">
        <v>627</v>
      </c>
      <c r="F138">
        <v>44873.599999999999</v>
      </c>
      <c r="G138">
        <v>46232.5</v>
      </c>
      <c r="H138">
        <v>52339.5</v>
      </c>
      <c r="I138">
        <v>52339.5</v>
      </c>
      <c r="J138">
        <v>52339.5</v>
      </c>
      <c r="K138">
        <v>61190.6</v>
      </c>
      <c r="L138">
        <v>61216.3</v>
      </c>
      <c r="M138">
        <v>55813.3</v>
      </c>
      <c r="N138" t="s">
        <v>347</v>
      </c>
    </row>
    <row r="139" spans="1:14" x14ac:dyDescent="0.3">
      <c r="A139" t="s">
        <v>531</v>
      </c>
      <c r="B139">
        <v>46232.5</v>
      </c>
      <c r="C139">
        <v>42330.8</v>
      </c>
      <c r="D139">
        <v>43143.7</v>
      </c>
      <c r="N139" t="s">
        <v>347</v>
      </c>
    </row>
    <row r="140" spans="1:14" x14ac:dyDescent="0.3">
      <c r="A140" t="s">
        <v>399</v>
      </c>
      <c r="M140">
        <v>68254.899999999994</v>
      </c>
      <c r="N140" t="s">
        <v>347</v>
      </c>
    </row>
    <row r="141" spans="1:14" x14ac:dyDescent="0.3">
      <c r="A141" t="s">
        <v>684</v>
      </c>
      <c r="D141">
        <v>182806.5</v>
      </c>
      <c r="N141" t="s">
        <v>347</v>
      </c>
    </row>
    <row r="142" spans="1:14" x14ac:dyDescent="0.3">
      <c r="A142" t="s">
        <v>368</v>
      </c>
      <c r="F142">
        <v>224925</v>
      </c>
      <c r="G142">
        <v>237951</v>
      </c>
      <c r="H142">
        <v>256540</v>
      </c>
      <c r="I142">
        <v>256540</v>
      </c>
      <c r="J142">
        <v>256540</v>
      </c>
      <c r="K142">
        <v>267261</v>
      </c>
      <c r="L142">
        <v>257035</v>
      </c>
      <c r="M142">
        <v>255884</v>
      </c>
      <c r="N142" t="s">
        <v>347</v>
      </c>
    </row>
    <row r="143" spans="1:14" x14ac:dyDescent="0.3">
      <c r="A143" t="s">
        <v>374</v>
      </c>
      <c r="B143">
        <v>237951</v>
      </c>
      <c r="C143">
        <v>190554</v>
      </c>
      <c r="D143">
        <v>202026</v>
      </c>
      <c r="N143" t="s">
        <v>347</v>
      </c>
    </row>
    <row r="144" spans="1:14" x14ac:dyDescent="0.3">
      <c r="A144" t="s">
        <v>479</v>
      </c>
      <c r="F144">
        <v>23068.3</v>
      </c>
      <c r="G144">
        <v>24794.2</v>
      </c>
      <c r="H144">
        <v>26951.5</v>
      </c>
      <c r="I144">
        <v>26951.5</v>
      </c>
      <c r="J144">
        <v>26951.5</v>
      </c>
      <c r="K144">
        <v>30847.3</v>
      </c>
      <c r="N144" t="s">
        <v>347</v>
      </c>
    </row>
    <row r="145" spans="1:14" x14ac:dyDescent="0.3">
      <c r="A145" t="s">
        <v>489</v>
      </c>
      <c r="B145">
        <v>24794.2</v>
      </c>
      <c r="D145">
        <v>18339</v>
      </c>
      <c r="N145" t="s">
        <v>347</v>
      </c>
    </row>
    <row r="146" spans="1:14" x14ac:dyDescent="0.3">
      <c r="A146" t="s">
        <v>350</v>
      </c>
      <c r="F146">
        <v>194520</v>
      </c>
      <c r="G146">
        <v>221690</v>
      </c>
      <c r="H146">
        <v>227339</v>
      </c>
      <c r="I146">
        <v>227339</v>
      </c>
      <c r="J146">
        <v>227339</v>
      </c>
      <c r="K146">
        <v>235194</v>
      </c>
      <c r="L146">
        <v>244718</v>
      </c>
      <c r="M146">
        <v>264037</v>
      </c>
      <c r="N146" t="s">
        <v>347</v>
      </c>
    </row>
    <row r="147" spans="1:14" x14ac:dyDescent="0.3">
      <c r="A147" t="s">
        <v>355</v>
      </c>
      <c r="B147">
        <v>221690</v>
      </c>
      <c r="C147">
        <v>149422</v>
      </c>
      <c r="D147">
        <v>166344</v>
      </c>
      <c r="N147" t="s">
        <v>347</v>
      </c>
    </row>
    <row r="148" spans="1:14" x14ac:dyDescent="0.3">
      <c r="A148" t="s">
        <v>473</v>
      </c>
      <c r="F148">
        <v>162211.20000000001</v>
      </c>
      <c r="G148">
        <v>170165.4</v>
      </c>
      <c r="H148">
        <v>184504.6</v>
      </c>
      <c r="I148">
        <v>184504.6</v>
      </c>
      <c r="J148">
        <v>184504.6</v>
      </c>
      <c r="K148">
        <v>198201</v>
      </c>
      <c r="L148">
        <v>197456.2</v>
      </c>
      <c r="M148">
        <v>185852.5</v>
      </c>
      <c r="N148" t="s">
        <v>347</v>
      </c>
    </row>
    <row r="149" spans="1:14" x14ac:dyDescent="0.3">
      <c r="A149" t="s">
        <v>493</v>
      </c>
      <c r="B149">
        <v>170165.4</v>
      </c>
      <c r="C149">
        <v>145057</v>
      </c>
      <c r="D149">
        <v>151714.4</v>
      </c>
      <c r="N149" t="s">
        <v>347</v>
      </c>
    </row>
    <row r="150" spans="1:14" x14ac:dyDescent="0.3">
      <c r="A150" t="s">
        <v>660</v>
      </c>
      <c r="F150">
        <v>141062.79999999999</v>
      </c>
      <c r="G150">
        <v>148092</v>
      </c>
      <c r="H150">
        <v>161921.4</v>
      </c>
      <c r="I150">
        <v>161921.4</v>
      </c>
      <c r="J150">
        <v>161921.4</v>
      </c>
      <c r="K150">
        <v>192604.9</v>
      </c>
      <c r="L150">
        <v>196855</v>
      </c>
      <c r="M150">
        <v>203299.4</v>
      </c>
      <c r="N150" t="s">
        <v>347</v>
      </c>
    </row>
    <row r="151" spans="1:14" x14ac:dyDescent="0.3">
      <c r="A151" t="s">
        <v>552</v>
      </c>
      <c r="B151">
        <v>148092</v>
      </c>
      <c r="C151">
        <v>113539</v>
      </c>
      <c r="D151">
        <v>126441.9</v>
      </c>
      <c r="N151" t="s">
        <v>347</v>
      </c>
    </row>
    <row r="152" spans="1:14" x14ac:dyDescent="0.3">
      <c r="A152" t="s">
        <v>382</v>
      </c>
      <c r="F152">
        <v>29673</v>
      </c>
      <c r="N152" t="s">
        <v>347</v>
      </c>
    </row>
    <row r="153" spans="1:14" x14ac:dyDescent="0.3">
      <c r="A153" t="s">
        <v>388</v>
      </c>
      <c r="C153">
        <v>30884</v>
      </c>
      <c r="D153">
        <v>31518</v>
      </c>
      <c r="N153" t="s">
        <v>347</v>
      </c>
    </row>
    <row r="154" spans="1:14" x14ac:dyDescent="0.3">
      <c r="A154" t="s">
        <v>426</v>
      </c>
      <c r="G154">
        <v>71523</v>
      </c>
      <c r="H154">
        <v>86258</v>
      </c>
      <c r="I154">
        <v>86258</v>
      </c>
      <c r="J154">
        <v>86258</v>
      </c>
      <c r="K154">
        <v>93526</v>
      </c>
      <c r="L154">
        <v>91489</v>
      </c>
      <c r="M154">
        <v>89148</v>
      </c>
      <c r="N154" t="s">
        <v>347</v>
      </c>
    </row>
    <row r="155" spans="1:14" x14ac:dyDescent="0.3">
      <c r="A155" t="s">
        <v>617</v>
      </c>
      <c r="B155">
        <v>71523</v>
      </c>
      <c r="N155" t="s">
        <v>347</v>
      </c>
    </row>
    <row r="156" spans="1:14" x14ac:dyDescent="0.3">
      <c r="A156" t="s">
        <v>597</v>
      </c>
      <c r="M156">
        <v>277436</v>
      </c>
      <c r="N156" t="s">
        <v>347</v>
      </c>
    </row>
    <row r="157" spans="1:14" x14ac:dyDescent="0.3">
      <c r="A157" t="s">
        <v>655</v>
      </c>
      <c r="F157">
        <v>19706</v>
      </c>
      <c r="G157">
        <v>22566</v>
      </c>
      <c r="H157">
        <v>25945</v>
      </c>
      <c r="I157">
        <v>25945</v>
      </c>
      <c r="J157">
        <v>25945</v>
      </c>
      <c r="K157">
        <v>28605</v>
      </c>
      <c r="L157">
        <v>29086</v>
      </c>
      <c r="M157">
        <v>27789</v>
      </c>
      <c r="N157" t="s">
        <v>347</v>
      </c>
    </row>
    <row r="158" spans="1:14" x14ac:dyDescent="0.3">
      <c r="A158" t="s">
        <v>511</v>
      </c>
      <c r="B158">
        <v>22566</v>
      </c>
      <c r="C158">
        <v>17109</v>
      </c>
      <c r="D158">
        <v>17990</v>
      </c>
      <c r="N158" t="s">
        <v>347</v>
      </c>
    </row>
    <row r="159" spans="1:14" x14ac:dyDescent="0.3">
      <c r="A159" t="s">
        <v>503</v>
      </c>
      <c r="C159">
        <v>28449.4</v>
      </c>
      <c r="N159" t="s">
        <v>347</v>
      </c>
    </row>
    <row r="160" spans="1:14" x14ac:dyDescent="0.3">
      <c r="A160" t="s">
        <v>581</v>
      </c>
      <c r="F160">
        <v>25952.6</v>
      </c>
      <c r="G160">
        <v>26705.3</v>
      </c>
      <c r="H160">
        <v>33659.1</v>
      </c>
      <c r="I160">
        <v>33659.1</v>
      </c>
      <c r="J160">
        <v>33659.1</v>
      </c>
      <c r="N160" t="s">
        <v>347</v>
      </c>
    </row>
    <row r="161" spans="1:14" x14ac:dyDescent="0.3">
      <c r="A161" t="s">
        <v>589</v>
      </c>
      <c r="B161">
        <v>26705.3</v>
      </c>
      <c r="D161">
        <v>28495.7</v>
      </c>
      <c r="N161" t="s">
        <v>347</v>
      </c>
    </row>
    <row r="162" spans="1:14" x14ac:dyDescent="0.3">
      <c r="A162" t="s">
        <v>639</v>
      </c>
      <c r="F162">
        <v>22676.6</v>
      </c>
      <c r="G162">
        <v>22660</v>
      </c>
      <c r="H162">
        <v>25942.2</v>
      </c>
      <c r="I162">
        <v>25942.2</v>
      </c>
      <c r="J162">
        <v>25942.2</v>
      </c>
      <c r="K162">
        <v>26378.1</v>
      </c>
      <c r="N162" t="s">
        <v>347</v>
      </c>
    </row>
    <row r="163" spans="1:14" x14ac:dyDescent="0.3">
      <c r="A163" t="s">
        <v>465</v>
      </c>
      <c r="B163">
        <v>22660</v>
      </c>
      <c r="C163">
        <v>21048.6</v>
      </c>
      <c r="D163">
        <v>21812.5</v>
      </c>
      <c r="N163" t="s">
        <v>347</v>
      </c>
    </row>
    <row r="164" spans="1:14" x14ac:dyDescent="0.3">
      <c r="A164" t="s">
        <v>434</v>
      </c>
      <c r="F164">
        <v>154597.29999999999</v>
      </c>
      <c r="G164">
        <v>165344.29999999999</v>
      </c>
      <c r="H164">
        <v>171251</v>
      </c>
      <c r="I164">
        <v>171251</v>
      </c>
      <c r="J164">
        <v>171251</v>
      </c>
      <c r="K164">
        <v>148752.9</v>
      </c>
      <c r="L164">
        <v>134844.6</v>
      </c>
      <c r="M164">
        <v>132579.29999999999</v>
      </c>
      <c r="N164" t="s">
        <v>347</v>
      </c>
    </row>
    <row r="165" spans="1:14" x14ac:dyDescent="0.3">
      <c r="A165" t="s">
        <v>562</v>
      </c>
      <c r="B165">
        <v>165344.29999999999</v>
      </c>
      <c r="C165">
        <v>136225.20000000001</v>
      </c>
      <c r="D165">
        <v>142793.1</v>
      </c>
      <c r="N165" t="s">
        <v>347</v>
      </c>
    </row>
    <row r="166" spans="1:14" x14ac:dyDescent="0.3">
      <c r="A166" t="s">
        <v>545</v>
      </c>
      <c r="C166">
        <v>85483.9</v>
      </c>
      <c r="N166" t="s">
        <v>347</v>
      </c>
    </row>
    <row r="167" spans="1:14" x14ac:dyDescent="0.3">
      <c r="A167" t="s">
        <v>456</v>
      </c>
      <c r="F167">
        <v>53343.3</v>
      </c>
      <c r="G167">
        <v>47619.7</v>
      </c>
      <c r="H167">
        <v>70811.100000000006</v>
      </c>
      <c r="I167">
        <v>70811.100000000006</v>
      </c>
      <c r="J167">
        <v>70811.100000000006</v>
      </c>
      <c r="N167" t="s">
        <v>347</v>
      </c>
    </row>
    <row r="168" spans="1:14" x14ac:dyDescent="0.3">
      <c r="A168" t="s">
        <v>459</v>
      </c>
      <c r="B168">
        <v>47619.7</v>
      </c>
      <c r="D168">
        <v>82205.100000000006</v>
      </c>
      <c r="N168" t="s">
        <v>347</v>
      </c>
    </row>
    <row r="169" spans="1:14" x14ac:dyDescent="0.3">
      <c r="A169" t="s">
        <v>413</v>
      </c>
      <c r="F169">
        <v>98415.1</v>
      </c>
      <c r="G169">
        <v>107680.9</v>
      </c>
      <c r="H169">
        <v>131440.4</v>
      </c>
      <c r="I169">
        <v>131440.4</v>
      </c>
      <c r="J169">
        <v>131440.4</v>
      </c>
      <c r="K169">
        <v>141638.9</v>
      </c>
      <c r="L169">
        <v>129322.4</v>
      </c>
      <c r="M169">
        <v>126246.39999999999</v>
      </c>
      <c r="N169" t="s">
        <v>347</v>
      </c>
    </row>
    <row r="170" spans="1:14" x14ac:dyDescent="0.3">
      <c r="A170" t="s">
        <v>590</v>
      </c>
      <c r="B170">
        <v>107680.9</v>
      </c>
      <c r="N170" t="s">
        <v>347</v>
      </c>
    </row>
    <row r="171" spans="1:14" x14ac:dyDescent="0.3">
      <c r="A171" t="s">
        <v>542</v>
      </c>
      <c r="C171">
        <v>99410.7</v>
      </c>
      <c r="D171">
        <v>103324</v>
      </c>
      <c r="N171" t="s">
        <v>347</v>
      </c>
    </row>
    <row r="172" spans="1:14" x14ac:dyDescent="0.3">
      <c r="A172" t="s">
        <v>636</v>
      </c>
      <c r="F172">
        <v>24406.9</v>
      </c>
      <c r="G172">
        <v>26062.1</v>
      </c>
      <c r="H172">
        <v>27588.9</v>
      </c>
      <c r="I172">
        <v>27588.9</v>
      </c>
      <c r="J172">
        <v>27588.9</v>
      </c>
      <c r="K172">
        <v>30577.9</v>
      </c>
      <c r="L172">
        <v>31359.8</v>
      </c>
      <c r="N172" t="s">
        <v>347</v>
      </c>
    </row>
    <row r="173" spans="1:14" x14ac:dyDescent="0.3">
      <c r="A173" t="s">
        <v>214</v>
      </c>
      <c r="B173">
        <v>26062.1</v>
      </c>
      <c r="N173" t="s">
        <v>347</v>
      </c>
    </row>
    <row r="174" spans="1:14" x14ac:dyDescent="0.3">
      <c r="A174" t="s">
        <v>666</v>
      </c>
      <c r="L174">
        <v>195297.9</v>
      </c>
      <c r="M174">
        <v>198628.5</v>
      </c>
      <c r="N174" t="s">
        <v>347</v>
      </c>
    </row>
    <row r="175" spans="1:14" x14ac:dyDescent="0.3">
      <c r="A175" t="s">
        <v>518</v>
      </c>
      <c r="C175">
        <v>26464.2</v>
      </c>
      <c r="N175" t="s">
        <v>347</v>
      </c>
    </row>
    <row r="176" spans="1:14" x14ac:dyDescent="0.3">
      <c r="A176" t="s">
        <v>625</v>
      </c>
      <c r="F176">
        <v>24043.5</v>
      </c>
      <c r="G176">
        <v>27968.6</v>
      </c>
      <c r="H176">
        <v>30739.8</v>
      </c>
      <c r="I176">
        <v>30739.8</v>
      </c>
      <c r="J176">
        <v>30739.8</v>
      </c>
      <c r="K176">
        <v>36495.1</v>
      </c>
      <c r="L176">
        <v>34224.1</v>
      </c>
      <c r="M176">
        <v>34486.300000000003</v>
      </c>
      <c r="N176" t="s">
        <v>347</v>
      </c>
    </row>
    <row r="177" spans="1:14" x14ac:dyDescent="0.3">
      <c r="A177" t="s">
        <v>647</v>
      </c>
      <c r="B177">
        <v>27968.6</v>
      </c>
      <c r="D177">
        <v>27911.8</v>
      </c>
      <c r="N177" t="s">
        <v>347</v>
      </c>
    </row>
    <row r="178" spans="1:14" x14ac:dyDescent="0.3">
      <c r="A178" t="s">
        <v>630</v>
      </c>
      <c r="F178">
        <v>422028.79999999999</v>
      </c>
      <c r="G178">
        <v>437574.6</v>
      </c>
      <c r="H178">
        <v>469295.6</v>
      </c>
      <c r="I178">
        <v>469295.6</v>
      </c>
      <c r="J178">
        <v>469295.6</v>
      </c>
      <c r="K178">
        <v>562994</v>
      </c>
      <c r="L178">
        <v>557522.19999999995</v>
      </c>
      <c r="M178">
        <v>559764.80000000005</v>
      </c>
      <c r="N178" t="s">
        <v>347</v>
      </c>
    </row>
    <row r="179" spans="1:14" x14ac:dyDescent="0.3">
      <c r="A179" t="s">
        <v>577</v>
      </c>
      <c r="B179">
        <v>437574.6</v>
      </c>
      <c r="C179">
        <v>377482.1</v>
      </c>
      <c r="D179">
        <v>402422.8</v>
      </c>
      <c r="N179" t="s">
        <v>347</v>
      </c>
    </row>
    <row r="180" spans="1:14" x14ac:dyDescent="0.3">
      <c r="A180" t="s">
        <v>362</v>
      </c>
      <c r="K180">
        <v>52148</v>
      </c>
      <c r="L180">
        <v>62131</v>
      </c>
      <c r="M180">
        <v>82338</v>
      </c>
      <c r="N180" t="s">
        <v>347</v>
      </c>
    </row>
    <row r="181" spans="1:14" x14ac:dyDescent="0.3">
      <c r="A181" t="s">
        <v>406</v>
      </c>
      <c r="F181">
        <v>40668.6</v>
      </c>
      <c r="G181">
        <v>42161.5</v>
      </c>
      <c r="H181">
        <v>44349</v>
      </c>
      <c r="I181">
        <v>44349</v>
      </c>
      <c r="J181">
        <v>44349</v>
      </c>
      <c r="K181">
        <v>46915.5</v>
      </c>
      <c r="L181">
        <v>43575.4</v>
      </c>
      <c r="N181" t="s">
        <v>347</v>
      </c>
    </row>
    <row r="182" spans="1:14" x14ac:dyDescent="0.3">
      <c r="A182" t="s">
        <v>521</v>
      </c>
      <c r="B182">
        <v>42161.5</v>
      </c>
      <c r="C182">
        <v>31286.5</v>
      </c>
      <c r="D182">
        <v>36841.4</v>
      </c>
      <c r="N182" t="s">
        <v>347</v>
      </c>
    </row>
    <row r="183" spans="1:14" x14ac:dyDescent="0.3">
      <c r="A183" t="s">
        <v>450</v>
      </c>
      <c r="F183">
        <v>414857.7</v>
      </c>
      <c r="G183">
        <v>432115.6</v>
      </c>
      <c r="N183" t="s">
        <v>347</v>
      </c>
    </row>
    <row r="184" spans="1:14" x14ac:dyDescent="0.3">
      <c r="A184" t="s">
        <v>468</v>
      </c>
      <c r="B184">
        <v>432115.6</v>
      </c>
      <c r="C184">
        <v>408172.5</v>
      </c>
      <c r="D184">
        <v>446866</v>
      </c>
      <c r="N184" t="s">
        <v>347</v>
      </c>
    </row>
    <row r="185" spans="1:14" x14ac:dyDescent="0.3">
      <c r="A185" t="s">
        <v>658</v>
      </c>
      <c r="F185">
        <v>44394.400000000001</v>
      </c>
      <c r="G185">
        <v>43924.3</v>
      </c>
      <c r="H185">
        <v>53558.6</v>
      </c>
      <c r="I185">
        <v>53558.6</v>
      </c>
      <c r="J185">
        <v>53558.6</v>
      </c>
      <c r="K185">
        <v>62266.400000000001</v>
      </c>
      <c r="L185">
        <v>56991.8</v>
      </c>
      <c r="M185">
        <v>60368.5</v>
      </c>
      <c r="N185" t="s">
        <v>347</v>
      </c>
    </row>
    <row r="186" spans="1:14" x14ac:dyDescent="0.3">
      <c r="A186" t="s">
        <v>688</v>
      </c>
      <c r="B186">
        <v>43924.3</v>
      </c>
      <c r="N186" t="s">
        <v>347</v>
      </c>
    </row>
    <row r="187" spans="1:14" x14ac:dyDescent="0.3">
      <c r="A187" t="s">
        <v>539</v>
      </c>
      <c r="C187">
        <v>52087.7</v>
      </c>
      <c r="D187">
        <v>53710.9</v>
      </c>
      <c r="N187" t="s">
        <v>347</v>
      </c>
    </row>
    <row r="188" spans="1:14" x14ac:dyDescent="0.3">
      <c r="A188" t="s">
        <v>599</v>
      </c>
      <c r="H188">
        <v>523672.3</v>
      </c>
      <c r="I188">
        <v>523672.3</v>
      </c>
      <c r="J188">
        <v>523672.3</v>
      </c>
      <c r="K188">
        <v>608368.1</v>
      </c>
      <c r="L188">
        <v>601028.4</v>
      </c>
      <c r="M188">
        <v>602611.69999999995</v>
      </c>
      <c r="N188" t="s">
        <v>347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780CB-501E-429D-B841-E16301BE1FF5}">
  <dimension ref="A1:N188"/>
  <sheetViews>
    <sheetView topLeftCell="A108" workbookViewId="0">
      <selection activeCell="N120" sqref="N120:N188"/>
    </sheetView>
  </sheetViews>
  <sheetFormatPr baseColWidth="10" defaultRowHeight="14.4" x14ac:dyDescent="0.3"/>
  <sheetData>
    <row r="1" spans="1:14" x14ac:dyDescent="0.3">
      <c r="A1" s="3"/>
      <c r="B1" s="3">
        <v>2011</v>
      </c>
      <c r="C1" s="3">
        <v>2012</v>
      </c>
      <c r="D1" s="3">
        <v>2013</v>
      </c>
      <c r="E1" s="3">
        <v>2014</v>
      </c>
      <c r="F1" s="3">
        <v>2015</v>
      </c>
      <c r="G1" s="3">
        <v>2016</v>
      </c>
      <c r="H1" s="3">
        <v>2017</v>
      </c>
      <c r="I1" s="3">
        <v>2018</v>
      </c>
      <c r="J1" s="3">
        <v>2019</v>
      </c>
      <c r="K1" s="3">
        <v>2020</v>
      </c>
      <c r="L1" s="3">
        <v>2021</v>
      </c>
      <c r="M1" s="3">
        <v>2022</v>
      </c>
    </row>
    <row r="2" spans="1:14" x14ac:dyDescent="0.3">
      <c r="A2" s="2" t="s">
        <v>298</v>
      </c>
      <c r="G2">
        <v>-28</v>
      </c>
      <c r="N2" t="str">
        <f>VLOOKUP(A2,'Originales sin dirección'!V:W,2,FALSE)</f>
        <v>Computers, Office Equipment</v>
      </c>
    </row>
    <row r="3" spans="1:14" x14ac:dyDescent="0.3">
      <c r="A3" s="2" t="s">
        <v>278</v>
      </c>
      <c r="F3">
        <v>-71</v>
      </c>
      <c r="G3">
        <v>-46.899999999999991</v>
      </c>
      <c r="H3">
        <v>9.1</v>
      </c>
      <c r="I3">
        <v>9.1</v>
      </c>
      <c r="J3">
        <v>9.1</v>
      </c>
      <c r="N3" t="str">
        <f>VLOOKUP(A3,'Originales sin dirección'!V:W,2,FALSE)</f>
        <v>Computers, Office Equipment</v>
      </c>
    </row>
    <row r="4" spans="1:14" x14ac:dyDescent="0.3">
      <c r="A4" s="2" t="s">
        <v>282</v>
      </c>
      <c r="B4">
        <v>-46.899999999999991</v>
      </c>
      <c r="N4" t="str">
        <f>VLOOKUP(A4,'Originales sin dirección'!V:W,2,FALSE)</f>
        <v>Internet Services and Retailing</v>
      </c>
    </row>
    <row r="5" spans="1:14" x14ac:dyDescent="0.3">
      <c r="A5" s="2" t="s">
        <v>307</v>
      </c>
      <c r="B5">
        <v>-28</v>
      </c>
      <c r="N5" t="str">
        <f>VLOOKUP(A5,'Originales sin dirección'!V:W,2,FALSE)</f>
        <v>Telecommunications</v>
      </c>
    </row>
    <row r="6" spans="1:14" x14ac:dyDescent="0.3">
      <c r="A6" s="2" t="s">
        <v>81</v>
      </c>
      <c r="F6">
        <v>35.1</v>
      </c>
      <c r="G6">
        <v>-14.4</v>
      </c>
      <c r="H6">
        <v>23.1</v>
      </c>
      <c r="I6">
        <v>23.1</v>
      </c>
      <c r="J6">
        <v>23.1</v>
      </c>
      <c r="K6">
        <v>3.9</v>
      </c>
      <c r="L6">
        <v>64.900000000000006</v>
      </c>
      <c r="M6">
        <v>5.4</v>
      </c>
      <c r="N6" t="str">
        <f>VLOOKUP(A6,'Originales sin dirección'!V:W,2,FALSE)</f>
        <v>Computers, Office Equipment</v>
      </c>
    </row>
    <row r="7" spans="1:14" x14ac:dyDescent="0.3">
      <c r="A7" s="2" t="s">
        <v>87</v>
      </c>
      <c r="B7">
        <v>-14.4</v>
      </c>
      <c r="C7">
        <v>61</v>
      </c>
      <c r="D7">
        <v>-11.3</v>
      </c>
      <c r="N7" t="str">
        <f>VLOOKUP(A7,'Originales sin dirección'!V:W,2,FALSE)</f>
        <v>Computers, Office Equipment</v>
      </c>
    </row>
    <row r="8" spans="1:14" x14ac:dyDescent="0.3">
      <c r="A8" s="2" t="s">
        <v>148</v>
      </c>
      <c r="G8">
        <v>0</v>
      </c>
      <c r="N8" t="str">
        <f>VLOOKUP(A8,'Originales sin dirección'!V:W,2,FALSE)</f>
        <v>Telecommunications</v>
      </c>
    </row>
    <row r="9" spans="1:14" x14ac:dyDescent="0.3">
      <c r="A9" s="2" t="s">
        <v>178</v>
      </c>
      <c r="B9">
        <v>0</v>
      </c>
      <c r="N9" t="str">
        <f>VLOOKUP(A9,'Originales sin dirección'!V:W,2,FALSE)</f>
        <v>Telecommunications</v>
      </c>
    </row>
    <row r="10" spans="1:14" x14ac:dyDescent="0.3">
      <c r="A10" s="2" t="s">
        <v>290</v>
      </c>
      <c r="F10">
        <v>-36.299999999999997</v>
      </c>
      <c r="G10">
        <v>-79</v>
      </c>
      <c r="H10">
        <v>76.3</v>
      </c>
      <c r="I10">
        <v>76.3</v>
      </c>
      <c r="J10">
        <v>76.3</v>
      </c>
      <c r="K10">
        <v>-38</v>
      </c>
      <c r="L10">
        <v>335.2</v>
      </c>
      <c r="M10">
        <v>-60.1</v>
      </c>
      <c r="N10" t="str">
        <f>VLOOKUP(A10,'Originales sin dirección'!V:W,2,FALSE)</f>
        <v>Telecommunications</v>
      </c>
    </row>
    <row r="11" spans="1:14" x14ac:dyDescent="0.3">
      <c r="A11" s="2" t="s">
        <v>235</v>
      </c>
      <c r="B11">
        <v>-79</v>
      </c>
      <c r="C11">
        <v>4.3</v>
      </c>
      <c r="D11">
        <v>-15.9</v>
      </c>
      <c r="N11" t="str">
        <f>VLOOKUP(A11,'Originales sin dirección'!V:W,2,FALSE)</f>
        <v>Telecommunications</v>
      </c>
    </row>
    <row r="12" spans="1:14" x14ac:dyDescent="0.3">
      <c r="A12" s="2" t="s">
        <v>65</v>
      </c>
      <c r="F12">
        <v>0</v>
      </c>
      <c r="G12">
        <v>297.8</v>
      </c>
      <c r="H12">
        <v>232.1</v>
      </c>
      <c r="I12">
        <v>232.1</v>
      </c>
      <c r="J12">
        <v>232.1</v>
      </c>
      <c r="K12">
        <v>84.1</v>
      </c>
      <c r="L12">
        <v>56.4</v>
      </c>
      <c r="M12">
        <v>-108.2</v>
      </c>
      <c r="N12" t="str">
        <f>VLOOKUP(A12,'Originales sin dirección'!V:W,2,FALSE)</f>
        <v>Internet Services and Retailing</v>
      </c>
    </row>
    <row r="13" spans="1:14" x14ac:dyDescent="0.3">
      <c r="A13" s="2" t="s">
        <v>67</v>
      </c>
      <c r="B13">
        <v>297.8</v>
      </c>
      <c r="C13">
        <v>-106.2</v>
      </c>
      <c r="D13">
        <v>0</v>
      </c>
      <c r="N13" t="str">
        <f>VLOOKUP(A13,'Originales sin dirección'!V:W,2,FALSE)</f>
        <v>Internet Services and Retailing</v>
      </c>
    </row>
    <row r="14" spans="1:14" x14ac:dyDescent="0.3">
      <c r="A14" s="2" t="s">
        <v>272</v>
      </c>
      <c r="G14">
        <v>-42.2</v>
      </c>
      <c r="H14">
        <v>35.4</v>
      </c>
      <c r="I14">
        <v>35.4</v>
      </c>
      <c r="J14">
        <v>35.4</v>
      </c>
      <c r="K14">
        <v>3.6</v>
      </c>
      <c r="L14">
        <v>-56.4</v>
      </c>
      <c r="M14">
        <v>9.5</v>
      </c>
      <c r="N14" t="str">
        <f>VLOOKUP(A14,'Originales sin dirección'!V:W,2,FALSE)</f>
        <v>Internet Services and Retailing</v>
      </c>
    </row>
    <row r="15" spans="1:14" x14ac:dyDescent="0.3">
      <c r="A15" s="2" t="s">
        <v>281</v>
      </c>
      <c r="B15">
        <v>-42.2</v>
      </c>
      <c r="N15" t="str">
        <f>VLOOKUP(A15,'Originales sin dirección'!V:W,2,FALSE)</f>
        <v>Internet Services and Retailing</v>
      </c>
    </row>
    <row r="16" spans="1:14" x14ac:dyDescent="0.3">
      <c r="A16" s="2" t="s">
        <v>261</v>
      </c>
      <c r="F16">
        <v>13.4</v>
      </c>
      <c r="G16">
        <v>-36.200000000000003</v>
      </c>
      <c r="H16">
        <v>5.2</v>
      </c>
      <c r="I16">
        <v>5.2</v>
      </c>
      <c r="J16">
        <v>5.2</v>
      </c>
      <c r="N16" t="str">
        <f>VLOOKUP(A16,'Originales sin dirección'!V:W,2,FALSE)</f>
        <v>Telecommunications</v>
      </c>
    </row>
    <row r="17" spans="1:14" x14ac:dyDescent="0.3">
      <c r="A17" s="2" t="s">
        <v>220</v>
      </c>
      <c r="B17">
        <v>-36.200000000000003</v>
      </c>
      <c r="C17">
        <v>3.4</v>
      </c>
      <c r="D17">
        <v>-2.9</v>
      </c>
      <c r="N17" t="str">
        <f>VLOOKUP(A17,'Originales sin dirección'!V:W,2,FALSE)</f>
        <v>Telecommunications</v>
      </c>
    </row>
    <row r="18" spans="1:14" x14ac:dyDescent="0.3">
      <c r="A18" s="2" t="s">
        <v>259</v>
      </c>
      <c r="K18">
        <v>-12.7</v>
      </c>
      <c r="N18" t="str">
        <f>VLOOKUP(A18,'Originales sin dirección'!V:W,2,FALSE)</f>
        <v>Telecommunications</v>
      </c>
    </row>
    <row r="19" spans="1:14" x14ac:dyDescent="0.3">
      <c r="A19" s="2" t="s">
        <v>196</v>
      </c>
      <c r="F19">
        <v>-24.4</v>
      </c>
      <c r="G19">
        <v>-23.9</v>
      </c>
      <c r="H19">
        <v>6.1</v>
      </c>
      <c r="I19">
        <v>6.1</v>
      </c>
      <c r="J19">
        <v>6.1</v>
      </c>
      <c r="K19">
        <v>-32</v>
      </c>
      <c r="L19">
        <v>150.69999999999999</v>
      </c>
      <c r="N19" t="str">
        <f>VLOOKUP(A19,'Originales sin dirección'!V:W,2,FALSE)</f>
        <v>Computers, Office Equipment</v>
      </c>
    </row>
    <row r="20" spans="1:14" x14ac:dyDescent="0.3">
      <c r="A20" s="2" t="s">
        <v>203</v>
      </c>
      <c r="B20">
        <v>-23.9</v>
      </c>
      <c r="C20">
        <v>-9.8000000000000007</v>
      </c>
      <c r="D20">
        <v>-16</v>
      </c>
      <c r="N20" t="str">
        <f>VLOOKUP(A20,'Originales sin dirección'!V:W,2,FALSE)</f>
        <v>Computers, Office Equipment</v>
      </c>
    </row>
    <row r="21" spans="1:14" x14ac:dyDescent="0.3">
      <c r="A21" s="2" t="s">
        <v>45</v>
      </c>
      <c r="G21">
        <v>0</v>
      </c>
      <c r="H21">
        <v>-87.6</v>
      </c>
      <c r="I21">
        <v>-87.6</v>
      </c>
      <c r="J21">
        <v>-87.6</v>
      </c>
      <c r="K21">
        <v>93.2</v>
      </c>
      <c r="L21">
        <v>44.4</v>
      </c>
      <c r="M21">
        <v>8.6</v>
      </c>
      <c r="N21" t="str">
        <f>VLOOKUP(A21,'Originales sin dirección'!V:W,2,FALSE)</f>
        <v>Telecommunications</v>
      </c>
    </row>
    <row r="22" spans="1:14" x14ac:dyDescent="0.3">
      <c r="A22" s="2" t="s">
        <v>122</v>
      </c>
      <c r="B22">
        <v>0</v>
      </c>
      <c r="N22" t="str">
        <f>VLOOKUP(A22,'Originales sin dirección'!V:W,2,FALSE)</f>
        <v>Telecommunications</v>
      </c>
    </row>
    <row r="23" spans="1:14" x14ac:dyDescent="0.3">
      <c r="A23" s="2" t="s">
        <v>69</v>
      </c>
      <c r="C23">
        <v>49.1</v>
      </c>
      <c r="N23" t="str">
        <f>VLOOKUP(A23,'Originales sin dirección'!V:W,2,FALSE)</f>
        <v>Telecommunications</v>
      </c>
    </row>
    <row r="24" spans="1:14" x14ac:dyDescent="0.3">
      <c r="A24" s="2" t="s">
        <v>93</v>
      </c>
      <c r="F24">
        <v>-2.6</v>
      </c>
      <c r="G24">
        <v>6.5</v>
      </c>
      <c r="H24">
        <v>-48.4</v>
      </c>
      <c r="I24">
        <v>-48.4</v>
      </c>
      <c r="J24">
        <v>-48.4</v>
      </c>
      <c r="K24">
        <v>-19.3</v>
      </c>
      <c r="L24">
        <v>34.4</v>
      </c>
      <c r="M24">
        <v>-62.1</v>
      </c>
      <c r="N24" t="str">
        <f>VLOOKUP(A24,'Originales sin dirección'!V:W,2,FALSE)</f>
        <v>Telecommunications</v>
      </c>
    </row>
    <row r="25" spans="1:14" x14ac:dyDescent="0.3">
      <c r="A25" s="2" t="s">
        <v>110</v>
      </c>
      <c r="B25">
        <v>6.5</v>
      </c>
      <c r="D25">
        <v>9.9</v>
      </c>
      <c r="N25" t="str">
        <f>VLOOKUP(A25,'Originales sin dirección'!V:W,2,FALSE)</f>
        <v>Telecommunications</v>
      </c>
    </row>
    <row r="26" spans="1:14" x14ac:dyDescent="0.3">
      <c r="A26" s="2" t="s">
        <v>56</v>
      </c>
      <c r="M26">
        <v>-85.6</v>
      </c>
      <c r="N26" t="str">
        <f>VLOOKUP(A26,'Originales sin dirección'!V:W,2,FALSE)</f>
        <v>Computer Software</v>
      </c>
    </row>
    <row r="27" spans="1:14" x14ac:dyDescent="0.3">
      <c r="A27" s="2" t="s">
        <v>31</v>
      </c>
      <c r="H27">
        <v>0</v>
      </c>
      <c r="I27">
        <v>0</v>
      </c>
      <c r="J27">
        <v>0</v>
      </c>
      <c r="K27">
        <v>-29.6</v>
      </c>
      <c r="L27">
        <v>71.2</v>
      </c>
      <c r="M27">
        <v>-56.1</v>
      </c>
      <c r="N27" t="str">
        <f>VLOOKUP(A27,'Originales sin dirección'!V:W,2,FALSE)</f>
        <v>Computers, Office Equipment</v>
      </c>
    </row>
    <row r="28" spans="1:14" x14ac:dyDescent="0.3">
      <c r="A28" s="2" t="s">
        <v>114</v>
      </c>
      <c r="C28">
        <v>-32.1</v>
      </c>
      <c r="N28" t="str">
        <f>VLOOKUP(A28,'Originales sin dirección'!V:W,2,FALSE)</f>
        <v>Computers, Office Equipment</v>
      </c>
    </row>
    <row r="29" spans="1:14" x14ac:dyDescent="0.3">
      <c r="A29" s="2" t="s">
        <v>256</v>
      </c>
      <c r="F29">
        <v>-6.9</v>
      </c>
      <c r="G29">
        <v>-18</v>
      </c>
      <c r="H29">
        <v>-34.5</v>
      </c>
      <c r="I29">
        <v>-34.5</v>
      </c>
      <c r="J29">
        <v>-34.5</v>
      </c>
      <c r="K29">
        <v>9.5</v>
      </c>
      <c r="L29">
        <v>4.2</v>
      </c>
      <c r="M29">
        <v>70.400000000000006</v>
      </c>
      <c r="N29" t="str">
        <f>VLOOKUP(A29,'Originales sin dirección'!V:W,2,FALSE)</f>
        <v>Telecommunications</v>
      </c>
    </row>
    <row r="30" spans="1:14" x14ac:dyDescent="0.3">
      <c r="A30" s="2" t="s">
        <v>164</v>
      </c>
      <c r="B30">
        <v>-18</v>
      </c>
      <c r="C30">
        <v>-972</v>
      </c>
      <c r="D30">
        <v>0</v>
      </c>
      <c r="N30" t="str">
        <f>VLOOKUP(A30,'Originales sin dirección'!V:W,2,FALSE)</f>
        <v>Telecommunications</v>
      </c>
    </row>
    <row r="31" spans="1:14" x14ac:dyDescent="0.3">
      <c r="A31" s="2" t="s">
        <v>51</v>
      </c>
      <c r="C31">
        <v>13</v>
      </c>
      <c r="D31">
        <v>-3.1</v>
      </c>
      <c r="N31" t="str">
        <f>VLOOKUP(A31,'Originales sin dirección'!V:W,2,FALSE)</f>
        <v>Telecommunications</v>
      </c>
    </row>
    <row r="32" spans="1:14" x14ac:dyDescent="0.3">
      <c r="A32" s="2" t="s">
        <v>106</v>
      </c>
      <c r="F32">
        <v>-26.7</v>
      </c>
      <c r="N32" t="str">
        <f>VLOOKUP(A32,'Originales sin dirección'!V:W,2,FALSE)</f>
        <v>Computers, Office Equipment</v>
      </c>
    </row>
    <row r="33" spans="1:14" x14ac:dyDescent="0.3">
      <c r="A33" s="2" t="s">
        <v>104</v>
      </c>
      <c r="F33">
        <v>26.2</v>
      </c>
      <c r="N33" t="str">
        <f>VLOOKUP(A33,'Originales sin dirección'!V:W,2,FALSE)</f>
        <v>Electronics, Electrical Equip.</v>
      </c>
    </row>
    <row r="34" spans="1:14" x14ac:dyDescent="0.3">
      <c r="A34" s="2" t="s">
        <v>108</v>
      </c>
      <c r="C34">
        <v>-20.6</v>
      </c>
      <c r="D34">
        <v>1.8</v>
      </c>
      <c r="N34" t="str">
        <f>VLOOKUP(A34,'Originales sin dirección'!V:W,2,FALSE)</f>
        <v>Electronics, Electrical Equip.</v>
      </c>
    </row>
    <row r="35" spans="1:14" x14ac:dyDescent="0.3">
      <c r="A35" s="2" t="s">
        <v>41</v>
      </c>
      <c r="G35">
        <v>177</v>
      </c>
      <c r="H35">
        <v>38.799999999999997</v>
      </c>
      <c r="I35">
        <v>38.799999999999997</v>
      </c>
      <c r="J35">
        <v>38.799999999999997</v>
      </c>
      <c r="K35">
        <v>57.7</v>
      </c>
      <c r="N35" t="str">
        <f>VLOOKUP(A35,'Originales sin dirección'!V:W,2,FALSE)</f>
        <v>Internet Services and Retailing</v>
      </c>
    </row>
    <row r="36" spans="1:14" x14ac:dyDescent="0.3">
      <c r="A36" s="2" t="s">
        <v>53</v>
      </c>
      <c r="B36">
        <v>177</v>
      </c>
      <c r="N36" t="str">
        <f>VLOOKUP(A36,'Originales sin dirección'!V:W,2,FALSE)</f>
        <v>Internet Services and Retailing</v>
      </c>
    </row>
    <row r="37" spans="1:14" x14ac:dyDescent="0.3">
      <c r="A37" s="2" t="s">
        <v>158</v>
      </c>
      <c r="C37">
        <v>-262.3</v>
      </c>
      <c r="D37">
        <v>0</v>
      </c>
      <c r="N37" t="str">
        <f>VLOOKUP(A37,'Originales sin dirección'!V:W,2,FALSE)</f>
        <v>Computers, Office Equipment</v>
      </c>
    </row>
    <row r="38" spans="1:14" x14ac:dyDescent="0.3">
      <c r="A38" s="2" t="s">
        <v>294</v>
      </c>
      <c r="K38">
        <v>599.9</v>
      </c>
      <c r="N38" t="str">
        <f>VLOOKUP(A38,'Originales sin dirección'!V:W,2,FALSE)</f>
        <v>Electronics, Electrical Equip.</v>
      </c>
    </row>
    <row r="39" spans="1:14" x14ac:dyDescent="0.3">
      <c r="A39" s="2" t="s">
        <v>232</v>
      </c>
      <c r="C39">
        <v>-80.5</v>
      </c>
      <c r="N39" t="str">
        <f>VLOOKUP(A39,'Originales sin dirección'!V:W,2,FALSE)</f>
        <v>Telecommunications</v>
      </c>
    </row>
    <row r="40" spans="1:14" x14ac:dyDescent="0.3">
      <c r="A40" s="2" t="s">
        <v>48</v>
      </c>
      <c r="C40">
        <v>10.3</v>
      </c>
      <c r="D40">
        <v>20.3</v>
      </c>
      <c r="N40" t="str">
        <f>VLOOKUP(A40,'Originales sin dirección'!V:W,2,FALSE)</f>
        <v>Internet Services and Retailing</v>
      </c>
    </row>
    <row r="41" spans="1:14" x14ac:dyDescent="0.3">
      <c r="A41" s="2" t="s">
        <v>78</v>
      </c>
      <c r="F41">
        <v>15.6</v>
      </c>
      <c r="G41">
        <v>19.100000000000001</v>
      </c>
      <c r="H41">
        <v>142.69999999999999</v>
      </c>
      <c r="I41">
        <v>142.69999999999999</v>
      </c>
      <c r="J41">
        <v>142.69999999999999</v>
      </c>
      <c r="K41">
        <v>17.3</v>
      </c>
      <c r="L41">
        <v>88.8</v>
      </c>
      <c r="M41">
        <v>-21.1</v>
      </c>
      <c r="N41" t="str">
        <f>VLOOKUP(A41,'Originales sin dirección'!V:W,2,FALSE)</f>
        <v>Internet Services and Retailing</v>
      </c>
    </row>
    <row r="42" spans="1:14" x14ac:dyDescent="0.3">
      <c r="A42" s="2" t="s">
        <v>88</v>
      </c>
      <c r="B42">
        <v>19.100000000000001</v>
      </c>
      <c r="N42" t="str">
        <f>VLOOKUP(A42,'Originales sin dirección'!V:W,2,FALSE)</f>
        <v>Internet Services and Retailing</v>
      </c>
    </row>
    <row r="43" spans="1:14" x14ac:dyDescent="0.3">
      <c r="A43" s="2" t="s">
        <v>291</v>
      </c>
      <c r="F43">
        <v>7.4</v>
      </c>
      <c r="G43">
        <v>-0.4</v>
      </c>
      <c r="H43">
        <v>-6.1</v>
      </c>
      <c r="I43">
        <v>-6.1</v>
      </c>
      <c r="J43">
        <v>-6.1</v>
      </c>
      <c r="K43">
        <v>-7.3</v>
      </c>
      <c r="L43">
        <v>44.3</v>
      </c>
      <c r="M43">
        <v>-4.8</v>
      </c>
      <c r="N43" t="str">
        <f>VLOOKUP(A43,'Originales sin dirección'!V:W,2,FALSE)</f>
        <v>Electronics, Electrical Equip.</v>
      </c>
    </row>
    <row r="44" spans="1:14" x14ac:dyDescent="0.3">
      <c r="A44" s="2" t="s">
        <v>244</v>
      </c>
      <c r="B44">
        <v>-0.4</v>
      </c>
      <c r="C44">
        <v>15.4</v>
      </c>
      <c r="D44">
        <v>12.3</v>
      </c>
      <c r="N44" t="str">
        <f>VLOOKUP(A44,'Originales sin dirección'!V:W,2,FALSE)</f>
        <v>Electronics, Electrical Equip.</v>
      </c>
    </row>
    <row r="45" spans="1:14" x14ac:dyDescent="0.3">
      <c r="A45" s="2" t="s">
        <v>91</v>
      </c>
      <c r="F45">
        <v>12.5</v>
      </c>
      <c r="G45">
        <v>0.9</v>
      </c>
      <c r="H45">
        <v>308.8</v>
      </c>
      <c r="I45">
        <v>308.8</v>
      </c>
      <c r="J45">
        <v>308.8</v>
      </c>
      <c r="K45">
        <v>-22.2</v>
      </c>
      <c r="L45">
        <v>16</v>
      </c>
      <c r="M45">
        <v>-10.4</v>
      </c>
      <c r="N45" t="str">
        <f>VLOOKUP(A45,'Originales sin dirección'!V:W,2,FALSE)</f>
        <v>Electronics, Electrical Equip.</v>
      </c>
    </row>
    <row r="46" spans="1:14" x14ac:dyDescent="0.3">
      <c r="A46" s="2" t="s">
        <v>109</v>
      </c>
      <c r="B46">
        <v>0.9</v>
      </c>
      <c r="D46">
        <v>34.1</v>
      </c>
      <c r="N46" t="str">
        <f>VLOOKUP(A46,'Originales sin dirección'!V:W,2,FALSE)</f>
        <v>Electronics, Electrical Equip.</v>
      </c>
    </row>
    <row r="47" spans="1:14" x14ac:dyDescent="0.3">
      <c r="A47" s="2" t="s">
        <v>38</v>
      </c>
      <c r="H47">
        <v>454.7</v>
      </c>
      <c r="I47">
        <v>454.7</v>
      </c>
      <c r="J47">
        <v>454.7</v>
      </c>
      <c r="K47">
        <v>-130.69999999999999</v>
      </c>
      <c r="N47" t="str">
        <f>VLOOKUP(A47,'Originales sin dirección'!V:W,2,FALSE)</f>
        <v>Computers, Office Equipment</v>
      </c>
    </row>
    <row r="48" spans="1:14" x14ac:dyDescent="0.3">
      <c r="A48" s="2" t="s">
        <v>59</v>
      </c>
      <c r="F48">
        <v>-9.1999999999999993</v>
      </c>
      <c r="G48">
        <v>-45.2</v>
      </c>
      <c r="H48">
        <v>110.9</v>
      </c>
      <c r="I48">
        <v>110.9</v>
      </c>
      <c r="J48">
        <v>110.9</v>
      </c>
      <c r="K48">
        <v>-9.8000000000000007</v>
      </c>
      <c r="L48">
        <v>128.69999999999999</v>
      </c>
      <c r="M48">
        <v>-50.7</v>
      </c>
      <c r="N48" t="str">
        <f>VLOOKUP(A48,'Originales sin dirección'!V:W,2,FALSE)</f>
        <v>Computers, Office Equipment</v>
      </c>
    </row>
    <row r="49" spans="1:14" x14ac:dyDescent="0.3">
      <c r="A49" s="2" t="s">
        <v>72</v>
      </c>
      <c r="B49">
        <v>-45.2</v>
      </c>
      <c r="C49">
        <v>-278.8</v>
      </c>
      <c r="D49">
        <v>0</v>
      </c>
      <c r="N49" t="str">
        <f>VLOOKUP(A49,'Originales sin dirección'!V:W,2,FALSE)</f>
        <v>Computers, Office Equipment</v>
      </c>
    </row>
    <row r="50" spans="1:14" x14ac:dyDescent="0.3">
      <c r="A50" s="2" t="s">
        <v>275</v>
      </c>
      <c r="K50">
        <v>8.3000000000000007</v>
      </c>
      <c r="N50" t="str">
        <f>VLOOKUP(A50,'Originales sin dirección'!V:W,2,FALSE)</f>
        <v>Electronics, Electrical Equip.</v>
      </c>
    </row>
    <row r="51" spans="1:14" x14ac:dyDescent="0.3">
      <c r="A51" s="2" t="s">
        <v>265</v>
      </c>
      <c r="L51">
        <v>57.5</v>
      </c>
      <c r="M51">
        <v>8</v>
      </c>
      <c r="N51" t="str">
        <f>VLOOKUP(A51,'Originales sin dirección'!V:W,2,FALSE)</f>
        <v>Electronics, Electrical Equip.</v>
      </c>
    </row>
    <row r="52" spans="1:14" x14ac:dyDescent="0.3">
      <c r="A52" s="2" t="s">
        <v>189</v>
      </c>
      <c r="F52">
        <v>-27.5</v>
      </c>
      <c r="G52">
        <v>48.8</v>
      </c>
      <c r="H52">
        <v>-38.700000000000003</v>
      </c>
      <c r="I52">
        <v>-38.700000000000003</v>
      </c>
      <c r="J52">
        <v>-38.700000000000003</v>
      </c>
      <c r="K52">
        <v>487.3</v>
      </c>
      <c r="L52">
        <v>9.8000000000000007</v>
      </c>
      <c r="M52">
        <v>-7.7</v>
      </c>
      <c r="N52" t="str">
        <f>VLOOKUP(A52,'Originales sin dirección'!V:W,2,FALSE)</f>
        <v>Electronics, Electrical Equip.</v>
      </c>
    </row>
    <row r="53" spans="1:14" x14ac:dyDescent="0.3">
      <c r="A53" s="2" t="s">
        <v>209</v>
      </c>
      <c r="B53">
        <v>48.8</v>
      </c>
      <c r="C53">
        <v>-52</v>
      </c>
      <c r="D53">
        <v>25.3</v>
      </c>
      <c r="N53" t="str">
        <f>VLOOKUP(A53,'Originales sin dirección'!V:W,2,FALSE)</f>
        <v>Electronics, Electrical Equip.</v>
      </c>
    </row>
    <row r="54" spans="1:14" x14ac:dyDescent="0.3">
      <c r="A54" s="2" t="s">
        <v>130</v>
      </c>
      <c r="F54">
        <v>0</v>
      </c>
      <c r="G54">
        <v>0</v>
      </c>
      <c r="H54">
        <v>0</v>
      </c>
      <c r="I54">
        <v>0</v>
      </c>
      <c r="J54">
        <v>0</v>
      </c>
      <c r="K54">
        <v>306</v>
      </c>
      <c r="L54">
        <v>-107.7</v>
      </c>
      <c r="M54">
        <v>0</v>
      </c>
      <c r="N54" t="str">
        <f>VLOOKUP(A54,'Originales sin dirección'!V:W,2,FALSE)</f>
        <v>Internet Services and Retailing</v>
      </c>
    </row>
    <row r="55" spans="1:14" x14ac:dyDescent="0.3">
      <c r="A55" s="2" t="s">
        <v>179</v>
      </c>
      <c r="B55">
        <v>0</v>
      </c>
      <c r="N55" t="str">
        <f>VLOOKUP(A55,'Originales sin dirección'!V:W,2,FALSE)</f>
        <v>Internet Services and Retailing</v>
      </c>
    </row>
    <row r="56" spans="1:14" x14ac:dyDescent="0.3">
      <c r="A56" s="2" t="s">
        <v>186</v>
      </c>
      <c r="F56">
        <v>14.4</v>
      </c>
      <c r="G56">
        <v>22.5</v>
      </c>
      <c r="H56">
        <v>7.8</v>
      </c>
      <c r="I56">
        <v>7.8</v>
      </c>
      <c r="J56">
        <v>7.8</v>
      </c>
      <c r="K56">
        <v>4.4000000000000004</v>
      </c>
      <c r="L56">
        <v>-2.6</v>
      </c>
      <c r="M56">
        <v>-16.399999999999999</v>
      </c>
      <c r="N56" t="str">
        <f>VLOOKUP(A56,'Originales sin dirección'!V:W,2,FALSE)</f>
        <v>Telecommunications</v>
      </c>
    </row>
    <row r="57" spans="1:14" x14ac:dyDescent="0.3">
      <c r="A57" s="2" t="s">
        <v>205</v>
      </c>
      <c r="B57">
        <v>22.5</v>
      </c>
      <c r="C57">
        <v>-3.8</v>
      </c>
      <c r="D57">
        <v>10.5</v>
      </c>
      <c r="N57" t="str">
        <f>VLOOKUP(A57,'Originales sin dirección'!V:W,2,FALSE)</f>
        <v>Telecommunications</v>
      </c>
    </row>
    <row r="58" spans="1:14" x14ac:dyDescent="0.3">
      <c r="A58" s="2" t="s">
        <v>100</v>
      </c>
      <c r="L58">
        <v>54.1</v>
      </c>
      <c r="N58" t="str">
        <f>VLOOKUP(A58,'Originales sin dirección'!V:W,2,FALSE)</f>
        <v>Automotive Retailing, Services</v>
      </c>
    </row>
    <row r="59" spans="1:14" x14ac:dyDescent="0.3">
      <c r="A59" s="2" t="s">
        <v>142</v>
      </c>
      <c r="F59">
        <v>-115.5</v>
      </c>
      <c r="G59">
        <v>0</v>
      </c>
      <c r="H59">
        <v>0</v>
      </c>
      <c r="I59">
        <v>0</v>
      </c>
      <c r="J59">
        <v>0</v>
      </c>
      <c r="K59">
        <v>77.2</v>
      </c>
      <c r="L59">
        <v>72.3</v>
      </c>
      <c r="M59">
        <v>-20.8</v>
      </c>
      <c r="N59" t="str">
        <f>VLOOKUP(A59,'Originales sin dirección'!V:W,2,FALSE)</f>
        <v>Computers, Office Equipment</v>
      </c>
    </row>
    <row r="60" spans="1:14" x14ac:dyDescent="0.3">
      <c r="A60" s="2" t="s">
        <v>180</v>
      </c>
      <c r="B60">
        <v>0</v>
      </c>
      <c r="C60">
        <v>34.299999999999997</v>
      </c>
      <c r="D60">
        <v>28.7</v>
      </c>
      <c r="N60" t="str">
        <f>VLOOKUP(A60,'Originales sin dirección'!V:W,2,FALSE)</f>
        <v>Computers, Office Equipment</v>
      </c>
    </row>
    <row r="61" spans="1:14" x14ac:dyDescent="0.3">
      <c r="A61" s="2" t="s">
        <v>296</v>
      </c>
      <c r="F61">
        <v>-0.5</v>
      </c>
      <c r="G61">
        <v>-8.6</v>
      </c>
      <c r="N61" t="str">
        <f>VLOOKUP(A61,'Originales sin dirección'!V:W,2,FALSE)</f>
        <v>Electronics, Electrical Equip.</v>
      </c>
    </row>
    <row r="62" spans="1:14" x14ac:dyDescent="0.3">
      <c r="A62" s="2" t="s">
        <v>170</v>
      </c>
      <c r="B62">
        <v>-8.6</v>
      </c>
      <c r="C62">
        <v>0</v>
      </c>
      <c r="D62">
        <v>88</v>
      </c>
      <c r="N62" t="str">
        <f>VLOOKUP(A62,'Originales sin dirección'!V:W,2,FALSE)</f>
        <v>Electronics, Electrical Equip.</v>
      </c>
    </row>
    <row r="63" spans="1:14" x14ac:dyDescent="0.3">
      <c r="A63" s="2" t="s">
        <v>35</v>
      </c>
      <c r="L63">
        <v>35.1</v>
      </c>
      <c r="M63">
        <v>-41.1</v>
      </c>
      <c r="N63" t="str">
        <f>VLOOKUP(A63,'Originales sin dirección'!V:W,2,FALSE)</f>
        <v>Internet Services and Retailing</v>
      </c>
    </row>
    <row r="64" spans="1:14" x14ac:dyDescent="0.3">
      <c r="A64" s="2" t="s">
        <v>183</v>
      </c>
      <c r="F64">
        <v>-10.8</v>
      </c>
      <c r="G64">
        <v>2.1</v>
      </c>
      <c r="H64">
        <v>-16.7</v>
      </c>
      <c r="I64">
        <v>-16.7</v>
      </c>
      <c r="J64">
        <v>-16.7</v>
      </c>
      <c r="K64">
        <v>-10.7</v>
      </c>
      <c r="L64">
        <v>-0.6</v>
      </c>
      <c r="M64">
        <v>-12.8</v>
      </c>
      <c r="N64" t="str">
        <f>VLOOKUP(A64,'Originales sin dirección'!V:W,2,FALSE)</f>
        <v>Electronics, Electrical Equip.</v>
      </c>
    </row>
    <row r="65" spans="1:14" x14ac:dyDescent="0.3">
      <c r="A65" s="2" t="s">
        <v>204</v>
      </c>
      <c r="B65">
        <v>2.1</v>
      </c>
      <c r="C65">
        <v>-41</v>
      </c>
      <c r="D65">
        <v>83</v>
      </c>
      <c r="N65" t="str">
        <f>VLOOKUP(A65,'Originales sin dirección'!V:W,2,FALSE)</f>
        <v>Electronics, Electrical Equip.</v>
      </c>
    </row>
    <row r="66" spans="1:14" x14ac:dyDescent="0.3">
      <c r="A66" s="2" t="s">
        <v>124</v>
      </c>
      <c r="M66">
        <v>0</v>
      </c>
      <c r="N66" t="str">
        <f>VLOOKUP(A66,'Originales sin dirección'!V:W,2,FALSE)</f>
        <v>Internet Services and Retailing</v>
      </c>
    </row>
    <row r="67" spans="1:14" x14ac:dyDescent="0.3">
      <c r="A67" s="2" t="s">
        <v>96</v>
      </c>
      <c r="F67">
        <v>-44.8</v>
      </c>
      <c r="G67">
        <v>37.799999999999997</v>
      </c>
      <c r="H67">
        <v>-21.8</v>
      </c>
      <c r="I67">
        <v>-21.8</v>
      </c>
      <c r="J67">
        <v>-21.8</v>
      </c>
      <c r="K67">
        <v>12.8</v>
      </c>
      <c r="L67">
        <v>38.4</v>
      </c>
      <c r="M67">
        <v>18.7</v>
      </c>
      <c r="N67" t="str">
        <f>VLOOKUP(A67,'Originales sin dirección'!V:W,2,FALSE)</f>
        <v>Computer Software</v>
      </c>
    </row>
    <row r="68" spans="1:14" x14ac:dyDescent="0.3">
      <c r="A68" s="2" t="s">
        <v>111</v>
      </c>
      <c r="B68">
        <v>37.799999999999997</v>
      </c>
      <c r="C68">
        <v>-26.7</v>
      </c>
      <c r="D68">
        <v>28.8</v>
      </c>
      <c r="N68" t="str">
        <f>VLOOKUP(A68,'Originales sin dirección'!V:W,2,FALSE)</f>
        <v>Computer Software</v>
      </c>
    </row>
    <row r="69" spans="1:14" x14ac:dyDescent="0.3">
      <c r="A69" s="2" t="s">
        <v>202</v>
      </c>
      <c r="F69">
        <v>30.4</v>
      </c>
      <c r="N69" t="str">
        <f>VLOOKUP(A69,'Originales sin dirección'!V:W,2,FALSE)</f>
        <v>Telecommunications</v>
      </c>
    </row>
    <row r="70" spans="1:14" x14ac:dyDescent="0.3">
      <c r="A70" s="2" t="s">
        <v>211</v>
      </c>
      <c r="C70">
        <v>6.5</v>
      </c>
      <c r="D70">
        <v>-7.4</v>
      </c>
      <c r="N70" t="str">
        <f>VLOOKUP(A70,'Originales sin dirección'!V:W,2,FALSE)</f>
        <v>Telecommunications</v>
      </c>
    </row>
    <row r="71" spans="1:14" x14ac:dyDescent="0.3">
      <c r="A71" s="2" t="s">
        <v>193</v>
      </c>
      <c r="G71">
        <v>20.2</v>
      </c>
      <c r="H71">
        <v>-6.1</v>
      </c>
      <c r="I71">
        <v>-6.1</v>
      </c>
      <c r="J71">
        <v>-6.1</v>
      </c>
      <c r="K71">
        <v>9.9</v>
      </c>
      <c r="L71">
        <v>21.7</v>
      </c>
      <c r="M71">
        <v>-14.8</v>
      </c>
      <c r="N71" t="str">
        <f>VLOOKUP(A71,'Originales sin dirección'!V:W,2,FALSE)</f>
        <v>Telecommunications</v>
      </c>
    </row>
    <row r="72" spans="1:14" x14ac:dyDescent="0.3">
      <c r="A72" s="2" t="s">
        <v>212</v>
      </c>
      <c r="B72">
        <v>20.2</v>
      </c>
      <c r="N72" t="str">
        <f>VLOOKUP(A72,'Originales sin dirección'!V:W,2,FALSE)</f>
        <v>Telecommunications</v>
      </c>
    </row>
    <row r="73" spans="1:14" x14ac:dyDescent="0.3">
      <c r="A73" s="2" t="s">
        <v>252</v>
      </c>
      <c r="F73">
        <v>139.69999999999999</v>
      </c>
      <c r="G73">
        <v>10.3</v>
      </c>
      <c r="H73">
        <v>7.3</v>
      </c>
      <c r="I73">
        <v>7.3</v>
      </c>
      <c r="J73">
        <v>7.3</v>
      </c>
      <c r="K73">
        <v>63.3</v>
      </c>
      <c r="L73">
        <v>-95</v>
      </c>
      <c r="M73">
        <v>719.3</v>
      </c>
      <c r="N73" t="str">
        <f>VLOOKUP(A73,'Originales sin dirección'!V:W,2,FALSE)</f>
        <v>Telecommunications</v>
      </c>
    </row>
    <row r="74" spans="1:14" x14ac:dyDescent="0.3">
      <c r="A74" s="2" t="s">
        <v>253</v>
      </c>
      <c r="B74">
        <v>10.3</v>
      </c>
      <c r="D74">
        <v>136</v>
      </c>
      <c r="N74" t="str">
        <f>VLOOKUP(A74,'Originales sin dirección'!V:W,2,FALSE)</f>
        <v>Telecommunications</v>
      </c>
    </row>
    <row r="75" spans="1:14" x14ac:dyDescent="0.3">
      <c r="A75" s="2" t="s">
        <v>84</v>
      </c>
      <c r="F75">
        <v>-9.3000000000000007</v>
      </c>
      <c r="G75">
        <v>-10.4</v>
      </c>
      <c r="H75">
        <v>-59</v>
      </c>
      <c r="I75">
        <v>-59</v>
      </c>
      <c r="J75">
        <v>-59</v>
      </c>
      <c r="K75">
        <v>-8.6</v>
      </c>
      <c r="L75">
        <v>35.6</v>
      </c>
      <c r="M75">
        <v>-51.1</v>
      </c>
      <c r="N75" t="str">
        <f>VLOOKUP(A75,'Originales sin dirección'!V:W,2,FALSE)</f>
        <v>Computer Software</v>
      </c>
    </row>
    <row r="76" spans="1:14" x14ac:dyDescent="0.3">
      <c r="A76" s="2" t="s">
        <v>86</v>
      </c>
      <c r="B76">
        <v>-10.4</v>
      </c>
      <c r="C76">
        <v>16.8</v>
      </c>
      <c r="D76">
        <v>9.5</v>
      </c>
      <c r="N76" t="str">
        <f>VLOOKUP(A76,'Originales sin dirección'!V:W,2,FALSE)</f>
        <v>Computer Software</v>
      </c>
    </row>
    <row r="77" spans="1:14" x14ac:dyDescent="0.3">
      <c r="A77" s="2" t="s">
        <v>161</v>
      </c>
      <c r="C77">
        <v>0</v>
      </c>
      <c r="D77">
        <v>0</v>
      </c>
      <c r="N77" t="str">
        <f>VLOOKUP(A77,'Originales sin dirección'!V:W,2,FALSE)</f>
        <v>Electronics, Electrical Equip.</v>
      </c>
    </row>
    <row r="78" spans="1:14" x14ac:dyDescent="0.3">
      <c r="A78" s="2" t="s">
        <v>284</v>
      </c>
      <c r="F78">
        <v>-1.4</v>
      </c>
      <c r="G78">
        <v>0.2</v>
      </c>
      <c r="H78">
        <v>20.3</v>
      </c>
      <c r="I78">
        <v>20.3</v>
      </c>
      <c r="J78">
        <v>20.3</v>
      </c>
      <c r="K78">
        <v>-25</v>
      </c>
      <c r="L78">
        <v>46</v>
      </c>
      <c r="M78">
        <v>-13.7</v>
      </c>
      <c r="N78" t="str">
        <f>VLOOKUP(A78,'Originales sin dirección'!V:W,2,FALSE)</f>
        <v>Electronics, Electrical Equip.</v>
      </c>
    </row>
    <row r="79" spans="1:14" x14ac:dyDescent="0.3">
      <c r="A79" s="2" t="s">
        <v>288</v>
      </c>
      <c r="B79">
        <v>0.2</v>
      </c>
      <c r="N79" t="str">
        <f>VLOOKUP(A79,'Originales sin dirección'!V:W,2,FALSE)</f>
        <v>Electronics, Electrical Equip.</v>
      </c>
    </row>
    <row r="80" spans="1:14" x14ac:dyDescent="0.3">
      <c r="A80" s="2" t="s">
        <v>306</v>
      </c>
      <c r="F80">
        <v>30</v>
      </c>
      <c r="N80" t="str">
        <f>VLOOKUP(A80,'Originales sin dirección'!V:W,2,FALSE)</f>
        <v>Electronics, Electrical Equip.</v>
      </c>
    </row>
    <row r="81" spans="1:14" x14ac:dyDescent="0.3">
      <c r="A81" s="2" t="s">
        <v>173</v>
      </c>
      <c r="C81">
        <v>0</v>
      </c>
      <c r="D81">
        <v>434.3</v>
      </c>
      <c r="N81" t="str">
        <f>VLOOKUP(A81,'Originales sin dirección'!V:W,2,FALSE)</f>
        <v>Electronics, Electrical Equip.</v>
      </c>
    </row>
    <row r="82" spans="1:14" x14ac:dyDescent="0.3">
      <c r="A82" s="2" t="s">
        <v>226</v>
      </c>
      <c r="C82">
        <v>-0.7</v>
      </c>
      <c r="D82">
        <v>-19.5</v>
      </c>
      <c r="N82" t="str">
        <f>VLOOKUP(A82,'Originales sin dirección'!V:W,2,FALSE)</f>
        <v>Computers, Office Equipment</v>
      </c>
    </row>
    <row r="83" spans="1:14" x14ac:dyDescent="0.3">
      <c r="A83" s="2" t="s">
        <v>167</v>
      </c>
      <c r="C83">
        <v>0</v>
      </c>
      <c r="N83" t="str">
        <f>VLOOKUP(A83,'Originales sin dirección'!V:W,2,FALSE)</f>
        <v>Computers, Office Equipment</v>
      </c>
    </row>
    <row r="84" spans="1:14" x14ac:dyDescent="0.3">
      <c r="A84" s="2" t="s">
        <v>120</v>
      </c>
      <c r="C84">
        <v>0</v>
      </c>
      <c r="N84" t="str">
        <f>VLOOKUP(A84,'Originales sin dirección'!V:W,2,FALSE)</f>
        <v>Telecommunications</v>
      </c>
    </row>
    <row r="85" spans="1:14" x14ac:dyDescent="0.3">
      <c r="A85" s="2" t="s">
        <v>254</v>
      </c>
      <c r="F85">
        <v>-21.9</v>
      </c>
      <c r="G85">
        <v>18.600000000000001</v>
      </c>
      <c r="H85">
        <v>6.4</v>
      </c>
      <c r="I85">
        <v>6.4</v>
      </c>
      <c r="J85">
        <v>6.4</v>
      </c>
      <c r="K85">
        <v>57.7</v>
      </c>
      <c r="L85">
        <v>6</v>
      </c>
      <c r="M85">
        <v>-61.3</v>
      </c>
      <c r="N85" t="str">
        <f>VLOOKUP(A85,'Originales sin dirección'!V:W,2,FALSE)</f>
        <v>Computer Software</v>
      </c>
    </row>
    <row r="86" spans="1:14" x14ac:dyDescent="0.3">
      <c r="A86" s="2" t="s">
        <v>258</v>
      </c>
      <c r="B86">
        <v>18.600000000000001</v>
      </c>
      <c r="N86" t="str">
        <f>VLOOKUP(A86,'Originales sin dirección'!V:W,2,FALSE)</f>
        <v>Computer Software</v>
      </c>
    </row>
    <row r="87" spans="1:14" x14ac:dyDescent="0.3">
      <c r="A87" s="2" t="s">
        <v>249</v>
      </c>
      <c r="F87">
        <v>-39.4</v>
      </c>
      <c r="G87">
        <v>24</v>
      </c>
      <c r="H87">
        <v>13.7</v>
      </c>
      <c r="I87">
        <v>13.7</v>
      </c>
      <c r="J87">
        <v>13.7</v>
      </c>
      <c r="K87">
        <v>-10.3</v>
      </c>
      <c r="L87">
        <v>56.4</v>
      </c>
      <c r="M87">
        <v>-3.5</v>
      </c>
      <c r="N87" t="str">
        <f>VLOOKUP(A87,'Originales sin dirección'!V:W,2,FALSE)</f>
        <v>Electronics, Electrical Equip.</v>
      </c>
    </row>
    <row r="88" spans="1:14" x14ac:dyDescent="0.3">
      <c r="A88" s="2" t="s">
        <v>223</v>
      </c>
      <c r="B88">
        <v>24</v>
      </c>
      <c r="C88">
        <v>-6.6</v>
      </c>
      <c r="D88">
        <v>6</v>
      </c>
      <c r="N88" t="str">
        <f>VLOOKUP(A88,'Originales sin dirección'!V:W,2,FALSE)</f>
        <v>Electronics, Electrical Equip.</v>
      </c>
    </row>
    <row r="89" spans="1:14" x14ac:dyDescent="0.3">
      <c r="A89" s="2" t="s">
        <v>127</v>
      </c>
      <c r="F89">
        <v>-35</v>
      </c>
      <c r="G89">
        <v>233.3</v>
      </c>
      <c r="H89">
        <v>35.700000000000003</v>
      </c>
      <c r="I89">
        <v>35.700000000000003</v>
      </c>
      <c r="J89">
        <v>35.700000000000003</v>
      </c>
      <c r="K89">
        <v>0</v>
      </c>
      <c r="L89">
        <v>-132.30000000000001</v>
      </c>
      <c r="M89">
        <v>0</v>
      </c>
      <c r="N89" t="str">
        <f>VLOOKUP(A89,'Originales sin dirección'!V:W,2,FALSE)</f>
        <v>Telecommunications</v>
      </c>
    </row>
    <row r="90" spans="1:14" x14ac:dyDescent="0.3">
      <c r="A90" s="2" t="s">
        <v>207</v>
      </c>
      <c r="B90">
        <v>233.3</v>
      </c>
      <c r="D90">
        <v>67.900000000000006</v>
      </c>
      <c r="N90" t="str">
        <f>VLOOKUP(A90,'Originales sin dirección'!V:W,2,FALSE)</f>
        <v>Telecommunications</v>
      </c>
    </row>
    <row r="91" spans="1:14" x14ac:dyDescent="0.3">
      <c r="A91" s="2" t="s">
        <v>154</v>
      </c>
      <c r="C91">
        <v>0</v>
      </c>
      <c r="D91">
        <v>0</v>
      </c>
      <c r="N91" t="str">
        <f>VLOOKUP(A91,'Originales sin dirección'!V:W,2,FALSE)</f>
        <v>Electronics, Electrical Equip.</v>
      </c>
    </row>
    <row r="92" spans="1:14" x14ac:dyDescent="0.3">
      <c r="A92" s="2" t="s">
        <v>241</v>
      </c>
      <c r="C92">
        <v>-32.5</v>
      </c>
      <c r="D92">
        <v>-2.8</v>
      </c>
      <c r="N92" t="str">
        <f>VLOOKUP(A92,'Originales sin dirección'!V:W,2,FALSE)</f>
        <v>Electronics, Electrical Equip.</v>
      </c>
    </row>
    <row r="93" spans="1:14" x14ac:dyDescent="0.3">
      <c r="A93" s="2" t="s">
        <v>257</v>
      </c>
      <c r="F93">
        <v>14.4</v>
      </c>
      <c r="N93" t="str">
        <f>VLOOKUP(A93,'Originales sin dirección'!V:W,2,FALSE)</f>
        <v>Electronics, Electrical Equip.</v>
      </c>
    </row>
    <row r="94" spans="1:14" x14ac:dyDescent="0.3">
      <c r="A94" s="2" t="s">
        <v>214</v>
      </c>
      <c r="C94">
        <v>-38.700000000000003</v>
      </c>
      <c r="D94">
        <v>45.8</v>
      </c>
      <c r="N94" t="str">
        <f>VLOOKUP(A94,'Originales sin dirección'!V:W,2,FALSE)</f>
        <v>Electronics, Electrical Equip.</v>
      </c>
    </row>
    <row r="95" spans="1:14" x14ac:dyDescent="0.3">
      <c r="A95" s="2" t="s">
        <v>151</v>
      </c>
      <c r="F95">
        <v>0</v>
      </c>
      <c r="G95">
        <v>-45.1</v>
      </c>
      <c r="H95">
        <v>86.6</v>
      </c>
      <c r="I95">
        <v>86.6</v>
      </c>
      <c r="J95">
        <v>86.6</v>
      </c>
      <c r="N95" t="str">
        <f>VLOOKUP(A95,'Originales sin dirección'!V:W,2,FALSE)</f>
        <v>Electronics, Electrical Equip.</v>
      </c>
    </row>
    <row r="96" spans="1:14" x14ac:dyDescent="0.3">
      <c r="A96" s="2" t="s">
        <v>177</v>
      </c>
      <c r="B96">
        <v>-45.1</v>
      </c>
      <c r="C96">
        <v>0</v>
      </c>
      <c r="D96">
        <v>-347.3</v>
      </c>
      <c r="N96" t="str">
        <f>VLOOKUP(A96,'Originales sin dirección'!V:W,2,FALSE)</f>
        <v>Electronics, Electrical Equip.</v>
      </c>
    </row>
    <row r="97" spans="1:14" x14ac:dyDescent="0.3">
      <c r="A97" s="2" t="s">
        <v>191</v>
      </c>
      <c r="K97">
        <v>106.4</v>
      </c>
      <c r="L97">
        <v>-19.100000000000001</v>
      </c>
      <c r="M97">
        <v>-11.8</v>
      </c>
      <c r="N97" t="str">
        <f>VLOOKUP(A97,'Originales sin dirección'!V:W,2,FALSE)</f>
        <v>Electronics, Electrical Equip.</v>
      </c>
    </row>
    <row r="98" spans="1:14" x14ac:dyDescent="0.3">
      <c r="A98" s="2" t="s">
        <v>304</v>
      </c>
      <c r="F98">
        <v>-24.6</v>
      </c>
      <c r="G98">
        <v>16.8</v>
      </c>
      <c r="N98" t="str">
        <f>VLOOKUP(A98,'Originales sin dirección'!V:W,2,FALSE)</f>
        <v>Electronics, Electrical Equip.</v>
      </c>
    </row>
    <row r="99" spans="1:14" x14ac:dyDescent="0.3">
      <c r="A99" s="2" t="s">
        <v>247</v>
      </c>
      <c r="B99">
        <v>16.8</v>
      </c>
      <c r="C99">
        <v>70.7</v>
      </c>
      <c r="D99">
        <v>32.4</v>
      </c>
      <c r="N99" t="str">
        <f>VLOOKUP(A99,'Originales sin dirección'!V:W,2,FALSE)</f>
        <v>Electronics, Electrical Equip.</v>
      </c>
    </row>
    <row r="100" spans="1:14" x14ac:dyDescent="0.3">
      <c r="A100" s="2" t="s">
        <v>62</v>
      </c>
      <c r="F100">
        <v>114.4</v>
      </c>
      <c r="G100">
        <v>-2.8</v>
      </c>
      <c r="H100">
        <v>-34.200000000000003</v>
      </c>
      <c r="I100">
        <v>-34.200000000000003</v>
      </c>
      <c r="J100">
        <v>-34.200000000000003</v>
      </c>
      <c r="K100">
        <v>-137.19999999999999</v>
      </c>
      <c r="L100">
        <v>0</v>
      </c>
      <c r="M100">
        <v>-142.4</v>
      </c>
      <c r="N100" t="str">
        <f>VLOOKUP(A100,'Originales sin dirección'!V:W,2,FALSE)</f>
        <v>Telecommunications</v>
      </c>
    </row>
    <row r="101" spans="1:14" x14ac:dyDescent="0.3">
      <c r="A101" s="2" t="s">
        <v>112</v>
      </c>
      <c r="B101">
        <v>-2.8</v>
      </c>
      <c r="C101">
        <v>84.2</v>
      </c>
      <c r="D101">
        <v>151.19999999999999</v>
      </c>
      <c r="N101" t="str">
        <f>VLOOKUP(A101,'Originales sin dirección'!V:W,2,FALSE)</f>
        <v>Telecommunications</v>
      </c>
    </row>
    <row r="102" spans="1:14" x14ac:dyDescent="0.3">
      <c r="A102" s="2" t="s">
        <v>269</v>
      </c>
      <c r="G102">
        <v>35</v>
      </c>
      <c r="H102">
        <v>12.5</v>
      </c>
      <c r="I102">
        <v>12.5</v>
      </c>
      <c r="J102">
        <v>12.5</v>
      </c>
      <c r="K102">
        <v>71.5</v>
      </c>
      <c r="L102">
        <v>50.5</v>
      </c>
      <c r="M102">
        <v>-19.7</v>
      </c>
      <c r="N102" t="str">
        <f>VLOOKUP(A102,'Originales sin dirección'!V:W,2,FALSE)</f>
        <v>Internet Services and Retailing</v>
      </c>
    </row>
    <row r="103" spans="1:14" x14ac:dyDescent="0.3">
      <c r="A103" s="2" t="s">
        <v>280</v>
      </c>
      <c r="B103">
        <v>35</v>
      </c>
      <c r="N103" t="str">
        <f>VLOOKUP(A103,'Originales sin dirección'!V:W,2,FALSE)</f>
        <v>Internet Services and Retailing</v>
      </c>
    </row>
    <row r="104" spans="1:14" x14ac:dyDescent="0.3">
      <c r="A104" s="2" t="s">
        <v>289</v>
      </c>
      <c r="F104">
        <v>-23.5</v>
      </c>
      <c r="G104">
        <v>283.39999999999998</v>
      </c>
      <c r="H104">
        <v>11.3</v>
      </c>
      <c r="I104">
        <v>11.3</v>
      </c>
      <c r="J104">
        <v>11.3</v>
      </c>
      <c r="K104">
        <v>41</v>
      </c>
      <c r="L104">
        <v>433.7</v>
      </c>
      <c r="M104">
        <v>-78</v>
      </c>
      <c r="N104" t="str">
        <f>VLOOKUP(A104,'Originales sin dirección'!V:W,2,FALSE)</f>
        <v>Telecommunications</v>
      </c>
    </row>
    <row r="105" spans="1:14" x14ac:dyDescent="0.3">
      <c r="A105" s="2" t="s">
        <v>238</v>
      </c>
      <c r="B105">
        <v>283.39999999999998</v>
      </c>
      <c r="C105">
        <v>-32.799999999999997</v>
      </c>
      <c r="D105">
        <v>20.8</v>
      </c>
      <c r="N105" t="str">
        <f>VLOOKUP(A105,'Originales sin dirección'!V:W,2,FALSE)</f>
        <v>Telecommunications</v>
      </c>
    </row>
    <row r="106" spans="1:14" x14ac:dyDescent="0.3">
      <c r="A106" s="2" t="s">
        <v>145</v>
      </c>
      <c r="F106">
        <v>-104.5</v>
      </c>
      <c r="G106">
        <v>0</v>
      </c>
      <c r="N106" t="str">
        <f>VLOOKUP(A106,'Originales sin dirección'!V:W,2,FALSE)</f>
        <v>Telecommunications</v>
      </c>
    </row>
    <row r="107" spans="1:14" x14ac:dyDescent="0.3">
      <c r="A107" s="2" t="s">
        <v>156</v>
      </c>
      <c r="B107">
        <v>0</v>
      </c>
      <c r="C107">
        <v>0</v>
      </c>
      <c r="D107">
        <v>0</v>
      </c>
      <c r="N107" t="str">
        <f>VLOOKUP(A107,'Originales sin dirección'!V:W,2,FALSE)</f>
        <v>Telecommunications</v>
      </c>
    </row>
    <row r="108" spans="1:14" x14ac:dyDescent="0.3">
      <c r="A108" s="2" t="s">
        <v>305</v>
      </c>
      <c r="F108">
        <v>-10.3</v>
      </c>
      <c r="N108" t="str">
        <f>VLOOKUP(A108,'Originales sin dirección'!V:W,2,FALSE)</f>
        <v>Telecommunications</v>
      </c>
    </row>
    <row r="109" spans="1:14" x14ac:dyDescent="0.3">
      <c r="A109" s="2" t="s">
        <v>217</v>
      </c>
      <c r="C109">
        <v>10.199999999999999</v>
      </c>
      <c r="D109">
        <v>11.3</v>
      </c>
      <c r="N109" t="str">
        <f>VLOOKUP(A109,'Originales sin dirección'!V:W,2,FALSE)</f>
        <v>Telecommunications</v>
      </c>
    </row>
    <row r="110" spans="1:14" x14ac:dyDescent="0.3">
      <c r="A110" s="2" t="s">
        <v>175</v>
      </c>
      <c r="C110">
        <v>0</v>
      </c>
      <c r="D110">
        <v>-45.7</v>
      </c>
      <c r="N110" t="str">
        <f>VLOOKUP(A110,'Originales sin dirección'!V:W,2,FALSE)</f>
        <v>Electronics, Electrical Equip.</v>
      </c>
    </row>
    <row r="111" spans="1:14" x14ac:dyDescent="0.3">
      <c r="A111" s="2" t="s">
        <v>133</v>
      </c>
      <c r="F111">
        <v>0</v>
      </c>
      <c r="H111">
        <v>25.9</v>
      </c>
      <c r="I111">
        <v>25.9</v>
      </c>
      <c r="J111">
        <v>25.9</v>
      </c>
      <c r="K111">
        <v>0</v>
      </c>
      <c r="L111">
        <v>61.2</v>
      </c>
      <c r="N111" t="str">
        <f>VLOOKUP(A111,'Originales sin dirección'!V:W,2,FALSE)</f>
        <v>Electronics, Electrical Equip.</v>
      </c>
    </row>
    <row r="112" spans="1:14" x14ac:dyDescent="0.3">
      <c r="A112" s="2" t="s">
        <v>117</v>
      </c>
      <c r="M112">
        <v>0</v>
      </c>
      <c r="N112" t="str">
        <f>VLOOKUP(A112,'Originales sin dirección'!V:W,2,FALSE)</f>
        <v>Internet Services and Retailing</v>
      </c>
    </row>
    <row r="113" spans="1:14" x14ac:dyDescent="0.3">
      <c r="A113" s="2" t="s">
        <v>229</v>
      </c>
      <c r="C113">
        <v>-94.3</v>
      </c>
      <c r="D113">
        <v>1139</v>
      </c>
      <c r="N113" t="str">
        <f>VLOOKUP(A113,'Originales sin dirección'!V:W,2,FALSE)</f>
        <v>Telecommunications</v>
      </c>
    </row>
    <row r="114" spans="1:14" x14ac:dyDescent="0.3">
      <c r="A114" s="2" t="s">
        <v>136</v>
      </c>
      <c r="F114">
        <v>-165.4</v>
      </c>
      <c r="G114">
        <v>0</v>
      </c>
      <c r="H114">
        <v>-425.7</v>
      </c>
      <c r="I114">
        <v>-425.7</v>
      </c>
      <c r="J114">
        <v>-425.7</v>
      </c>
      <c r="K114">
        <v>0</v>
      </c>
      <c r="L114">
        <v>1757.7</v>
      </c>
      <c r="M114">
        <v>407.9</v>
      </c>
      <c r="N114" t="str">
        <f>VLOOKUP(A114,'Originales sin dirección'!V:W,2,FALSE)</f>
        <v>Telecommunications</v>
      </c>
    </row>
    <row r="115" spans="1:14" x14ac:dyDescent="0.3">
      <c r="A115" s="2" t="s">
        <v>181</v>
      </c>
      <c r="B115">
        <v>0</v>
      </c>
      <c r="C115">
        <v>-93.9</v>
      </c>
      <c r="D115">
        <v>13794.5</v>
      </c>
      <c r="N115" t="str">
        <f>VLOOKUP(A115,'Originales sin dirección'!V:W,2,FALSE)</f>
        <v>Telecommunications</v>
      </c>
    </row>
    <row r="116" spans="1:14" x14ac:dyDescent="0.3">
      <c r="A116" s="2" t="s">
        <v>74</v>
      </c>
      <c r="F116">
        <v>85.8</v>
      </c>
      <c r="G116">
        <v>-26.6</v>
      </c>
      <c r="H116">
        <v>-48.4</v>
      </c>
      <c r="I116">
        <v>-48.4</v>
      </c>
      <c r="J116">
        <v>-48.4</v>
      </c>
      <c r="K116">
        <v>-7.6</v>
      </c>
      <c r="L116">
        <v>24</v>
      </c>
      <c r="M116">
        <v>-3.7</v>
      </c>
      <c r="N116" t="str">
        <f>VLOOKUP(A116,'Originales sin dirección'!V:W,2,FALSE)</f>
        <v>Telecommunications</v>
      </c>
    </row>
    <row r="117" spans="1:14" x14ac:dyDescent="0.3">
      <c r="A117" s="2" t="s">
        <v>76</v>
      </c>
      <c r="B117">
        <v>-26.6</v>
      </c>
      <c r="C117">
        <v>-63.6</v>
      </c>
      <c r="D117">
        <v>1213.9000000000001</v>
      </c>
      <c r="N117" t="str">
        <f>VLOOKUP(A117,'Originales sin dirección'!V:W,2,FALSE)</f>
        <v>Telecommunications</v>
      </c>
    </row>
    <row r="118" spans="1:14" x14ac:dyDescent="0.3">
      <c r="A118" s="2" t="s">
        <v>276</v>
      </c>
      <c r="K118">
        <v>102.9</v>
      </c>
      <c r="N118" t="str">
        <f>VLOOKUP(A118,'Originales sin dirección'!V:W,2,FALSE)</f>
        <v>Internet Services and Retailing</v>
      </c>
    </row>
    <row r="119" spans="1:14" x14ac:dyDescent="0.3">
      <c r="A119" s="2" t="s">
        <v>139</v>
      </c>
      <c r="H119">
        <v>0</v>
      </c>
      <c r="I119">
        <v>0</v>
      </c>
      <c r="J119">
        <v>0</v>
      </c>
      <c r="L119">
        <v>1.6</v>
      </c>
      <c r="M119">
        <v>-87.7</v>
      </c>
      <c r="N119" t="str">
        <f>VLOOKUP(A119,'Originales sin dirección'!V:W,2,FALSE)</f>
        <v>Internet Services and Retailing</v>
      </c>
    </row>
    <row r="120" spans="1:14" x14ac:dyDescent="0.3">
      <c r="A120" t="s">
        <v>278</v>
      </c>
      <c r="G120">
        <v>-1.1000000000000001</v>
      </c>
      <c r="N120" t="s">
        <v>347</v>
      </c>
    </row>
    <row r="121" spans="1:14" x14ac:dyDescent="0.3">
      <c r="A121" t="s">
        <v>282</v>
      </c>
      <c r="B121">
        <v>-1.1000000000000001</v>
      </c>
      <c r="N121" t="s">
        <v>347</v>
      </c>
    </row>
    <row r="122" spans="1:14" x14ac:dyDescent="0.3">
      <c r="A122" t="s">
        <v>645</v>
      </c>
      <c r="D122">
        <v>-3.7</v>
      </c>
      <c r="N122" t="s">
        <v>347</v>
      </c>
    </row>
    <row r="123" spans="1:14" x14ac:dyDescent="0.3">
      <c r="A123" t="s">
        <v>622</v>
      </c>
      <c r="F123">
        <v>14.9</v>
      </c>
      <c r="G123">
        <v>39.9</v>
      </c>
      <c r="H123">
        <v>-18.2</v>
      </c>
      <c r="I123">
        <v>-18.2</v>
      </c>
      <c r="J123">
        <v>-18.2</v>
      </c>
      <c r="K123">
        <v>350.3</v>
      </c>
      <c r="L123">
        <v>26.8</v>
      </c>
      <c r="M123">
        <v>-78</v>
      </c>
      <c r="N123" t="s">
        <v>347</v>
      </c>
    </row>
    <row r="124" spans="1:14" x14ac:dyDescent="0.3">
      <c r="A124" t="s">
        <v>652</v>
      </c>
      <c r="B124">
        <v>39.9</v>
      </c>
      <c r="N124" t="s">
        <v>347</v>
      </c>
    </row>
    <row r="125" spans="1:14" x14ac:dyDescent="0.3">
      <c r="A125" t="s">
        <v>604</v>
      </c>
      <c r="F125">
        <v>-8.1</v>
      </c>
      <c r="N125" t="s">
        <v>347</v>
      </c>
    </row>
    <row r="126" spans="1:14" x14ac:dyDescent="0.3">
      <c r="A126" t="s">
        <v>559</v>
      </c>
      <c r="C126">
        <v>-3.5</v>
      </c>
      <c r="D126">
        <v>7.7</v>
      </c>
      <c r="N126" t="s">
        <v>347</v>
      </c>
    </row>
    <row r="127" spans="1:14" x14ac:dyDescent="0.3">
      <c r="A127" t="s">
        <v>594</v>
      </c>
      <c r="G127">
        <v>7.4</v>
      </c>
      <c r="H127">
        <v>-13.6</v>
      </c>
      <c r="I127">
        <v>-13.6</v>
      </c>
      <c r="J127">
        <v>-13.6</v>
      </c>
      <c r="K127">
        <v>-21.8</v>
      </c>
      <c r="L127">
        <v>240.3</v>
      </c>
      <c r="M127">
        <v>28.9</v>
      </c>
      <c r="N127" t="s">
        <v>347</v>
      </c>
    </row>
    <row r="128" spans="1:14" x14ac:dyDescent="0.3">
      <c r="A128" t="s">
        <v>609</v>
      </c>
      <c r="B128">
        <v>7.4</v>
      </c>
      <c r="N128" t="s">
        <v>347</v>
      </c>
    </row>
    <row r="129" spans="1:14" x14ac:dyDescent="0.3">
      <c r="A129" t="s">
        <v>441</v>
      </c>
      <c r="F129">
        <v>-17.3</v>
      </c>
      <c r="G129">
        <v>3.9</v>
      </c>
      <c r="H129">
        <v>2.7</v>
      </c>
      <c r="I129">
        <v>2.7</v>
      </c>
      <c r="J129">
        <v>2.7</v>
      </c>
      <c r="K129">
        <v>-109.9</v>
      </c>
      <c r="L129">
        <v>0</v>
      </c>
      <c r="M129">
        <v>-36.299999999999997</v>
      </c>
      <c r="N129" t="s">
        <v>347</v>
      </c>
    </row>
    <row r="130" spans="1:14" x14ac:dyDescent="0.3">
      <c r="A130" t="s">
        <v>491</v>
      </c>
      <c r="B130">
        <v>3.9</v>
      </c>
      <c r="C130">
        <v>66.5</v>
      </c>
      <c r="D130">
        <v>-3.7</v>
      </c>
      <c r="N130" t="s">
        <v>347</v>
      </c>
    </row>
    <row r="131" spans="1:14" x14ac:dyDescent="0.3">
      <c r="A131" t="s">
        <v>614</v>
      </c>
      <c r="L131">
        <v>-23.1</v>
      </c>
      <c r="M131">
        <v>423.4</v>
      </c>
      <c r="N131" t="s">
        <v>347</v>
      </c>
    </row>
    <row r="132" spans="1:14" x14ac:dyDescent="0.3">
      <c r="A132" t="s">
        <v>419</v>
      </c>
      <c r="F132">
        <v>-4</v>
      </c>
      <c r="G132">
        <v>2.4</v>
      </c>
      <c r="H132">
        <v>1.6</v>
      </c>
      <c r="I132">
        <v>1.6</v>
      </c>
      <c r="J132">
        <v>1.6</v>
      </c>
      <c r="K132">
        <v>0</v>
      </c>
      <c r="L132">
        <v>0</v>
      </c>
      <c r="M132">
        <v>-95.9</v>
      </c>
      <c r="N132" t="s">
        <v>347</v>
      </c>
    </row>
    <row r="133" spans="1:14" x14ac:dyDescent="0.3">
      <c r="A133" t="s">
        <v>524</v>
      </c>
      <c r="B133">
        <v>2.4</v>
      </c>
      <c r="C133">
        <v>40.1</v>
      </c>
      <c r="D133">
        <v>5.5</v>
      </c>
      <c r="N133" t="s">
        <v>347</v>
      </c>
    </row>
    <row r="134" spans="1:14" x14ac:dyDescent="0.3">
      <c r="A134" t="s">
        <v>567</v>
      </c>
      <c r="C134">
        <v>-0.6</v>
      </c>
      <c r="N134" t="s">
        <v>347</v>
      </c>
    </row>
    <row r="135" spans="1:14" x14ac:dyDescent="0.3">
      <c r="A135" t="s">
        <v>603</v>
      </c>
      <c r="F135">
        <v>1.2</v>
      </c>
      <c r="G135">
        <v>0.9</v>
      </c>
      <c r="N135" t="s">
        <v>347</v>
      </c>
    </row>
    <row r="136" spans="1:14" x14ac:dyDescent="0.3">
      <c r="A136" t="s">
        <v>607</v>
      </c>
      <c r="B136">
        <v>0.9</v>
      </c>
      <c r="D136">
        <v>16</v>
      </c>
      <c r="N136" t="s">
        <v>347</v>
      </c>
    </row>
    <row r="137" spans="1:14" x14ac:dyDescent="0.3">
      <c r="A137" t="s">
        <v>601</v>
      </c>
      <c r="H137">
        <v>-27.9</v>
      </c>
      <c r="I137">
        <v>-27.9</v>
      </c>
      <c r="J137">
        <v>-27.9</v>
      </c>
      <c r="K137">
        <v>55.3</v>
      </c>
      <c r="L137">
        <v>558.20000000000005</v>
      </c>
      <c r="N137" t="s">
        <v>347</v>
      </c>
    </row>
    <row r="138" spans="1:14" x14ac:dyDescent="0.3">
      <c r="A138" t="s">
        <v>627</v>
      </c>
      <c r="F138">
        <v>-13.4</v>
      </c>
      <c r="G138">
        <v>16.899999999999999</v>
      </c>
      <c r="H138">
        <v>-20.7</v>
      </c>
      <c r="I138">
        <v>-20.7</v>
      </c>
      <c r="J138">
        <v>-20.7</v>
      </c>
      <c r="K138">
        <v>88.3</v>
      </c>
      <c r="L138">
        <v>99.1</v>
      </c>
      <c r="M138">
        <v>-1.1000000000000001</v>
      </c>
      <c r="N138" t="s">
        <v>347</v>
      </c>
    </row>
    <row r="139" spans="1:14" x14ac:dyDescent="0.3">
      <c r="A139" t="s">
        <v>531</v>
      </c>
      <c r="B139">
        <v>16.899999999999999</v>
      </c>
      <c r="C139">
        <v>93.4</v>
      </c>
      <c r="D139">
        <v>31.1</v>
      </c>
      <c r="N139" t="s">
        <v>347</v>
      </c>
    </row>
    <row r="140" spans="1:14" x14ac:dyDescent="0.3">
      <c r="A140" t="s">
        <v>399</v>
      </c>
      <c r="M140">
        <v>0</v>
      </c>
      <c r="N140" t="s">
        <v>347</v>
      </c>
    </row>
    <row r="141" spans="1:14" x14ac:dyDescent="0.3">
      <c r="A141" t="s">
        <v>684</v>
      </c>
      <c r="D141">
        <v>441.2</v>
      </c>
      <c r="N141" t="s">
        <v>347</v>
      </c>
    </row>
    <row r="142" spans="1:14" x14ac:dyDescent="0.3">
      <c r="A142" t="s">
        <v>368</v>
      </c>
      <c r="F142">
        <v>131.30000000000001</v>
      </c>
      <c r="G142">
        <v>-37.700000000000003</v>
      </c>
      <c r="H142">
        <v>-51.6</v>
      </c>
      <c r="I142">
        <v>-51.6</v>
      </c>
      <c r="J142">
        <v>-51.6</v>
      </c>
      <c r="K142">
        <v>-2821.3</v>
      </c>
      <c r="L142">
        <v>0</v>
      </c>
      <c r="M142">
        <v>-111</v>
      </c>
      <c r="N142" t="s">
        <v>347</v>
      </c>
    </row>
    <row r="143" spans="1:14" x14ac:dyDescent="0.3">
      <c r="A143" t="s">
        <v>374</v>
      </c>
      <c r="B143">
        <v>-37.700000000000003</v>
      </c>
      <c r="C143">
        <v>-72</v>
      </c>
      <c r="D143">
        <v>26.3</v>
      </c>
      <c r="N143" t="s">
        <v>347</v>
      </c>
    </row>
    <row r="144" spans="1:14" x14ac:dyDescent="0.3">
      <c r="A144" t="s">
        <v>479</v>
      </c>
      <c r="F144">
        <v>52.7</v>
      </c>
      <c r="G144">
        <v>-28.4</v>
      </c>
      <c r="H144">
        <v>-33</v>
      </c>
      <c r="I144">
        <v>-33</v>
      </c>
      <c r="J144">
        <v>-33</v>
      </c>
      <c r="K144">
        <v>-48.6</v>
      </c>
      <c r="N144" t="s">
        <v>347</v>
      </c>
    </row>
    <row r="145" spans="1:14" x14ac:dyDescent="0.3">
      <c r="A145" t="s">
        <v>489</v>
      </c>
      <c r="B145">
        <v>-28.4</v>
      </c>
      <c r="D145">
        <v>43.2</v>
      </c>
      <c r="N145" t="s">
        <v>347</v>
      </c>
    </row>
    <row r="146" spans="1:14" x14ac:dyDescent="0.3">
      <c r="A146" t="s">
        <v>350</v>
      </c>
      <c r="F146">
        <v>145.30000000000001</v>
      </c>
      <c r="G146">
        <v>-2.7</v>
      </c>
      <c r="H146">
        <v>0</v>
      </c>
      <c r="I146">
        <v>0</v>
      </c>
      <c r="J146">
        <v>0</v>
      </c>
      <c r="K146">
        <v>-4.5</v>
      </c>
      <c r="L146">
        <v>55.9</v>
      </c>
      <c r="M146">
        <v>-0.8</v>
      </c>
      <c r="N146" t="s">
        <v>347</v>
      </c>
    </row>
    <row r="147" spans="1:14" x14ac:dyDescent="0.3">
      <c r="A147" t="s">
        <v>355</v>
      </c>
      <c r="B147">
        <v>-2.7</v>
      </c>
      <c r="C147">
        <v>-32.700000000000003</v>
      </c>
      <c r="D147">
        <v>-13.6</v>
      </c>
      <c r="N147" t="s">
        <v>347</v>
      </c>
    </row>
    <row r="148" spans="1:14" x14ac:dyDescent="0.3">
      <c r="A148" t="s">
        <v>473</v>
      </c>
      <c r="F148">
        <v>-38.1</v>
      </c>
      <c r="G148">
        <v>98.3</v>
      </c>
      <c r="H148">
        <v>-42.4</v>
      </c>
      <c r="I148">
        <v>-42.4</v>
      </c>
      <c r="J148">
        <v>-42.4</v>
      </c>
      <c r="K148">
        <v>47.9</v>
      </c>
      <c r="L148">
        <v>1.5</v>
      </c>
      <c r="M148">
        <v>-23.5</v>
      </c>
      <c r="N148" t="s">
        <v>347</v>
      </c>
    </row>
    <row r="149" spans="1:14" x14ac:dyDescent="0.3">
      <c r="A149" t="s">
        <v>493</v>
      </c>
      <c r="B149">
        <v>98.3</v>
      </c>
      <c r="C149">
        <v>65.099999999999994</v>
      </c>
      <c r="D149">
        <v>29.6</v>
      </c>
      <c r="N149" t="s">
        <v>347</v>
      </c>
    </row>
    <row r="150" spans="1:14" x14ac:dyDescent="0.3">
      <c r="A150" t="s">
        <v>660</v>
      </c>
      <c r="F150">
        <v>-18.7</v>
      </c>
      <c r="G150">
        <v>-17.899999999999999</v>
      </c>
      <c r="H150">
        <v>-61.6</v>
      </c>
      <c r="I150">
        <v>-61.6</v>
      </c>
      <c r="J150">
        <v>-61.6</v>
      </c>
      <c r="K150">
        <v>-52.8</v>
      </c>
      <c r="L150">
        <v>257.7</v>
      </c>
      <c r="M150">
        <v>32.1</v>
      </c>
      <c r="N150" t="s">
        <v>347</v>
      </c>
    </row>
    <row r="151" spans="1:14" x14ac:dyDescent="0.3">
      <c r="A151" t="s">
        <v>552</v>
      </c>
      <c r="B151">
        <v>-17.899999999999999</v>
      </c>
      <c r="C151">
        <v>10</v>
      </c>
      <c r="D151">
        <v>2.7</v>
      </c>
      <c r="N151" t="s">
        <v>347</v>
      </c>
    </row>
    <row r="152" spans="1:14" x14ac:dyDescent="0.3">
      <c r="A152" t="s">
        <v>382</v>
      </c>
      <c r="F152">
        <v>28.6</v>
      </c>
      <c r="N152" t="s">
        <v>347</v>
      </c>
    </row>
    <row r="153" spans="1:14" x14ac:dyDescent="0.3">
      <c r="A153" t="s">
        <v>388</v>
      </c>
      <c r="C153">
        <v>-24.5</v>
      </c>
      <c r="D153">
        <v>-3.9</v>
      </c>
      <c r="N153" t="s">
        <v>347</v>
      </c>
    </row>
    <row r="154" spans="1:14" x14ac:dyDescent="0.3">
      <c r="A154" t="s">
        <v>426</v>
      </c>
      <c r="G154">
        <v>39.299999999999997</v>
      </c>
      <c r="H154">
        <v>-54.2</v>
      </c>
      <c r="I154">
        <v>-54.2</v>
      </c>
      <c r="J154">
        <v>-54.2</v>
      </c>
      <c r="K154">
        <v>-113.9</v>
      </c>
      <c r="L154">
        <v>0</v>
      </c>
      <c r="M154">
        <v>-81.2</v>
      </c>
      <c r="N154" t="s">
        <v>347</v>
      </c>
    </row>
    <row r="155" spans="1:14" x14ac:dyDescent="0.3">
      <c r="A155" t="s">
        <v>617</v>
      </c>
      <c r="B155">
        <v>39.299999999999997</v>
      </c>
      <c r="N155" t="s">
        <v>347</v>
      </c>
    </row>
    <row r="156" spans="1:14" x14ac:dyDescent="0.3">
      <c r="A156" t="s">
        <v>597</v>
      </c>
      <c r="M156">
        <v>-43.9</v>
      </c>
      <c r="N156" t="s">
        <v>347</v>
      </c>
    </row>
    <row r="157" spans="1:14" x14ac:dyDescent="0.3">
      <c r="A157" t="s">
        <v>655</v>
      </c>
      <c r="F157">
        <v>7</v>
      </c>
      <c r="G157">
        <v>0.9</v>
      </c>
      <c r="H157">
        <v>4.0999999999999996</v>
      </c>
      <c r="I157">
        <v>4.0999999999999996</v>
      </c>
      <c r="J157">
        <v>4.0999999999999996</v>
      </c>
      <c r="K157">
        <v>-57.1</v>
      </c>
      <c r="L157">
        <v>100</v>
      </c>
      <c r="M157">
        <v>-60.9</v>
      </c>
      <c r="N157" t="s">
        <v>347</v>
      </c>
    </row>
    <row r="158" spans="1:14" x14ac:dyDescent="0.3">
      <c r="A158" t="s">
        <v>511</v>
      </c>
      <c r="B158">
        <v>0.9</v>
      </c>
      <c r="C158">
        <v>40.799999999999997</v>
      </c>
      <c r="D158">
        <v>8.9</v>
      </c>
      <c r="N158" t="s">
        <v>347</v>
      </c>
    </row>
    <row r="159" spans="1:14" x14ac:dyDescent="0.3">
      <c r="A159" t="s">
        <v>503</v>
      </c>
      <c r="C159">
        <v>-0.7</v>
      </c>
      <c r="N159" t="s">
        <v>347</v>
      </c>
    </row>
    <row r="160" spans="1:14" x14ac:dyDescent="0.3">
      <c r="A160" t="s">
        <v>581</v>
      </c>
      <c r="F160">
        <v>-5.3</v>
      </c>
      <c r="G160">
        <v>43</v>
      </c>
      <c r="H160">
        <v>3.3</v>
      </c>
      <c r="I160">
        <v>3.3</v>
      </c>
      <c r="J160">
        <v>3.3</v>
      </c>
      <c r="N160" t="s">
        <v>347</v>
      </c>
    </row>
    <row r="161" spans="1:14" x14ac:dyDescent="0.3">
      <c r="A161" t="s">
        <v>589</v>
      </c>
      <c r="B161">
        <v>43</v>
      </c>
      <c r="D161">
        <v>-25.8</v>
      </c>
      <c r="N161" t="s">
        <v>347</v>
      </c>
    </row>
    <row r="162" spans="1:14" x14ac:dyDescent="0.3">
      <c r="A162" t="s">
        <v>639</v>
      </c>
      <c r="F162">
        <v>-22.5</v>
      </c>
      <c r="G162">
        <v>-22.7</v>
      </c>
      <c r="H162">
        <v>-43.4</v>
      </c>
      <c r="I162">
        <v>-43.4</v>
      </c>
      <c r="J162">
        <v>-43.4</v>
      </c>
      <c r="K162">
        <v>-367.6</v>
      </c>
      <c r="N162" t="s">
        <v>347</v>
      </c>
    </row>
    <row r="163" spans="1:14" x14ac:dyDescent="0.3">
      <c r="A163" t="s">
        <v>465</v>
      </c>
      <c r="B163">
        <v>-22.7</v>
      </c>
      <c r="C163">
        <v>0</v>
      </c>
      <c r="D163">
        <v>227.9</v>
      </c>
      <c r="N163" t="s">
        <v>347</v>
      </c>
    </row>
    <row r="164" spans="1:14" x14ac:dyDescent="0.3">
      <c r="A164" t="s">
        <v>434</v>
      </c>
      <c r="F164">
        <v>4.8</v>
      </c>
      <c r="G164">
        <v>40.299999999999997</v>
      </c>
      <c r="H164">
        <v>-57.3</v>
      </c>
      <c r="I164">
        <v>-57.3</v>
      </c>
      <c r="J164">
        <v>-57.3</v>
      </c>
      <c r="K164">
        <v>0</v>
      </c>
      <c r="L164">
        <v>0</v>
      </c>
      <c r="M164">
        <v>-14.6</v>
      </c>
      <c r="N164" t="s">
        <v>347</v>
      </c>
    </row>
    <row r="165" spans="1:14" x14ac:dyDescent="0.3">
      <c r="A165" t="s">
        <v>562</v>
      </c>
      <c r="B165">
        <v>40.299999999999997</v>
      </c>
      <c r="C165">
        <v>-4.5999999999999996</v>
      </c>
      <c r="D165">
        <v>-5.8</v>
      </c>
      <c r="N165" t="s">
        <v>347</v>
      </c>
    </row>
    <row r="166" spans="1:14" x14ac:dyDescent="0.3">
      <c r="A166" t="s">
        <v>545</v>
      </c>
      <c r="C166">
        <v>-887.5</v>
      </c>
      <c r="N166" t="s">
        <v>347</v>
      </c>
    </row>
    <row r="167" spans="1:14" x14ac:dyDescent="0.3">
      <c r="A167" t="s">
        <v>456</v>
      </c>
      <c r="F167">
        <v>0</v>
      </c>
      <c r="G167">
        <v>91.8</v>
      </c>
      <c r="H167">
        <v>53.4</v>
      </c>
      <c r="I167">
        <v>53.4</v>
      </c>
      <c r="J167">
        <v>53.4</v>
      </c>
      <c r="N167" t="s">
        <v>347</v>
      </c>
    </row>
    <row r="168" spans="1:14" x14ac:dyDescent="0.3">
      <c r="A168" t="s">
        <v>459</v>
      </c>
      <c r="B168">
        <v>91.8</v>
      </c>
      <c r="D168">
        <v>0</v>
      </c>
      <c r="N168" t="s">
        <v>347</v>
      </c>
    </row>
    <row r="169" spans="1:14" x14ac:dyDescent="0.3">
      <c r="A169" t="s">
        <v>413</v>
      </c>
      <c r="F169">
        <v>24.9</v>
      </c>
      <c r="G169">
        <v>20.7</v>
      </c>
      <c r="H169">
        <v>-32.4</v>
      </c>
      <c r="I169">
        <v>-32.4</v>
      </c>
      <c r="J169">
        <v>-32.4</v>
      </c>
      <c r="K169">
        <v>0</v>
      </c>
      <c r="L169">
        <v>0</v>
      </c>
      <c r="M169">
        <v>-133.9</v>
      </c>
      <c r="N169" t="s">
        <v>347</v>
      </c>
    </row>
    <row r="170" spans="1:14" x14ac:dyDescent="0.3">
      <c r="A170" t="s">
        <v>590</v>
      </c>
      <c r="B170">
        <v>20.7</v>
      </c>
      <c r="N170" t="s">
        <v>347</v>
      </c>
    </row>
    <row r="171" spans="1:14" x14ac:dyDescent="0.3">
      <c r="A171" t="s">
        <v>542</v>
      </c>
      <c r="C171">
        <v>-21.7</v>
      </c>
      <c r="D171">
        <v>-65.8</v>
      </c>
      <c r="N171" t="s">
        <v>347</v>
      </c>
    </row>
    <row r="172" spans="1:14" x14ac:dyDescent="0.3">
      <c r="A172" t="s">
        <v>636</v>
      </c>
      <c r="F172">
        <v>-30.4</v>
      </c>
      <c r="G172">
        <v>31</v>
      </c>
      <c r="H172">
        <v>-2</v>
      </c>
      <c r="I172">
        <v>-2</v>
      </c>
      <c r="J172">
        <v>-2</v>
      </c>
      <c r="K172">
        <v>-20.5</v>
      </c>
      <c r="L172">
        <v>61.3</v>
      </c>
      <c r="N172" t="s">
        <v>347</v>
      </c>
    </row>
    <row r="173" spans="1:14" x14ac:dyDescent="0.3">
      <c r="A173" t="s">
        <v>214</v>
      </c>
      <c r="B173">
        <v>31</v>
      </c>
      <c r="N173" t="s">
        <v>347</v>
      </c>
    </row>
    <row r="174" spans="1:14" x14ac:dyDescent="0.3">
      <c r="A174" t="s">
        <v>666</v>
      </c>
      <c r="L174">
        <v>578.1</v>
      </c>
      <c r="M174">
        <v>5.2</v>
      </c>
      <c r="N174" t="s">
        <v>347</v>
      </c>
    </row>
    <row r="175" spans="1:14" x14ac:dyDescent="0.3">
      <c r="A175" t="s">
        <v>518</v>
      </c>
      <c r="C175">
        <v>41.8</v>
      </c>
      <c r="N175" t="s">
        <v>347</v>
      </c>
    </row>
    <row r="176" spans="1:14" x14ac:dyDescent="0.3">
      <c r="A176" t="s">
        <v>625</v>
      </c>
      <c r="F176">
        <v>10.3</v>
      </c>
      <c r="G176">
        <v>51.9</v>
      </c>
      <c r="H176">
        <v>-17.2</v>
      </c>
      <c r="I176">
        <v>-17.2</v>
      </c>
      <c r="J176">
        <v>-17.2</v>
      </c>
      <c r="K176">
        <v>11.9</v>
      </c>
      <c r="L176">
        <v>3.3</v>
      </c>
      <c r="M176">
        <v>14.4</v>
      </c>
      <c r="N176" t="s">
        <v>347</v>
      </c>
    </row>
    <row r="177" spans="1:14" x14ac:dyDescent="0.3">
      <c r="A177" t="s">
        <v>647</v>
      </c>
      <c r="B177">
        <v>51.9</v>
      </c>
      <c r="D177">
        <v>10.8</v>
      </c>
      <c r="N177" t="s">
        <v>347</v>
      </c>
    </row>
    <row r="178" spans="1:14" x14ac:dyDescent="0.3">
      <c r="A178" t="s">
        <v>630</v>
      </c>
      <c r="F178">
        <v>-2.5</v>
      </c>
      <c r="G178">
        <v>-12.3</v>
      </c>
      <c r="H178">
        <v>-24.6</v>
      </c>
      <c r="I178">
        <v>-24.6</v>
      </c>
      <c r="J178">
        <v>-24.6</v>
      </c>
      <c r="K178">
        <v>13.1</v>
      </c>
      <c r="L178">
        <v>19.8</v>
      </c>
      <c r="M178">
        <v>-28.6</v>
      </c>
      <c r="N178" t="s">
        <v>347</v>
      </c>
    </row>
    <row r="179" spans="1:14" x14ac:dyDescent="0.3">
      <c r="A179" t="s">
        <v>577</v>
      </c>
      <c r="B179">
        <v>-12.3</v>
      </c>
      <c r="C179">
        <v>222.6</v>
      </c>
      <c r="D179">
        <v>57.1</v>
      </c>
      <c r="N179" t="s">
        <v>347</v>
      </c>
    </row>
    <row r="180" spans="1:14" x14ac:dyDescent="0.3">
      <c r="A180" t="s">
        <v>362</v>
      </c>
      <c r="K180">
        <v>0</v>
      </c>
      <c r="L180">
        <v>665.5</v>
      </c>
      <c r="M180">
        <v>127.5</v>
      </c>
      <c r="N180" t="s">
        <v>347</v>
      </c>
    </row>
    <row r="181" spans="1:14" x14ac:dyDescent="0.3">
      <c r="A181" t="s">
        <v>406</v>
      </c>
      <c r="F181">
        <v>-26.4</v>
      </c>
      <c r="G181">
        <v>-34</v>
      </c>
      <c r="H181">
        <v>-395.6</v>
      </c>
      <c r="I181">
        <v>-395.6</v>
      </c>
      <c r="J181">
        <v>-395.6</v>
      </c>
      <c r="K181">
        <v>0</v>
      </c>
      <c r="L181">
        <v>0</v>
      </c>
      <c r="N181" t="s">
        <v>347</v>
      </c>
    </row>
    <row r="182" spans="1:14" x14ac:dyDescent="0.3">
      <c r="A182" t="s">
        <v>521</v>
      </c>
      <c r="B182">
        <v>-34</v>
      </c>
      <c r="C182">
        <v>-35.5</v>
      </c>
      <c r="D182">
        <v>27.2</v>
      </c>
      <c r="N182" t="s">
        <v>347</v>
      </c>
    </row>
    <row r="183" spans="1:14" x14ac:dyDescent="0.3">
      <c r="A183" t="s">
        <v>450</v>
      </c>
      <c r="F183">
        <v>-110.4</v>
      </c>
      <c r="G183">
        <v>0</v>
      </c>
      <c r="N183" t="s">
        <v>347</v>
      </c>
    </row>
    <row r="184" spans="1:14" x14ac:dyDescent="0.3">
      <c r="A184" t="s">
        <v>468</v>
      </c>
      <c r="B184">
        <v>0</v>
      </c>
      <c r="C184">
        <v>30.3</v>
      </c>
      <c r="D184">
        <v>-56.7</v>
      </c>
      <c r="N184" t="s">
        <v>347</v>
      </c>
    </row>
    <row r="185" spans="1:14" x14ac:dyDescent="0.3">
      <c r="A185" t="s">
        <v>658</v>
      </c>
      <c r="F185">
        <v>483.8</v>
      </c>
      <c r="G185">
        <v>-14</v>
      </c>
      <c r="H185">
        <v>16.600000000000001</v>
      </c>
      <c r="I185">
        <v>16.600000000000001</v>
      </c>
      <c r="J185">
        <v>16.600000000000001</v>
      </c>
      <c r="K185">
        <v>-44.7</v>
      </c>
      <c r="L185">
        <v>82.2</v>
      </c>
      <c r="M185">
        <v>-15.3</v>
      </c>
      <c r="N185" t="s">
        <v>347</v>
      </c>
    </row>
    <row r="186" spans="1:14" x14ac:dyDescent="0.3">
      <c r="A186" t="s">
        <v>688</v>
      </c>
      <c r="B186">
        <v>-14</v>
      </c>
      <c r="N186" t="s">
        <v>347</v>
      </c>
    </row>
    <row r="187" spans="1:14" x14ac:dyDescent="0.3">
      <c r="A187" t="s">
        <v>539</v>
      </c>
      <c r="C187">
        <v>-40.4</v>
      </c>
      <c r="D187">
        <v>-66.3</v>
      </c>
      <c r="N187" t="s">
        <v>347</v>
      </c>
    </row>
    <row r="188" spans="1:14" x14ac:dyDescent="0.3">
      <c r="A188" t="s">
        <v>599</v>
      </c>
      <c r="H188">
        <v>9.3000000000000007</v>
      </c>
      <c r="I188">
        <v>9.3000000000000007</v>
      </c>
      <c r="J188">
        <v>9.3000000000000007</v>
      </c>
      <c r="K188">
        <v>-35</v>
      </c>
      <c r="L188">
        <v>80</v>
      </c>
      <c r="M188">
        <v>-16.3</v>
      </c>
      <c r="N188" t="s">
        <v>347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E032D-9D98-4052-B172-8917B26CA95A}">
  <dimension ref="A1:N188"/>
  <sheetViews>
    <sheetView topLeftCell="A108" workbookViewId="0">
      <selection activeCell="N120" sqref="N120:N188"/>
    </sheetView>
  </sheetViews>
  <sheetFormatPr baseColWidth="10" defaultRowHeight="14.4" x14ac:dyDescent="0.3"/>
  <sheetData>
    <row r="1" spans="1:14" x14ac:dyDescent="0.3">
      <c r="A1" s="3"/>
      <c r="B1" s="3">
        <v>2011</v>
      </c>
      <c r="C1" s="3">
        <v>2012</v>
      </c>
      <c r="D1" s="3">
        <v>2013</v>
      </c>
      <c r="E1" s="3">
        <v>2014</v>
      </c>
      <c r="F1" s="3">
        <v>2015</v>
      </c>
      <c r="G1" s="3">
        <v>2016</v>
      </c>
      <c r="H1" s="3">
        <v>2017</v>
      </c>
      <c r="I1" s="3">
        <v>2018</v>
      </c>
      <c r="J1" s="3">
        <v>2019</v>
      </c>
      <c r="K1" s="3">
        <v>2020</v>
      </c>
      <c r="L1" s="3">
        <v>2021</v>
      </c>
      <c r="M1" s="3">
        <v>2022</v>
      </c>
    </row>
    <row r="2" spans="1:14" x14ac:dyDescent="0.3">
      <c r="A2" s="2" t="s">
        <v>298</v>
      </c>
      <c r="G2">
        <v>851.7</v>
      </c>
      <c r="N2" t="str">
        <f>VLOOKUP(A2,'Originales sin dirección'!V:W,2,FALSE)</f>
        <v>Computers, Office Equipment</v>
      </c>
    </row>
    <row r="3" spans="1:14" x14ac:dyDescent="0.3">
      <c r="A3" s="2" t="s">
        <v>278</v>
      </c>
      <c r="F3">
        <v>110</v>
      </c>
      <c r="G3">
        <v>2745.9</v>
      </c>
      <c r="H3">
        <v>39895.199999999997</v>
      </c>
      <c r="I3">
        <v>39895.199999999997</v>
      </c>
      <c r="J3">
        <v>39895.199999999997</v>
      </c>
      <c r="N3" t="str">
        <f>VLOOKUP(A3,'Originales sin dirección'!V:W,2,FALSE)</f>
        <v>Computers, Office Equipment</v>
      </c>
    </row>
    <row r="4" spans="1:14" x14ac:dyDescent="0.3">
      <c r="A4" s="2" t="s">
        <v>282</v>
      </c>
      <c r="B4">
        <v>2745.9</v>
      </c>
      <c r="N4" t="str">
        <f>VLOOKUP(A4,'Originales sin dirección'!V:W,2,FALSE)</f>
        <v>Internet Services and Retailing</v>
      </c>
    </row>
    <row r="5" spans="1:14" x14ac:dyDescent="0.3">
      <c r="A5" s="2" t="s">
        <v>307</v>
      </c>
      <c r="B5">
        <v>851.7</v>
      </c>
      <c r="N5" t="str">
        <f>VLOOKUP(A5,'Originales sin dirección'!V:W,2,FALSE)</f>
        <v>Telecommunications</v>
      </c>
    </row>
    <row r="6" spans="1:14" x14ac:dyDescent="0.3">
      <c r="A6" s="2" t="s">
        <v>81</v>
      </c>
      <c r="F6">
        <v>53394</v>
      </c>
      <c r="G6">
        <v>45687</v>
      </c>
      <c r="H6">
        <v>59531</v>
      </c>
      <c r="I6">
        <v>59531</v>
      </c>
      <c r="J6">
        <v>59531</v>
      </c>
      <c r="K6">
        <v>57411</v>
      </c>
      <c r="L6">
        <v>94680</v>
      </c>
      <c r="M6">
        <v>99803</v>
      </c>
      <c r="N6" t="str">
        <f>VLOOKUP(A6,'Originales sin dirección'!V:W,2,FALSE)</f>
        <v>Computers, Office Equipment</v>
      </c>
    </row>
    <row r="7" spans="1:14" x14ac:dyDescent="0.3">
      <c r="A7" s="2" t="s">
        <v>87</v>
      </c>
      <c r="B7">
        <v>45687</v>
      </c>
      <c r="C7">
        <v>41733</v>
      </c>
      <c r="D7">
        <v>37037</v>
      </c>
      <c r="N7" t="str">
        <f>VLOOKUP(A7,'Originales sin dirección'!V:W,2,FALSE)</f>
        <v>Computers, Office Equipment</v>
      </c>
    </row>
    <row r="8" spans="1:14" x14ac:dyDescent="0.3">
      <c r="A8" s="2" t="s">
        <v>148</v>
      </c>
      <c r="G8">
        <v>-1722.5</v>
      </c>
      <c r="N8" t="str">
        <f>VLOOKUP(A8,'Originales sin dirección'!V:W,2,FALSE)</f>
        <v>Telecommunications</v>
      </c>
    </row>
    <row r="9" spans="1:14" x14ac:dyDescent="0.3">
      <c r="A9" s="2" t="s">
        <v>178</v>
      </c>
      <c r="B9">
        <v>-1722.5</v>
      </c>
      <c r="N9" t="str">
        <f>VLOOKUP(A9,'Originales sin dirección'!V:W,2,FALSE)</f>
        <v>Telecommunications</v>
      </c>
    </row>
    <row r="10" spans="1:14" x14ac:dyDescent="0.3">
      <c r="A10" s="2" t="s">
        <v>290</v>
      </c>
      <c r="F10">
        <v>2209.4</v>
      </c>
      <c r="G10">
        <v>462.9</v>
      </c>
      <c r="H10">
        <v>2733</v>
      </c>
      <c r="I10">
        <v>2733</v>
      </c>
      <c r="J10">
        <v>2733</v>
      </c>
      <c r="K10">
        <v>2180.5</v>
      </c>
      <c r="L10">
        <v>9489.9</v>
      </c>
      <c r="M10">
        <v>3787.8</v>
      </c>
      <c r="N10" t="str">
        <f>VLOOKUP(A10,'Originales sin dirección'!V:W,2,FALSE)</f>
        <v>Telecommunications</v>
      </c>
    </row>
    <row r="11" spans="1:14" x14ac:dyDescent="0.3">
      <c r="A11" s="2" t="s">
        <v>235</v>
      </c>
      <c r="B11">
        <v>462.9</v>
      </c>
      <c r="C11">
        <v>6951.2</v>
      </c>
      <c r="D11">
        <v>5844.1</v>
      </c>
      <c r="N11" t="str">
        <f>VLOOKUP(A11,'Originales sin dirección'!V:W,2,FALSE)</f>
        <v>Telecommunications</v>
      </c>
    </row>
    <row r="12" spans="1:14" x14ac:dyDescent="0.3">
      <c r="A12" s="2" t="s">
        <v>65</v>
      </c>
      <c r="F12">
        <v>596</v>
      </c>
      <c r="G12">
        <v>2371</v>
      </c>
      <c r="H12">
        <v>10073</v>
      </c>
      <c r="I12">
        <v>10073</v>
      </c>
      <c r="J12">
        <v>10073</v>
      </c>
      <c r="K12">
        <v>21331</v>
      </c>
      <c r="L12">
        <v>33364</v>
      </c>
      <c r="M12">
        <v>-2722</v>
      </c>
      <c r="N12" t="str">
        <f>VLOOKUP(A12,'Originales sin dirección'!V:W,2,FALSE)</f>
        <v>Internet Services and Retailing</v>
      </c>
    </row>
    <row r="13" spans="1:14" x14ac:dyDescent="0.3">
      <c r="A13" s="2" t="s">
        <v>67</v>
      </c>
      <c r="B13">
        <v>2371</v>
      </c>
      <c r="C13">
        <v>-39</v>
      </c>
      <c r="D13">
        <v>274</v>
      </c>
      <c r="N13" t="str">
        <f>VLOOKUP(A13,'Originales sin dirección'!V:W,2,FALSE)</f>
        <v>Internet Services and Retailing</v>
      </c>
    </row>
    <row r="14" spans="1:14" x14ac:dyDescent="0.3">
      <c r="A14" s="2" t="s">
        <v>272</v>
      </c>
      <c r="G14">
        <v>6489.5</v>
      </c>
      <c r="H14">
        <v>13094.4</v>
      </c>
      <c r="I14">
        <v>13094.4</v>
      </c>
      <c r="J14">
        <v>13094.4</v>
      </c>
      <c r="K14">
        <v>22224</v>
      </c>
      <c r="L14">
        <v>9700.5</v>
      </c>
      <c r="M14">
        <v>10625</v>
      </c>
      <c r="N14" t="str">
        <f>VLOOKUP(A14,'Originales sin dirección'!V:W,2,FALSE)</f>
        <v>Internet Services and Retailing</v>
      </c>
    </row>
    <row r="15" spans="1:14" x14ac:dyDescent="0.3">
      <c r="A15" s="2" t="s">
        <v>281</v>
      </c>
      <c r="B15">
        <v>6489.5</v>
      </c>
      <c r="N15" t="str">
        <f>VLOOKUP(A15,'Originales sin dirección'!V:W,2,FALSE)</f>
        <v>Internet Services and Retailing</v>
      </c>
    </row>
    <row r="16" spans="1:14" x14ac:dyDescent="0.3">
      <c r="A16" s="2" t="s">
        <v>261</v>
      </c>
      <c r="F16">
        <v>3896.6</v>
      </c>
      <c r="G16">
        <v>2484.6</v>
      </c>
      <c r="H16">
        <v>2833.1</v>
      </c>
      <c r="I16">
        <v>2833.1</v>
      </c>
      <c r="J16">
        <v>2833.1</v>
      </c>
      <c r="N16" t="str">
        <f>VLOOKUP(A16,'Originales sin dirección'!V:W,2,FALSE)</f>
        <v>Telecommunications</v>
      </c>
    </row>
    <row r="17" spans="1:14" x14ac:dyDescent="0.3">
      <c r="A17" s="2" t="s">
        <v>220</v>
      </c>
      <c r="B17">
        <v>2484.6</v>
      </c>
      <c r="C17">
        <v>3302.1</v>
      </c>
      <c r="D17">
        <v>3205.8</v>
      </c>
      <c r="N17" t="str">
        <f>VLOOKUP(A17,'Originales sin dirección'!V:W,2,FALSE)</f>
        <v>Telecommunications</v>
      </c>
    </row>
    <row r="18" spans="1:14" x14ac:dyDescent="0.3">
      <c r="A18" s="2" t="s">
        <v>259</v>
      </c>
      <c r="K18">
        <v>1922.8</v>
      </c>
      <c r="N18" t="str">
        <f>VLOOKUP(A18,'Originales sin dirección'!V:W,2,FALSE)</f>
        <v>Telecommunications</v>
      </c>
    </row>
    <row r="19" spans="1:14" x14ac:dyDescent="0.3">
      <c r="A19" s="2" t="s">
        <v>196</v>
      </c>
      <c r="F19">
        <v>1819.5</v>
      </c>
      <c r="G19">
        <v>1385</v>
      </c>
      <c r="H19">
        <v>2289.5</v>
      </c>
      <c r="I19">
        <v>2289.5</v>
      </c>
      <c r="J19">
        <v>2289.5</v>
      </c>
      <c r="K19">
        <v>780.4</v>
      </c>
      <c r="L19">
        <v>1956</v>
      </c>
      <c r="N19" t="str">
        <f>VLOOKUP(A19,'Originales sin dirección'!V:W,2,FALSE)</f>
        <v>Computers, Office Equipment</v>
      </c>
    </row>
    <row r="20" spans="1:14" x14ac:dyDescent="0.3">
      <c r="A20" s="2" t="s">
        <v>203</v>
      </c>
      <c r="B20">
        <v>1385</v>
      </c>
      <c r="C20">
        <v>2814.1</v>
      </c>
      <c r="D20">
        <v>2362.5</v>
      </c>
      <c r="N20" t="str">
        <f>VLOOKUP(A20,'Originales sin dirección'!V:W,2,FALSE)</f>
        <v>Computers, Office Equipment</v>
      </c>
    </row>
    <row r="21" spans="1:14" x14ac:dyDescent="0.3">
      <c r="A21" s="2" t="s">
        <v>45</v>
      </c>
      <c r="G21">
        <v>3522</v>
      </c>
      <c r="H21">
        <v>1230</v>
      </c>
      <c r="I21">
        <v>1230</v>
      </c>
      <c r="J21">
        <v>1230</v>
      </c>
      <c r="K21">
        <v>3222</v>
      </c>
      <c r="L21">
        <v>4654</v>
      </c>
      <c r="M21">
        <v>5055</v>
      </c>
      <c r="N21" t="str">
        <f>VLOOKUP(A21,'Originales sin dirección'!V:W,2,FALSE)</f>
        <v>Telecommunications</v>
      </c>
    </row>
    <row r="22" spans="1:14" x14ac:dyDescent="0.3">
      <c r="A22" s="2" t="s">
        <v>122</v>
      </c>
      <c r="B22">
        <v>3522</v>
      </c>
      <c r="N22" t="str">
        <f>VLOOKUP(A22,'Originales sin dirección'!V:W,2,FALSE)</f>
        <v>Telecommunications</v>
      </c>
    </row>
    <row r="23" spans="1:14" x14ac:dyDescent="0.3">
      <c r="A23" s="2" t="s">
        <v>69</v>
      </c>
      <c r="C23">
        <v>6203</v>
      </c>
      <c r="N23" t="str">
        <f>VLOOKUP(A23,'Originales sin dirección'!V:W,2,FALSE)</f>
        <v>Telecommunications</v>
      </c>
    </row>
    <row r="24" spans="1:14" x14ac:dyDescent="0.3">
      <c r="A24" s="2" t="s">
        <v>93</v>
      </c>
      <c r="F24">
        <v>8163</v>
      </c>
      <c r="G24">
        <v>8695</v>
      </c>
      <c r="H24">
        <v>11731</v>
      </c>
      <c r="I24">
        <v>11731</v>
      </c>
      <c r="J24">
        <v>11731</v>
      </c>
      <c r="K24">
        <v>10534</v>
      </c>
      <c r="L24">
        <v>14159</v>
      </c>
      <c r="M24">
        <v>5370</v>
      </c>
      <c r="N24" t="str">
        <f>VLOOKUP(A24,'Originales sin dirección'!V:W,2,FALSE)</f>
        <v>Telecommunications</v>
      </c>
    </row>
    <row r="25" spans="1:14" x14ac:dyDescent="0.3">
      <c r="A25" s="2" t="s">
        <v>110</v>
      </c>
      <c r="B25">
        <v>8695</v>
      </c>
      <c r="D25">
        <v>6816</v>
      </c>
      <c r="N25" t="str">
        <f>VLOOKUP(A25,'Originales sin dirección'!V:W,2,FALSE)</f>
        <v>Telecommunications</v>
      </c>
    </row>
    <row r="26" spans="1:14" x14ac:dyDescent="0.3">
      <c r="A26" s="2" t="s">
        <v>56</v>
      </c>
      <c r="M26">
        <v>208</v>
      </c>
      <c r="N26" t="str">
        <f>VLOOKUP(A26,'Originales sin dirección'!V:W,2,FALSE)</f>
        <v>Computer Software</v>
      </c>
    </row>
    <row r="27" spans="1:14" x14ac:dyDescent="0.3">
      <c r="A27" s="2" t="s">
        <v>31</v>
      </c>
      <c r="H27">
        <v>-2310</v>
      </c>
      <c r="I27">
        <v>-2310</v>
      </c>
      <c r="J27">
        <v>-2310</v>
      </c>
      <c r="K27">
        <v>3250</v>
      </c>
      <c r="L27">
        <v>5563</v>
      </c>
      <c r="M27">
        <v>2442</v>
      </c>
      <c r="N27" t="str">
        <f>VLOOKUP(A27,'Originales sin dirección'!V:W,2,FALSE)</f>
        <v>Computers, Office Equipment</v>
      </c>
    </row>
    <row r="28" spans="1:14" x14ac:dyDescent="0.3">
      <c r="A28" s="2" t="s">
        <v>114</v>
      </c>
      <c r="C28">
        <v>2372</v>
      </c>
      <c r="N28" t="str">
        <f>VLOOKUP(A28,'Originales sin dirección'!V:W,2,FALSE)</f>
        <v>Computers, Office Equipment</v>
      </c>
    </row>
    <row r="29" spans="1:14" x14ac:dyDescent="0.3">
      <c r="A29" s="2" t="s">
        <v>256</v>
      </c>
      <c r="F29">
        <v>3609.6</v>
      </c>
      <c r="G29">
        <v>2958.1</v>
      </c>
      <c r="H29">
        <v>2556.1999999999998</v>
      </c>
      <c r="I29">
        <v>2556.1999999999998</v>
      </c>
      <c r="J29">
        <v>2556.1999999999998</v>
      </c>
      <c r="K29">
        <v>4737.8</v>
      </c>
      <c r="L29">
        <v>4937.3999999999996</v>
      </c>
      <c r="M29">
        <v>8415.1</v>
      </c>
      <c r="N29" t="str">
        <f>VLOOKUP(A29,'Originales sin dirección'!V:W,2,FALSE)</f>
        <v>Telecommunications</v>
      </c>
    </row>
    <row r="30" spans="1:14" x14ac:dyDescent="0.3">
      <c r="A30" s="2" t="s">
        <v>164</v>
      </c>
      <c r="B30">
        <v>2958.1</v>
      </c>
      <c r="C30">
        <v>-6753.3</v>
      </c>
      <c r="D30">
        <v>1234.5999999999999</v>
      </c>
      <c r="N30" t="str">
        <f>VLOOKUP(A30,'Originales sin dirección'!V:W,2,FALSE)</f>
        <v>Telecommunications</v>
      </c>
    </row>
    <row r="31" spans="1:14" x14ac:dyDescent="0.3">
      <c r="A31" s="2" t="s">
        <v>51</v>
      </c>
      <c r="C31">
        <v>2949</v>
      </c>
      <c r="D31">
        <v>2859</v>
      </c>
      <c r="N31" t="str">
        <f>VLOOKUP(A31,'Originales sin dirección'!V:W,2,FALSE)</f>
        <v>Telecommunications</v>
      </c>
    </row>
    <row r="32" spans="1:14" x14ac:dyDescent="0.3">
      <c r="A32" s="2" t="s">
        <v>106</v>
      </c>
      <c r="F32">
        <v>1990</v>
      </c>
      <c r="N32" t="str">
        <f>VLOOKUP(A32,'Originales sin dirección'!V:W,2,FALSE)</f>
        <v>Computers, Office Equipment</v>
      </c>
    </row>
    <row r="33" spans="1:14" x14ac:dyDescent="0.3">
      <c r="A33" s="2" t="s">
        <v>104</v>
      </c>
      <c r="F33">
        <v>2710</v>
      </c>
      <c r="N33" t="str">
        <f>VLOOKUP(A33,'Originales sin dirección'!V:W,2,FALSE)</f>
        <v>Electronics, Electrical Equip.</v>
      </c>
    </row>
    <row r="34" spans="1:14" x14ac:dyDescent="0.3">
      <c r="A34" s="2" t="s">
        <v>108</v>
      </c>
      <c r="C34">
        <v>1968</v>
      </c>
      <c r="D34">
        <v>2004</v>
      </c>
      <c r="N34" t="str">
        <f>VLOOKUP(A34,'Originales sin dirección'!V:W,2,FALSE)</f>
        <v>Electronics, Electrical Equip.</v>
      </c>
    </row>
    <row r="35" spans="1:14" x14ac:dyDescent="0.3">
      <c r="A35" s="2" t="s">
        <v>41</v>
      </c>
      <c r="G35">
        <v>10217</v>
      </c>
      <c r="H35">
        <v>22112</v>
      </c>
      <c r="I35">
        <v>22112</v>
      </c>
      <c r="J35">
        <v>22112</v>
      </c>
      <c r="K35">
        <v>29146</v>
      </c>
      <c r="N35" t="str">
        <f>VLOOKUP(A35,'Originales sin dirección'!V:W,2,FALSE)</f>
        <v>Internet Services and Retailing</v>
      </c>
    </row>
    <row r="36" spans="1:14" x14ac:dyDescent="0.3">
      <c r="A36" s="2" t="s">
        <v>53</v>
      </c>
      <c r="B36">
        <v>10217</v>
      </c>
      <c r="N36" t="str">
        <f>VLOOKUP(A36,'Originales sin dirección'!V:W,2,FALSE)</f>
        <v>Internet Services and Retailing</v>
      </c>
    </row>
    <row r="37" spans="1:14" x14ac:dyDescent="0.3">
      <c r="A37" s="2" t="s">
        <v>158</v>
      </c>
      <c r="C37">
        <v>-878</v>
      </c>
      <c r="D37">
        <v>485.2</v>
      </c>
      <c r="N37" t="str">
        <f>VLOOKUP(A37,'Originales sin dirección'!V:W,2,FALSE)</f>
        <v>Computers, Office Equipment</v>
      </c>
    </row>
    <row r="38" spans="1:14" x14ac:dyDescent="0.3">
      <c r="A38" s="2" t="s">
        <v>294</v>
      </c>
      <c r="K38">
        <v>613</v>
      </c>
      <c r="N38" t="str">
        <f>VLOOKUP(A38,'Originales sin dirección'!V:W,2,FALSE)</f>
        <v>Electronics, Electrical Equip.</v>
      </c>
    </row>
    <row r="39" spans="1:14" x14ac:dyDescent="0.3">
      <c r="A39" s="2" t="s">
        <v>232</v>
      </c>
      <c r="C39">
        <v>1053.8</v>
      </c>
      <c r="N39" t="str">
        <f>VLOOKUP(A39,'Originales sin dirección'!V:W,2,FALSE)</f>
        <v>Telecommunications</v>
      </c>
    </row>
    <row r="40" spans="1:14" x14ac:dyDescent="0.3">
      <c r="A40" s="2" t="s">
        <v>48</v>
      </c>
      <c r="C40">
        <v>10737</v>
      </c>
      <c r="D40">
        <v>12920</v>
      </c>
      <c r="N40" t="str">
        <f>VLOOKUP(A40,'Originales sin dirección'!V:W,2,FALSE)</f>
        <v>Internet Services and Retailing</v>
      </c>
    </row>
    <row r="41" spans="1:14" x14ac:dyDescent="0.3">
      <c r="A41" s="2" t="s">
        <v>78</v>
      </c>
      <c r="F41">
        <v>16348</v>
      </c>
      <c r="G41">
        <v>19478</v>
      </c>
      <c r="H41">
        <v>30736</v>
      </c>
      <c r="I41">
        <v>30736</v>
      </c>
      <c r="J41">
        <v>30736</v>
      </c>
      <c r="K41">
        <v>40269</v>
      </c>
      <c r="L41">
        <v>76033</v>
      </c>
      <c r="M41">
        <v>59972</v>
      </c>
      <c r="N41" t="str">
        <f>VLOOKUP(A41,'Originales sin dirección'!V:W,2,FALSE)</f>
        <v>Internet Services and Retailing</v>
      </c>
    </row>
    <row r="42" spans="1:14" x14ac:dyDescent="0.3">
      <c r="A42" s="2" t="s">
        <v>88</v>
      </c>
      <c r="B42">
        <v>19478</v>
      </c>
      <c r="N42" t="str">
        <f>VLOOKUP(A42,'Originales sin dirección'!V:W,2,FALSE)</f>
        <v>Internet Services and Retailing</v>
      </c>
    </row>
    <row r="43" spans="1:14" x14ac:dyDescent="0.3">
      <c r="A43" s="2" t="s">
        <v>291</v>
      </c>
      <c r="F43">
        <v>4627.1000000000004</v>
      </c>
      <c r="G43">
        <v>4608.8</v>
      </c>
      <c r="H43">
        <v>4281.6000000000004</v>
      </c>
      <c r="I43">
        <v>4281.6000000000004</v>
      </c>
      <c r="J43">
        <v>4281.6000000000004</v>
      </c>
      <c r="K43">
        <v>3456.7</v>
      </c>
      <c r="L43">
        <v>4988.3</v>
      </c>
      <c r="M43">
        <v>4751</v>
      </c>
      <c r="N43" t="str">
        <f>VLOOKUP(A43,'Originales sin dirección'!V:W,2,FALSE)</f>
        <v>Electronics, Electrical Equip.</v>
      </c>
    </row>
    <row r="44" spans="1:14" x14ac:dyDescent="0.3">
      <c r="A44" s="2" t="s">
        <v>244</v>
      </c>
      <c r="B44">
        <v>4608.8</v>
      </c>
      <c r="C44">
        <v>3204.8</v>
      </c>
      <c r="D44">
        <v>3594.8</v>
      </c>
      <c r="N44" t="str">
        <f>VLOOKUP(A44,'Originales sin dirección'!V:W,2,FALSE)</f>
        <v>Electronics, Electrical Equip.</v>
      </c>
    </row>
    <row r="45" spans="1:14" x14ac:dyDescent="0.3">
      <c r="A45" s="2" t="s">
        <v>91</v>
      </c>
      <c r="F45">
        <v>4768</v>
      </c>
      <c r="G45">
        <v>4809</v>
      </c>
      <c r="H45">
        <v>6765</v>
      </c>
      <c r="I45">
        <v>6765</v>
      </c>
      <c r="J45">
        <v>6765</v>
      </c>
      <c r="K45">
        <v>4779</v>
      </c>
      <c r="L45">
        <v>5542</v>
      </c>
      <c r="M45">
        <v>4966</v>
      </c>
      <c r="N45" t="str">
        <f>VLOOKUP(A45,'Originales sin dirección'!V:W,2,FALSE)</f>
        <v>Electronics, Electrical Equip.</v>
      </c>
    </row>
    <row r="46" spans="1:14" x14ac:dyDescent="0.3">
      <c r="A46" s="2" t="s">
        <v>109</v>
      </c>
      <c r="B46">
        <v>4809</v>
      </c>
      <c r="D46">
        <v>3924</v>
      </c>
      <c r="N46" t="str">
        <f>VLOOKUP(A46,'Originales sin dirección'!V:W,2,FALSE)</f>
        <v>Electronics, Electrical Equip.</v>
      </c>
    </row>
    <row r="47" spans="1:14" x14ac:dyDescent="0.3">
      <c r="A47" s="2" t="s">
        <v>38</v>
      </c>
      <c r="H47">
        <v>1908</v>
      </c>
      <c r="I47">
        <v>1908</v>
      </c>
      <c r="J47">
        <v>1908</v>
      </c>
      <c r="K47">
        <v>-322</v>
      </c>
      <c r="N47" t="str">
        <f>VLOOKUP(A47,'Originales sin dirección'!V:W,2,FALSE)</f>
        <v>Computers, Office Equipment</v>
      </c>
    </row>
    <row r="48" spans="1:14" x14ac:dyDescent="0.3">
      <c r="A48" s="2" t="s">
        <v>59</v>
      </c>
      <c r="F48">
        <v>4554</v>
      </c>
      <c r="G48">
        <v>2496</v>
      </c>
      <c r="H48">
        <v>5327</v>
      </c>
      <c r="I48">
        <v>5327</v>
      </c>
      <c r="J48">
        <v>5327</v>
      </c>
      <c r="K48">
        <v>2844</v>
      </c>
      <c r="L48">
        <v>6503</v>
      </c>
      <c r="M48">
        <v>3203</v>
      </c>
      <c r="N48" t="str">
        <f>VLOOKUP(A48,'Originales sin dirección'!V:W,2,FALSE)</f>
        <v>Computers, Office Equipment</v>
      </c>
    </row>
    <row r="49" spans="1:14" x14ac:dyDescent="0.3">
      <c r="A49" s="2" t="s">
        <v>72</v>
      </c>
      <c r="B49">
        <v>2496</v>
      </c>
      <c r="C49">
        <v>-12650</v>
      </c>
      <c r="D49">
        <v>5113</v>
      </c>
      <c r="N49" t="str">
        <f>VLOOKUP(A49,'Originales sin dirección'!V:W,2,FALSE)</f>
        <v>Computers, Office Equipment</v>
      </c>
    </row>
    <row r="50" spans="1:14" x14ac:dyDescent="0.3">
      <c r="A50" s="2" t="s">
        <v>275</v>
      </c>
      <c r="K50">
        <v>1286.5</v>
      </c>
      <c r="N50" t="str">
        <f>VLOOKUP(A50,'Originales sin dirección'!V:W,2,FALSE)</f>
        <v>Electronics, Electrical Equip.</v>
      </c>
    </row>
    <row r="51" spans="1:14" x14ac:dyDescent="0.3">
      <c r="A51" s="2" t="s">
        <v>265</v>
      </c>
      <c r="L51">
        <v>2025.8</v>
      </c>
      <c r="M51">
        <v>2186.9</v>
      </c>
      <c r="N51" t="str">
        <f>VLOOKUP(A51,'Originales sin dirección'!V:W,2,FALSE)</f>
        <v>Electronics, Electrical Equip.</v>
      </c>
    </row>
    <row r="52" spans="1:14" x14ac:dyDescent="0.3">
      <c r="A52" s="2" t="s">
        <v>189</v>
      </c>
      <c r="F52">
        <v>1434</v>
      </c>
      <c r="G52">
        <v>2134.3000000000002</v>
      </c>
      <c r="H52">
        <v>2007.2</v>
      </c>
      <c r="I52">
        <v>2007.2</v>
      </c>
      <c r="J52">
        <v>2007.2</v>
      </c>
      <c r="K52">
        <v>4731.8</v>
      </c>
      <c r="L52">
        <v>5194</v>
      </c>
      <c r="M52">
        <v>4795.6000000000004</v>
      </c>
      <c r="N52" t="str">
        <f>VLOOKUP(A52,'Originales sin dirección'!V:W,2,FALSE)</f>
        <v>Electronics, Electrical Equip.</v>
      </c>
    </row>
    <row r="53" spans="1:14" x14ac:dyDescent="0.3">
      <c r="A53" s="2" t="s">
        <v>209</v>
      </c>
      <c r="B53">
        <v>2134.3000000000002</v>
      </c>
      <c r="C53">
        <v>2111.3000000000002</v>
      </c>
      <c r="D53">
        <v>2645</v>
      </c>
      <c r="N53" t="str">
        <f>VLOOKUP(A53,'Originales sin dirección'!V:W,2,FALSE)</f>
        <v>Electronics, Electrical Equip.</v>
      </c>
    </row>
    <row r="54" spans="1:14" x14ac:dyDescent="0.3">
      <c r="A54" s="2" t="s">
        <v>130</v>
      </c>
      <c r="F54">
        <v>-1492.3</v>
      </c>
      <c r="G54">
        <v>-573</v>
      </c>
      <c r="H54">
        <v>-376.7</v>
      </c>
      <c r="I54">
        <v>-376.7</v>
      </c>
      <c r="J54">
        <v>-376.7</v>
      </c>
      <c r="K54">
        <v>7160.2</v>
      </c>
      <c r="L54">
        <v>-551.79999999999995</v>
      </c>
      <c r="M54">
        <v>1543.1</v>
      </c>
      <c r="N54" t="str">
        <f>VLOOKUP(A54,'Originales sin dirección'!V:W,2,FALSE)</f>
        <v>Internet Services and Retailing</v>
      </c>
    </row>
    <row r="55" spans="1:14" x14ac:dyDescent="0.3">
      <c r="A55" s="2" t="s">
        <v>179</v>
      </c>
      <c r="B55">
        <v>-573</v>
      </c>
      <c r="N55" t="str">
        <f>VLOOKUP(A55,'Originales sin dirección'!V:W,2,FALSE)</f>
        <v>Internet Services and Retailing</v>
      </c>
    </row>
    <row r="56" spans="1:14" x14ac:dyDescent="0.3">
      <c r="A56" s="2" t="s">
        <v>186</v>
      </c>
      <c r="F56">
        <v>4118.8</v>
      </c>
      <c r="G56">
        <v>5045.1000000000004</v>
      </c>
      <c r="H56">
        <v>5570.9</v>
      </c>
      <c r="I56">
        <v>5570.9</v>
      </c>
      <c r="J56">
        <v>5570.9</v>
      </c>
      <c r="K56">
        <v>6145.7</v>
      </c>
      <c r="L56">
        <v>5986.4</v>
      </c>
      <c r="M56">
        <v>5005.1000000000004</v>
      </c>
      <c r="N56" t="str">
        <f>VLOOKUP(A56,'Originales sin dirección'!V:W,2,FALSE)</f>
        <v>Telecommunications</v>
      </c>
    </row>
    <row r="57" spans="1:14" x14ac:dyDescent="0.3">
      <c r="A57" s="2" t="s">
        <v>205</v>
      </c>
      <c r="B57">
        <v>5045.1000000000004</v>
      </c>
      <c r="C57">
        <v>2907.8</v>
      </c>
      <c r="D57">
        <v>3214.6</v>
      </c>
      <c r="N57" t="str">
        <f>VLOOKUP(A57,'Originales sin dirección'!V:W,2,FALSE)</f>
        <v>Telecommunications</v>
      </c>
    </row>
    <row r="58" spans="1:14" x14ac:dyDescent="0.3">
      <c r="A58" s="2" t="s">
        <v>100</v>
      </c>
      <c r="L58">
        <v>1151.3</v>
      </c>
      <c r="N58" t="str">
        <f>VLOOKUP(A58,'Originales sin dirección'!V:W,2,FALSE)</f>
        <v>Automotive Retailing, Services</v>
      </c>
    </row>
    <row r="59" spans="1:14" x14ac:dyDescent="0.3">
      <c r="A59" s="2" t="s">
        <v>142</v>
      </c>
      <c r="F59">
        <v>-128.1</v>
      </c>
      <c r="G59">
        <v>535.1</v>
      </c>
      <c r="H59">
        <v>596.29999999999995</v>
      </c>
      <c r="I59">
        <v>596.29999999999995</v>
      </c>
      <c r="J59">
        <v>596.29999999999995</v>
      </c>
      <c r="K59">
        <v>1178.3</v>
      </c>
      <c r="L59">
        <v>2029.8</v>
      </c>
      <c r="M59">
        <v>1607.7</v>
      </c>
      <c r="N59" t="str">
        <f>VLOOKUP(A59,'Originales sin dirección'!V:W,2,FALSE)</f>
        <v>Computers, Office Equipment</v>
      </c>
    </row>
    <row r="60" spans="1:14" x14ac:dyDescent="0.3">
      <c r="A60" s="2" t="s">
        <v>180</v>
      </c>
      <c r="B60">
        <v>535.1</v>
      </c>
      <c r="C60">
        <v>635.1</v>
      </c>
      <c r="D60">
        <v>817.2</v>
      </c>
      <c r="N60" t="str">
        <f>VLOOKUP(A60,'Originales sin dirección'!V:W,2,FALSE)</f>
        <v>Computers, Office Equipment</v>
      </c>
    </row>
    <row r="61" spans="1:14" x14ac:dyDescent="0.3">
      <c r="A61" s="2" t="s">
        <v>296</v>
      </c>
      <c r="F61">
        <v>854.7</v>
      </c>
      <c r="G61">
        <v>781.4</v>
      </c>
      <c r="N61" t="str">
        <f>VLOOKUP(A61,'Originales sin dirección'!V:W,2,FALSE)</f>
        <v>Electronics, Electrical Equip.</v>
      </c>
    </row>
    <row r="62" spans="1:14" x14ac:dyDescent="0.3">
      <c r="A62" s="2" t="s">
        <v>170</v>
      </c>
      <c r="B62">
        <v>781.4</v>
      </c>
      <c r="C62">
        <v>207.1</v>
      </c>
      <c r="D62">
        <v>389.3</v>
      </c>
      <c r="N62" t="str">
        <f>VLOOKUP(A62,'Originales sin dirección'!V:W,2,FALSE)</f>
        <v>Electronics, Electrical Equip.</v>
      </c>
    </row>
    <row r="63" spans="1:14" x14ac:dyDescent="0.3">
      <c r="A63" s="2" t="s">
        <v>35</v>
      </c>
      <c r="L63">
        <v>39370</v>
      </c>
      <c r="M63">
        <v>23200</v>
      </c>
      <c r="N63" t="str">
        <f>VLOOKUP(A63,'Originales sin dirección'!V:W,2,FALSE)</f>
        <v>Internet Services and Retailing</v>
      </c>
    </row>
    <row r="64" spans="1:14" x14ac:dyDescent="0.3">
      <c r="A64" s="2" t="s">
        <v>183</v>
      </c>
      <c r="F64">
        <v>1903.3</v>
      </c>
      <c r="G64">
        <v>1942.6</v>
      </c>
      <c r="H64">
        <v>2044.2</v>
      </c>
      <c r="I64">
        <v>2044.2</v>
      </c>
      <c r="J64">
        <v>2044.2</v>
      </c>
      <c r="K64">
        <v>1821.9</v>
      </c>
      <c r="L64">
        <v>1811.4</v>
      </c>
      <c r="M64">
        <v>1580.3</v>
      </c>
      <c r="N64" t="str">
        <f>VLOOKUP(A64,'Originales sin dirección'!V:W,2,FALSE)</f>
        <v>Electronics, Electrical Equip.</v>
      </c>
    </row>
    <row r="65" spans="1:14" x14ac:dyDescent="0.3">
      <c r="A65" s="2" t="s">
        <v>204</v>
      </c>
      <c r="B65">
        <v>1942.6</v>
      </c>
      <c r="C65">
        <v>837.1</v>
      </c>
      <c r="D65">
        <v>1532</v>
      </c>
      <c r="N65" t="str">
        <f>VLOOKUP(A65,'Originales sin dirección'!V:W,2,FALSE)</f>
        <v>Electronics, Electrical Equip.</v>
      </c>
    </row>
    <row r="66" spans="1:14" x14ac:dyDescent="0.3">
      <c r="A66" s="2" t="s">
        <v>124</v>
      </c>
      <c r="M66">
        <v>-994</v>
      </c>
      <c r="N66" t="str">
        <f>VLOOKUP(A66,'Originales sin dirección'!V:W,2,FALSE)</f>
        <v>Internet Services and Retailing</v>
      </c>
    </row>
    <row r="67" spans="1:14" x14ac:dyDescent="0.3">
      <c r="A67" s="2" t="s">
        <v>96</v>
      </c>
      <c r="F67">
        <v>12193</v>
      </c>
      <c r="G67">
        <v>16798</v>
      </c>
      <c r="H67">
        <v>16571</v>
      </c>
      <c r="I67">
        <v>16571</v>
      </c>
      <c r="J67">
        <v>16571</v>
      </c>
      <c r="K67">
        <v>44281</v>
      </c>
      <c r="L67">
        <v>61271</v>
      </c>
      <c r="M67">
        <v>72738</v>
      </c>
      <c r="N67" t="str">
        <f>VLOOKUP(A67,'Originales sin dirección'!V:W,2,FALSE)</f>
        <v>Computer Software</v>
      </c>
    </row>
    <row r="68" spans="1:14" x14ac:dyDescent="0.3">
      <c r="A68" s="2" t="s">
        <v>111</v>
      </c>
      <c r="B68">
        <v>16798</v>
      </c>
      <c r="C68">
        <v>16978</v>
      </c>
      <c r="D68">
        <v>21863</v>
      </c>
      <c r="N68" t="str">
        <f>VLOOKUP(A68,'Originales sin dirección'!V:W,2,FALSE)</f>
        <v>Computer Software</v>
      </c>
    </row>
    <row r="69" spans="1:14" x14ac:dyDescent="0.3">
      <c r="A69" s="2" t="s">
        <v>202</v>
      </c>
      <c r="F69">
        <v>6145.2</v>
      </c>
      <c r="N69" t="str">
        <f>VLOOKUP(A69,'Originales sin dirección'!V:W,2,FALSE)</f>
        <v>Telecommunications</v>
      </c>
    </row>
    <row r="70" spans="1:14" x14ac:dyDescent="0.3">
      <c r="A70" s="2" t="s">
        <v>211</v>
      </c>
      <c r="C70">
        <v>6311</v>
      </c>
      <c r="D70">
        <v>5844.1</v>
      </c>
      <c r="N70" t="str">
        <f>VLOOKUP(A70,'Originales sin dirección'!V:W,2,FALSE)</f>
        <v>Telecommunications</v>
      </c>
    </row>
    <row r="71" spans="1:14" x14ac:dyDescent="0.3">
      <c r="A71" s="2" t="s">
        <v>193</v>
      </c>
      <c r="G71">
        <v>7384.4</v>
      </c>
      <c r="H71">
        <v>7707.5</v>
      </c>
      <c r="I71">
        <v>7707.5</v>
      </c>
      <c r="J71">
        <v>7707.5</v>
      </c>
      <c r="K71">
        <v>8642.6</v>
      </c>
      <c r="L71">
        <v>10513.9</v>
      </c>
      <c r="M71">
        <v>8962.4</v>
      </c>
      <c r="N71" t="str">
        <f>VLOOKUP(A71,'Originales sin dirección'!V:W,2,FALSE)</f>
        <v>Telecommunications</v>
      </c>
    </row>
    <row r="72" spans="1:14" x14ac:dyDescent="0.3">
      <c r="A72" s="2" t="s">
        <v>212</v>
      </c>
      <c r="B72">
        <v>7384.4</v>
      </c>
      <c r="N72" t="str">
        <f>VLOOKUP(A72,'Originales sin dirección'!V:W,2,FALSE)</f>
        <v>Telecommunications</v>
      </c>
    </row>
    <row r="73" spans="1:14" x14ac:dyDescent="0.3">
      <c r="A73" s="2" t="s">
        <v>252</v>
      </c>
      <c r="F73">
        <v>2941.8</v>
      </c>
      <c r="G73">
        <v>3245.7</v>
      </c>
      <c r="H73">
        <v>2306</v>
      </c>
      <c r="I73">
        <v>2306</v>
      </c>
      <c r="J73">
        <v>2306</v>
      </c>
      <c r="K73">
        <v>5494.4</v>
      </c>
      <c r="L73">
        <v>275.5</v>
      </c>
      <c r="M73">
        <v>2257.1</v>
      </c>
      <c r="N73" t="str">
        <f>VLOOKUP(A73,'Originales sin dirección'!V:W,2,FALSE)</f>
        <v>Telecommunications</v>
      </c>
    </row>
    <row r="74" spans="1:14" x14ac:dyDescent="0.3">
      <c r="A74" s="2" t="s">
        <v>253</v>
      </c>
      <c r="B74">
        <v>3245.7</v>
      </c>
      <c r="D74">
        <v>2486.5</v>
      </c>
      <c r="N74" t="str">
        <f>VLOOKUP(A74,'Originales sin dirección'!V:W,2,FALSE)</f>
        <v>Telecommunications</v>
      </c>
    </row>
    <row r="75" spans="1:14" x14ac:dyDescent="0.3">
      <c r="A75" s="2" t="s">
        <v>84</v>
      </c>
      <c r="F75">
        <v>9938</v>
      </c>
      <c r="G75">
        <v>8901</v>
      </c>
      <c r="H75">
        <v>3825</v>
      </c>
      <c r="I75">
        <v>3825</v>
      </c>
      <c r="J75">
        <v>3825</v>
      </c>
      <c r="K75">
        <v>10135</v>
      </c>
      <c r="L75">
        <v>13746</v>
      </c>
      <c r="M75">
        <v>6717</v>
      </c>
      <c r="N75" t="str">
        <f>VLOOKUP(A75,'Originales sin dirección'!V:W,2,FALSE)</f>
        <v>Computer Software</v>
      </c>
    </row>
    <row r="76" spans="1:14" x14ac:dyDescent="0.3">
      <c r="A76" s="2" t="s">
        <v>86</v>
      </c>
      <c r="B76">
        <v>8901</v>
      </c>
      <c r="C76">
        <v>9981</v>
      </c>
      <c r="D76">
        <v>10925</v>
      </c>
      <c r="N76" t="str">
        <f>VLOOKUP(A76,'Originales sin dirección'!V:W,2,FALSE)</f>
        <v>Computer Software</v>
      </c>
    </row>
    <row r="77" spans="1:14" x14ac:dyDescent="0.3">
      <c r="A77" s="2" t="s">
        <v>161</v>
      </c>
      <c r="C77">
        <v>-9082.7999999999993</v>
      </c>
      <c r="D77">
        <v>1202.2</v>
      </c>
      <c r="N77" t="str">
        <f>VLOOKUP(A77,'Originales sin dirección'!V:W,2,FALSE)</f>
        <v>Electronics, Electrical Equip.</v>
      </c>
    </row>
    <row r="78" spans="1:14" x14ac:dyDescent="0.3">
      <c r="A78" s="2" t="s">
        <v>284</v>
      </c>
      <c r="F78">
        <v>1609.8</v>
      </c>
      <c r="G78">
        <v>1378.4</v>
      </c>
      <c r="H78">
        <v>2562.8000000000002</v>
      </c>
      <c r="I78">
        <v>2562.8000000000002</v>
      </c>
      <c r="J78">
        <v>2562.8000000000002</v>
      </c>
      <c r="K78">
        <v>1557.2</v>
      </c>
      <c r="L78">
        <v>2273</v>
      </c>
      <c r="M78">
        <v>1961.5</v>
      </c>
      <c r="N78" t="str">
        <f>VLOOKUP(A78,'Originales sin dirección'!V:W,2,FALSE)</f>
        <v>Electronics, Electrical Equip.</v>
      </c>
    </row>
    <row r="79" spans="1:14" x14ac:dyDescent="0.3">
      <c r="A79" s="2" t="s">
        <v>288</v>
      </c>
      <c r="B79">
        <v>1378.4</v>
      </c>
      <c r="N79" t="str">
        <f>VLOOKUP(A79,'Originales sin dirección'!V:W,2,FALSE)</f>
        <v>Electronics, Electrical Equip.</v>
      </c>
    </row>
    <row r="80" spans="1:14" x14ac:dyDescent="0.3">
      <c r="A80" s="2" t="s">
        <v>306</v>
      </c>
      <c r="F80">
        <v>715.5</v>
      </c>
      <c r="N80" t="str">
        <f>VLOOKUP(A80,'Originales sin dirección'!V:W,2,FALSE)</f>
        <v>Electronics, Electrical Equip.</v>
      </c>
    </row>
    <row r="81" spans="1:14" x14ac:dyDescent="0.3">
      <c r="A81" s="2" t="s">
        <v>173</v>
      </c>
      <c r="C81">
        <v>290.39999999999998</v>
      </c>
      <c r="D81">
        <v>1551.9</v>
      </c>
      <c r="N81" t="str">
        <f>VLOOKUP(A81,'Originales sin dirección'!V:W,2,FALSE)</f>
        <v>Electronics, Electrical Equip.</v>
      </c>
    </row>
    <row r="82" spans="1:14" x14ac:dyDescent="0.3">
      <c r="A82" s="2" t="s">
        <v>226</v>
      </c>
      <c r="C82">
        <v>779.2</v>
      </c>
      <c r="D82">
        <v>627.29999999999995</v>
      </c>
      <c r="N82" t="str">
        <f>VLOOKUP(A82,'Originales sin dirección'!V:W,2,FALSE)</f>
        <v>Computers, Office Equipment</v>
      </c>
    </row>
    <row r="83" spans="1:14" x14ac:dyDescent="0.3">
      <c r="A83" s="2" t="s">
        <v>167</v>
      </c>
      <c r="C83">
        <v>391</v>
      </c>
      <c r="N83" t="str">
        <f>VLOOKUP(A83,'Originales sin dirección'!V:W,2,FALSE)</f>
        <v>Computers, Office Equipment</v>
      </c>
    </row>
    <row r="84" spans="1:14" x14ac:dyDescent="0.3">
      <c r="A84" s="2" t="s">
        <v>120</v>
      </c>
      <c r="C84">
        <v>-4326</v>
      </c>
      <c r="N84" t="str">
        <f>VLOOKUP(A84,'Originales sin dirección'!V:W,2,FALSE)</f>
        <v>Telecommunications</v>
      </c>
    </row>
    <row r="85" spans="1:14" x14ac:dyDescent="0.3">
      <c r="A85" s="2" t="s">
        <v>254</v>
      </c>
      <c r="F85">
        <v>3398.8</v>
      </c>
      <c r="G85">
        <v>4031.9</v>
      </c>
      <c r="H85">
        <v>4818.6000000000004</v>
      </c>
      <c r="I85">
        <v>4818.6000000000004</v>
      </c>
      <c r="J85">
        <v>4818.6000000000004</v>
      </c>
      <c r="K85">
        <v>5862.5</v>
      </c>
      <c r="L85">
        <v>6214.3</v>
      </c>
      <c r="M85">
        <v>2402.1999999999998</v>
      </c>
      <c r="N85" t="str">
        <f>VLOOKUP(A85,'Originales sin dirección'!V:W,2,FALSE)</f>
        <v>Computer Software</v>
      </c>
    </row>
    <row r="86" spans="1:14" x14ac:dyDescent="0.3">
      <c r="A86" s="2" t="s">
        <v>258</v>
      </c>
      <c r="B86">
        <v>4031.9</v>
      </c>
      <c r="N86" t="str">
        <f>VLOOKUP(A86,'Originales sin dirección'!V:W,2,FALSE)</f>
        <v>Computer Software</v>
      </c>
    </row>
    <row r="87" spans="1:14" x14ac:dyDescent="0.3">
      <c r="A87" s="2" t="s">
        <v>249</v>
      </c>
      <c r="F87">
        <v>1560.8</v>
      </c>
      <c r="G87">
        <v>1935.2</v>
      </c>
      <c r="H87">
        <v>2754.5</v>
      </c>
      <c r="I87">
        <v>2754.5</v>
      </c>
      <c r="J87">
        <v>2754.5</v>
      </c>
      <c r="K87">
        <v>2422.5</v>
      </c>
      <c r="L87">
        <v>3788.2</v>
      </c>
      <c r="M87">
        <v>3657</v>
      </c>
      <c r="N87" t="str">
        <f>VLOOKUP(A87,'Originales sin dirección'!V:W,2,FALSE)</f>
        <v>Electronics, Electrical Equip.</v>
      </c>
    </row>
    <row r="88" spans="1:14" x14ac:dyDescent="0.3">
      <c r="A88" s="2" t="s">
        <v>223</v>
      </c>
      <c r="B88">
        <v>1935.2</v>
      </c>
      <c r="C88">
        <v>2364.6</v>
      </c>
      <c r="D88">
        <v>2506.4</v>
      </c>
      <c r="N88" t="str">
        <f>VLOOKUP(A88,'Originales sin dirección'!V:W,2,FALSE)</f>
        <v>Electronics, Electrical Equip.</v>
      </c>
    </row>
    <row r="89" spans="1:14" x14ac:dyDescent="0.3">
      <c r="A89" s="2" t="s">
        <v>127</v>
      </c>
      <c r="F89">
        <v>3949.7</v>
      </c>
      <c r="G89">
        <v>13163.4</v>
      </c>
      <c r="H89">
        <v>12727.9</v>
      </c>
      <c r="I89">
        <v>12727.9</v>
      </c>
      <c r="J89">
        <v>12727.9</v>
      </c>
      <c r="K89">
        <v>47052.6</v>
      </c>
      <c r="L89">
        <v>-15204.7</v>
      </c>
      <c r="M89">
        <v>-7167.3</v>
      </c>
      <c r="N89" t="str">
        <f>VLOOKUP(A89,'Originales sin dirección'!V:W,2,FALSE)</f>
        <v>Telecommunications</v>
      </c>
    </row>
    <row r="90" spans="1:14" x14ac:dyDescent="0.3">
      <c r="A90" s="2" t="s">
        <v>207</v>
      </c>
      <c r="B90">
        <v>13163.4</v>
      </c>
      <c r="D90">
        <v>5850.9</v>
      </c>
      <c r="N90" t="str">
        <f>VLOOKUP(A90,'Originales sin dirección'!V:W,2,FALSE)</f>
        <v>Telecommunications</v>
      </c>
    </row>
    <row r="91" spans="1:14" x14ac:dyDescent="0.3">
      <c r="A91" s="2" t="s">
        <v>154</v>
      </c>
      <c r="C91">
        <v>-6567.2</v>
      </c>
      <c r="D91">
        <v>115.4</v>
      </c>
      <c r="N91" t="str">
        <f>VLOOKUP(A91,'Originales sin dirección'!V:W,2,FALSE)</f>
        <v>Electronics, Electrical Equip.</v>
      </c>
    </row>
    <row r="92" spans="1:14" x14ac:dyDescent="0.3">
      <c r="A92" s="2" t="s">
        <v>241</v>
      </c>
      <c r="C92">
        <v>5782</v>
      </c>
      <c r="D92">
        <v>5620</v>
      </c>
      <c r="N92" t="str">
        <f>VLOOKUP(A92,'Originales sin dirección'!V:W,2,FALSE)</f>
        <v>Electronics, Electrical Equip.</v>
      </c>
    </row>
    <row r="93" spans="1:14" x14ac:dyDescent="0.3">
      <c r="A93" s="2" t="s">
        <v>257</v>
      </c>
      <c r="F93">
        <v>8338</v>
      </c>
      <c r="N93" t="str">
        <f>VLOOKUP(A93,'Originales sin dirección'!V:W,2,FALSE)</f>
        <v>Electronics, Electrical Equip.</v>
      </c>
    </row>
    <row r="94" spans="1:14" x14ac:dyDescent="0.3">
      <c r="A94" s="2" t="s">
        <v>214</v>
      </c>
      <c r="C94">
        <v>457.1</v>
      </c>
      <c r="D94">
        <v>666.3</v>
      </c>
      <c r="N94" t="str">
        <f>VLOOKUP(A94,'Originales sin dirección'!V:W,2,FALSE)</f>
        <v>Electronics, Electrical Equip.</v>
      </c>
    </row>
    <row r="95" spans="1:14" x14ac:dyDescent="0.3">
      <c r="A95" s="2" t="s">
        <v>151</v>
      </c>
      <c r="F95">
        <v>1231.0999999999999</v>
      </c>
      <c r="G95">
        <v>676.4</v>
      </c>
      <c r="H95">
        <v>8264</v>
      </c>
      <c r="I95">
        <v>8264</v>
      </c>
      <c r="J95">
        <v>8264</v>
      </c>
      <c r="N95" t="str">
        <f>VLOOKUP(A95,'Originales sin dirección'!V:W,2,FALSE)</f>
        <v>Electronics, Electrical Equip.</v>
      </c>
    </row>
    <row r="96" spans="1:14" x14ac:dyDescent="0.3">
      <c r="A96" s="2" t="s">
        <v>177</v>
      </c>
      <c r="B96">
        <v>676.4</v>
      </c>
      <c r="C96">
        <v>518.20000000000005</v>
      </c>
      <c r="D96">
        <v>-1281.4000000000001</v>
      </c>
      <c r="N96" t="str">
        <f>VLOOKUP(A96,'Originales sin dirección'!V:W,2,FALSE)</f>
        <v>Electronics, Electrical Equip.</v>
      </c>
    </row>
    <row r="97" spans="1:14" x14ac:dyDescent="0.3">
      <c r="A97" s="2" t="s">
        <v>191</v>
      </c>
      <c r="K97">
        <v>11053.6</v>
      </c>
      <c r="L97">
        <v>7853.1</v>
      </c>
      <c r="M97">
        <v>6923.4</v>
      </c>
      <c r="N97" t="str">
        <f>VLOOKUP(A97,'Originales sin dirección'!V:W,2,FALSE)</f>
        <v>Electronics, Electrical Equip.</v>
      </c>
    </row>
    <row r="98" spans="1:14" x14ac:dyDescent="0.3">
      <c r="A98" s="2" t="s">
        <v>304</v>
      </c>
      <c r="F98">
        <v>16531.900000000001</v>
      </c>
      <c r="G98">
        <v>19316.5</v>
      </c>
      <c r="N98" t="str">
        <f>VLOOKUP(A98,'Originales sin dirección'!V:W,2,FALSE)</f>
        <v>Electronics, Electrical Equip.</v>
      </c>
    </row>
    <row r="99" spans="1:14" x14ac:dyDescent="0.3">
      <c r="A99" s="2" t="s">
        <v>247</v>
      </c>
      <c r="B99">
        <v>19316.5</v>
      </c>
      <c r="C99">
        <v>20585.7</v>
      </c>
      <c r="D99">
        <v>27245.3</v>
      </c>
      <c r="N99" t="str">
        <f>VLOOKUP(A99,'Originales sin dirección'!V:W,2,FALSE)</f>
        <v>Electronics, Electrical Equip.</v>
      </c>
    </row>
    <row r="100" spans="1:14" x14ac:dyDescent="0.3">
      <c r="A100" s="2" t="s">
        <v>62</v>
      </c>
      <c r="F100">
        <v>13345</v>
      </c>
      <c r="G100">
        <v>12976</v>
      </c>
      <c r="H100">
        <v>19370</v>
      </c>
      <c r="I100">
        <v>19370</v>
      </c>
      <c r="J100">
        <v>19370</v>
      </c>
      <c r="K100">
        <v>-5176</v>
      </c>
      <c r="L100">
        <v>20081</v>
      </c>
      <c r="M100">
        <v>-8524</v>
      </c>
      <c r="N100" t="str">
        <f>VLOOKUP(A100,'Originales sin dirección'!V:W,2,FALSE)</f>
        <v>Telecommunications</v>
      </c>
    </row>
    <row r="101" spans="1:14" x14ac:dyDescent="0.3">
      <c r="A101" s="2" t="s">
        <v>112</v>
      </c>
      <c r="B101">
        <v>12976</v>
      </c>
      <c r="C101">
        <v>7264</v>
      </c>
      <c r="D101">
        <v>18249</v>
      </c>
      <c r="N101" t="str">
        <f>VLOOKUP(A101,'Originales sin dirección'!V:W,2,FALSE)</f>
        <v>Telecommunications</v>
      </c>
    </row>
    <row r="102" spans="1:14" x14ac:dyDescent="0.3">
      <c r="A102" s="2" t="s">
        <v>269</v>
      </c>
      <c r="G102">
        <v>6185.9</v>
      </c>
      <c r="H102">
        <v>11900.6</v>
      </c>
      <c r="I102">
        <v>11900.6</v>
      </c>
      <c r="J102">
        <v>11900.6</v>
      </c>
      <c r="K102">
        <v>23166.2</v>
      </c>
      <c r="L102">
        <v>34854.400000000001</v>
      </c>
      <c r="M102">
        <v>27984.2</v>
      </c>
      <c r="N102" t="str">
        <f>VLOOKUP(A102,'Originales sin dirección'!V:W,2,FALSE)</f>
        <v>Internet Services and Retailing</v>
      </c>
    </row>
    <row r="103" spans="1:14" x14ac:dyDescent="0.3">
      <c r="A103" s="2" t="s">
        <v>280</v>
      </c>
      <c r="B103">
        <v>6185.9</v>
      </c>
      <c r="N103" t="str">
        <f>VLOOKUP(A103,'Originales sin dirección'!V:W,2,FALSE)</f>
        <v>Internet Services and Retailing</v>
      </c>
    </row>
    <row r="104" spans="1:14" x14ac:dyDescent="0.3">
      <c r="A104" s="2" t="s">
        <v>289</v>
      </c>
      <c r="F104">
        <v>3045</v>
      </c>
      <c r="G104">
        <v>2619.6999999999998</v>
      </c>
      <c r="H104">
        <v>3931.1</v>
      </c>
      <c r="I104">
        <v>3931.1</v>
      </c>
      <c r="J104">
        <v>3931.1</v>
      </c>
      <c r="K104">
        <v>1802.6</v>
      </c>
      <c r="L104">
        <v>9620.6</v>
      </c>
      <c r="M104">
        <v>2115.1</v>
      </c>
      <c r="N104" t="str">
        <f>VLOOKUP(A104,'Originales sin dirección'!V:W,2,FALSE)</f>
        <v>Telecommunications</v>
      </c>
    </row>
    <row r="105" spans="1:14" x14ac:dyDescent="0.3">
      <c r="A105" s="2" t="s">
        <v>238</v>
      </c>
      <c r="B105">
        <v>2619.6999999999998</v>
      </c>
      <c r="C105">
        <v>5048</v>
      </c>
      <c r="D105">
        <v>6097.5</v>
      </c>
      <c r="N105" t="str">
        <f>VLOOKUP(A105,'Originales sin dirección'!V:W,2,FALSE)</f>
        <v>Telecommunications</v>
      </c>
    </row>
    <row r="106" spans="1:14" x14ac:dyDescent="0.3">
      <c r="A106" s="2" t="s">
        <v>145</v>
      </c>
      <c r="F106">
        <v>-79.900000000000006</v>
      </c>
      <c r="G106">
        <v>1999.4</v>
      </c>
      <c r="N106" t="str">
        <f>VLOOKUP(A106,'Originales sin dirección'!V:W,2,FALSE)</f>
        <v>Telecommunications</v>
      </c>
    </row>
    <row r="107" spans="1:14" x14ac:dyDescent="0.3">
      <c r="A107" s="2" t="s">
        <v>156</v>
      </c>
      <c r="B107">
        <v>1999.4</v>
      </c>
      <c r="C107">
        <v>-2090.9</v>
      </c>
      <c r="D107">
        <v>-894.8</v>
      </c>
      <c r="N107" t="str">
        <f>VLOOKUP(A107,'Originales sin dirección'!V:W,2,FALSE)</f>
        <v>Telecommunications</v>
      </c>
    </row>
    <row r="108" spans="1:14" x14ac:dyDescent="0.3">
      <c r="A108" s="2" t="s">
        <v>305</v>
      </c>
      <c r="F108">
        <v>3518.5</v>
      </c>
      <c r="N108" t="str">
        <f>VLOOKUP(A108,'Originales sin dirección'!V:W,2,FALSE)</f>
        <v>Telecommunications</v>
      </c>
    </row>
    <row r="109" spans="1:14" x14ac:dyDescent="0.3">
      <c r="A109" s="2" t="s">
        <v>217</v>
      </c>
      <c r="C109">
        <v>3511.8</v>
      </c>
      <c r="D109">
        <v>3910.1</v>
      </c>
      <c r="N109" t="str">
        <f>VLOOKUP(A109,'Originales sin dirección'!V:W,2,FALSE)</f>
        <v>Telecommunications</v>
      </c>
    </row>
    <row r="110" spans="1:14" x14ac:dyDescent="0.3">
      <c r="A110" s="2" t="s">
        <v>175</v>
      </c>
      <c r="C110">
        <v>933.7</v>
      </c>
      <c r="D110">
        <v>507.3</v>
      </c>
      <c r="N110" t="str">
        <f>VLOOKUP(A110,'Originales sin dirección'!V:W,2,FALSE)</f>
        <v>Electronics, Electrical Equip.</v>
      </c>
    </row>
    <row r="111" spans="1:14" x14ac:dyDescent="0.3">
      <c r="A111" s="2" t="s">
        <v>133</v>
      </c>
      <c r="F111">
        <v>-3831.8</v>
      </c>
      <c r="H111">
        <v>9138.7999999999993</v>
      </c>
      <c r="I111">
        <v>9138.7999999999993</v>
      </c>
      <c r="J111">
        <v>9138.7999999999993</v>
      </c>
      <c r="K111">
        <v>1075.2</v>
      </c>
      <c r="L111">
        <v>1732.8</v>
      </c>
      <c r="N111" t="str">
        <f>VLOOKUP(A111,'Originales sin dirección'!V:W,2,FALSE)</f>
        <v>Electronics, Electrical Equip.</v>
      </c>
    </row>
    <row r="112" spans="1:14" x14ac:dyDescent="0.3">
      <c r="A112" s="2" t="s">
        <v>117</v>
      </c>
      <c r="M112">
        <v>-9141</v>
      </c>
      <c r="N112" t="str">
        <f>VLOOKUP(A112,'Originales sin dirección'!V:W,2,FALSE)</f>
        <v>Internet Services and Retailing</v>
      </c>
    </row>
    <row r="113" spans="1:14" x14ac:dyDescent="0.3">
      <c r="A113" s="2" t="s">
        <v>229</v>
      </c>
      <c r="C113">
        <v>210.8</v>
      </c>
      <c r="D113">
        <v>2611.3000000000002</v>
      </c>
      <c r="N113" t="str">
        <f>VLOOKUP(A113,'Originales sin dirección'!V:W,2,FALSE)</f>
        <v>Telecommunications</v>
      </c>
    </row>
    <row r="114" spans="1:14" x14ac:dyDescent="0.3">
      <c r="A114" s="2" t="s">
        <v>136</v>
      </c>
      <c r="F114">
        <v>-6058.7</v>
      </c>
      <c r="G114">
        <v>-6904</v>
      </c>
      <c r="H114">
        <v>-9281.1</v>
      </c>
      <c r="I114">
        <v>-9281.1</v>
      </c>
      <c r="J114">
        <v>-9281.1</v>
      </c>
      <c r="K114">
        <v>130.5</v>
      </c>
      <c r="L114">
        <v>2424.8000000000002</v>
      </c>
      <c r="M114">
        <v>12315.7</v>
      </c>
      <c r="N114" t="str">
        <f>VLOOKUP(A114,'Originales sin dirección'!V:W,2,FALSE)</f>
        <v>Telecommunications</v>
      </c>
    </row>
    <row r="115" spans="1:14" x14ac:dyDescent="0.3">
      <c r="A115" s="2" t="s">
        <v>181</v>
      </c>
      <c r="B115">
        <v>-6904</v>
      </c>
      <c r="C115">
        <v>677.5</v>
      </c>
      <c r="D115">
        <v>94132</v>
      </c>
      <c r="N115" t="str">
        <f>VLOOKUP(A115,'Originales sin dirección'!V:W,2,FALSE)</f>
        <v>Telecommunications</v>
      </c>
    </row>
    <row r="116" spans="1:14" x14ac:dyDescent="0.3">
      <c r="A116" s="2" t="s">
        <v>74</v>
      </c>
      <c r="F116">
        <v>17879</v>
      </c>
      <c r="G116">
        <v>13127</v>
      </c>
      <c r="H116">
        <v>15528</v>
      </c>
      <c r="I116">
        <v>15528</v>
      </c>
      <c r="J116">
        <v>15528</v>
      </c>
      <c r="K116">
        <v>17801</v>
      </c>
      <c r="L116">
        <v>22065</v>
      </c>
      <c r="M116">
        <v>21256</v>
      </c>
      <c r="N116" t="str">
        <f>VLOOKUP(A116,'Originales sin dirección'!V:W,2,FALSE)</f>
        <v>Telecommunications</v>
      </c>
    </row>
    <row r="117" spans="1:14" x14ac:dyDescent="0.3">
      <c r="A117" s="2" t="s">
        <v>76</v>
      </c>
      <c r="B117">
        <v>13127</v>
      </c>
      <c r="C117">
        <v>875</v>
      </c>
      <c r="D117">
        <v>11497</v>
      </c>
      <c r="N117" t="str">
        <f>VLOOKUP(A117,'Originales sin dirección'!V:W,2,FALSE)</f>
        <v>Telecommunications</v>
      </c>
    </row>
    <row r="118" spans="1:14" x14ac:dyDescent="0.3">
      <c r="A118" s="2" t="s">
        <v>276</v>
      </c>
      <c r="K118">
        <v>2950.1</v>
      </c>
      <c r="N118" t="str">
        <f>VLOOKUP(A118,'Originales sin dirección'!V:W,2,FALSE)</f>
        <v>Internet Services and Retailing</v>
      </c>
    </row>
    <row r="119" spans="1:14" x14ac:dyDescent="0.3">
      <c r="A119" s="2" t="s">
        <v>139</v>
      </c>
      <c r="H119">
        <v>2049.1</v>
      </c>
      <c r="I119">
        <v>2049.1</v>
      </c>
      <c r="J119">
        <v>2049.1</v>
      </c>
      <c r="L119">
        <v>2998.2</v>
      </c>
      <c r="M119">
        <v>367.8</v>
      </c>
      <c r="N119" t="str">
        <f>VLOOKUP(A119,'Originales sin dirección'!V:W,2,FALSE)</f>
        <v>Internet Services and Retailing</v>
      </c>
    </row>
    <row r="120" spans="1:14" x14ac:dyDescent="0.3">
      <c r="A120" t="s">
        <v>278</v>
      </c>
      <c r="G120">
        <v>4991.6000000000004</v>
      </c>
      <c r="N120" t="s">
        <v>347</v>
      </c>
    </row>
    <row r="121" spans="1:14" x14ac:dyDescent="0.3">
      <c r="A121" t="s">
        <v>282</v>
      </c>
      <c r="B121">
        <v>4991.6000000000004</v>
      </c>
      <c r="N121" t="s">
        <v>347</v>
      </c>
    </row>
    <row r="122" spans="1:14" x14ac:dyDescent="0.3">
      <c r="A122" t="s">
        <v>645</v>
      </c>
      <c r="D122">
        <v>899.3</v>
      </c>
      <c r="N122" t="s">
        <v>347</v>
      </c>
    </row>
    <row r="123" spans="1:14" x14ac:dyDescent="0.3">
      <c r="A123" t="s">
        <v>622</v>
      </c>
      <c r="F123">
        <v>807.8</v>
      </c>
      <c r="G123">
        <v>1168.9000000000001</v>
      </c>
      <c r="H123">
        <v>993.2</v>
      </c>
      <c r="I123">
        <v>993.2</v>
      </c>
      <c r="J123">
        <v>993.2</v>
      </c>
      <c r="K123">
        <v>996.5</v>
      </c>
      <c r="L123">
        <v>1263.5</v>
      </c>
      <c r="M123">
        <v>278.3</v>
      </c>
      <c r="N123" t="s">
        <v>347</v>
      </c>
    </row>
    <row r="124" spans="1:14" x14ac:dyDescent="0.3">
      <c r="A124" t="s">
        <v>652</v>
      </c>
      <c r="B124">
        <v>1168.9000000000001</v>
      </c>
      <c r="N124" t="s">
        <v>347</v>
      </c>
    </row>
    <row r="125" spans="1:14" x14ac:dyDescent="0.3">
      <c r="A125" t="s">
        <v>604</v>
      </c>
      <c r="F125">
        <v>7065</v>
      </c>
      <c r="N125" t="s">
        <v>347</v>
      </c>
    </row>
    <row r="126" spans="1:14" x14ac:dyDescent="0.3">
      <c r="A126" t="s">
        <v>559</v>
      </c>
      <c r="C126">
        <v>6549</v>
      </c>
      <c r="D126">
        <v>7054.7</v>
      </c>
      <c r="N126" t="s">
        <v>347</v>
      </c>
    </row>
    <row r="127" spans="1:14" x14ac:dyDescent="0.3">
      <c r="A127" t="s">
        <v>594</v>
      </c>
      <c r="G127">
        <v>7589.4</v>
      </c>
      <c r="H127">
        <v>8399.2999999999993</v>
      </c>
      <c r="I127">
        <v>8399.2999999999993</v>
      </c>
      <c r="J127">
        <v>8399.2999999999993</v>
      </c>
      <c r="K127">
        <v>4301.3999999999996</v>
      </c>
      <c r="L127">
        <v>14639.6</v>
      </c>
      <c r="M127">
        <v>18869.599999999999</v>
      </c>
      <c r="N127" t="s">
        <v>347</v>
      </c>
    </row>
    <row r="128" spans="1:14" x14ac:dyDescent="0.3">
      <c r="A128" t="s">
        <v>609</v>
      </c>
      <c r="B128">
        <v>7589.4</v>
      </c>
      <c r="N128" t="s">
        <v>347</v>
      </c>
    </row>
    <row r="129" spans="1:14" x14ac:dyDescent="0.3">
      <c r="A129" t="s">
        <v>441</v>
      </c>
      <c r="F129">
        <v>2349.1</v>
      </c>
      <c r="G129">
        <v>2441.3000000000002</v>
      </c>
      <c r="H129">
        <v>2641.7</v>
      </c>
      <c r="I129">
        <v>2641.7</v>
      </c>
      <c r="J129">
        <v>2641.7</v>
      </c>
      <c r="K129">
        <v>-218.2</v>
      </c>
      <c r="L129">
        <v>3589.5</v>
      </c>
      <c r="M129">
        <v>2287.3000000000002</v>
      </c>
      <c r="N129" t="s">
        <v>347</v>
      </c>
    </row>
    <row r="130" spans="1:14" x14ac:dyDescent="0.3">
      <c r="A130" t="s">
        <v>491</v>
      </c>
      <c r="B130">
        <v>2441.3000000000002</v>
      </c>
      <c r="C130">
        <v>2150.5</v>
      </c>
      <c r="D130">
        <v>2071.1</v>
      </c>
      <c r="N130" t="s">
        <v>347</v>
      </c>
    </row>
    <row r="131" spans="1:14" x14ac:dyDescent="0.3">
      <c r="A131" t="s">
        <v>614</v>
      </c>
      <c r="L131">
        <v>472.1</v>
      </c>
      <c r="M131">
        <v>2471.1</v>
      </c>
      <c r="N131" t="s">
        <v>347</v>
      </c>
    </row>
    <row r="132" spans="1:14" x14ac:dyDescent="0.3">
      <c r="A132" t="s">
        <v>419</v>
      </c>
      <c r="F132">
        <v>3025.4</v>
      </c>
      <c r="G132">
        <v>3099.1</v>
      </c>
      <c r="H132">
        <v>3419.3</v>
      </c>
      <c r="I132">
        <v>3419.3</v>
      </c>
      <c r="J132">
        <v>3419.3</v>
      </c>
      <c r="K132">
        <v>-1096</v>
      </c>
      <c r="L132">
        <v>1720.3</v>
      </c>
      <c r="M132">
        <v>70</v>
      </c>
      <c r="N132" t="s">
        <v>347</v>
      </c>
    </row>
    <row r="133" spans="1:14" x14ac:dyDescent="0.3">
      <c r="A133" t="s">
        <v>524</v>
      </c>
      <c r="B133">
        <v>3099.1</v>
      </c>
      <c r="C133">
        <v>2420.5</v>
      </c>
      <c r="D133">
        <v>2553</v>
      </c>
      <c r="N133" t="s">
        <v>347</v>
      </c>
    </row>
    <row r="134" spans="1:14" x14ac:dyDescent="0.3">
      <c r="A134" t="s">
        <v>567</v>
      </c>
      <c r="C134">
        <v>7832.9</v>
      </c>
      <c r="N134" t="s">
        <v>347</v>
      </c>
    </row>
    <row r="135" spans="1:14" x14ac:dyDescent="0.3">
      <c r="A135" t="s">
        <v>603</v>
      </c>
      <c r="F135">
        <v>9344.5</v>
      </c>
      <c r="G135">
        <v>9428.4</v>
      </c>
      <c r="N135" t="s">
        <v>347</v>
      </c>
    </row>
    <row r="136" spans="1:14" x14ac:dyDescent="0.3">
      <c r="A136" t="s">
        <v>607</v>
      </c>
      <c r="B136">
        <v>9428.4</v>
      </c>
      <c r="D136">
        <v>9083.2000000000007</v>
      </c>
      <c r="N136" t="s">
        <v>347</v>
      </c>
    </row>
    <row r="137" spans="1:14" x14ac:dyDescent="0.3">
      <c r="A137" t="s">
        <v>601</v>
      </c>
      <c r="H137">
        <v>8555</v>
      </c>
      <c r="I137">
        <v>8555</v>
      </c>
      <c r="J137">
        <v>8555</v>
      </c>
      <c r="K137">
        <v>4132.8</v>
      </c>
      <c r="L137">
        <v>27200.799999999999</v>
      </c>
      <c r="N137" t="s">
        <v>347</v>
      </c>
    </row>
    <row r="138" spans="1:14" x14ac:dyDescent="0.3">
      <c r="A138" t="s">
        <v>627</v>
      </c>
      <c r="F138">
        <v>2034.6</v>
      </c>
      <c r="G138">
        <v>2377.6</v>
      </c>
      <c r="H138">
        <v>2295.6</v>
      </c>
      <c r="I138">
        <v>2295.6</v>
      </c>
      <c r="J138">
        <v>2295.6</v>
      </c>
      <c r="K138">
        <v>1179.7</v>
      </c>
      <c r="L138">
        <v>2349.1999999999998</v>
      </c>
      <c r="M138">
        <v>2324.5</v>
      </c>
      <c r="N138" t="s">
        <v>347</v>
      </c>
    </row>
    <row r="139" spans="1:14" x14ac:dyDescent="0.3">
      <c r="A139" t="s">
        <v>531</v>
      </c>
      <c r="B139">
        <v>2377.6</v>
      </c>
      <c r="C139">
        <v>2187.9</v>
      </c>
      <c r="D139">
        <v>2868.7</v>
      </c>
      <c r="N139" t="s">
        <v>347</v>
      </c>
    </row>
    <row r="140" spans="1:14" x14ac:dyDescent="0.3">
      <c r="A140" t="s">
        <v>399</v>
      </c>
      <c r="M140">
        <v>2802.9</v>
      </c>
      <c r="N140" t="s">
        <v>347</v>
      </c>
    </row>
    <row r="141" spans="1:14" x14ac:dyDescent="0.3">
      <c r="A141" t="s">
        <v>684</v>
      </c>
      <c r="D141">
        <v>2768</v>
      </c>
      <c r="N141" t="s">
        <v>347</v>
      </c>
    </row>
    <row r="142" spans="1:14" x14ac:dyDescent="0.3">
      <c r="A142" t="s">
        <v>368</v>
      </c>
      <c r="F142">
        <v>7373</v>
      </c>
      <c r="G142">
        <v>4596</v>
      </c>
      <c r="H142">
        <v>3677</v>
      </c>
      <c r="I142">
        <v>3677</v>
      </c>
      <c r="J142">
        <v>3677</v>
      </c>
      <c r="K142">
        <v>-1279</v>
      </c>
      <c r="L142">
        <v>17937</v>
      </c>
      <c r="M142">
        <v>-1981</v>
      </c>
      <c r="N142" t="s">
        <v>347</v>
      </c>
    </row>
    <row r="143" spans="1:14" x14ac:dyDescent="0.3">
      <c r="A143" t="s">
        <v>374</v>
      </c>
      <c r="B143">
        <v>4596</v>
      </c>
      <c r="C143">
        <v>5665</v>
      </c>
      <c r="D143">
        <v>7155</v>
      </c>
      <c r="N143" t="s">
        <v>347</v>
      </c>
    </row>
    <row r="144" spans="1:14" x14ac:dyDescent="0.3">
      <c r="A144" t="s">
        <v>479</v>
      </c>
      <c r="F144">
        <v>3637.2</v>
      </c>
      <c r="G144">
        <v>2605.8000000000002</v>
      </c>
      <c r="H144">
        <v>1333.1</v>
      </c>
      <c r="I144">
        <v>1333.1</v>
      </c>
      <c r="J144">
        <v>1333.1</v>
      </c>
      <c r="K144">
        <v>721.7</v>
      </c>
      <c r="N144" t="s">
        <v>347</v>
      </c>
    </row>
    <row r="145" spans="1:14" x14ac:dyDescent="0.3">
      <c r="A145" t="s">
        <v>489</v>
      </c>
      <c r="B145">
        <v>2605.8000000000002</v>
      </c>
      <c r="D145">
        <v>2062.4</v>
      </c>
      <c r="N145" t="s">
        <v>347</v>
      </c>
    </row>
    <row r="146" spans="1:14" x14ac:dyDescent="0.3">
      <c r="A146" t="s">
        <v>350</v>
      </c>
      <c r="F146">
        <v>9687</v>
      </c>
      <c r="G146">
        <v>9427</v>
      </c>
      <c r="H146">
        <v>8014</v>
      </c>
      <c r="I146">
        <v>8014</v>
      </c>
      <c r="J146">
        <v>8014</v>
      </c>
      <c r="K146">
        <v>6427</v>
      </c>
      <c r="L146">
        <v>10019</v>
      </c>
      <c r="M146">
        <v>9934</v>
      </c>
      <c r="N146" t="s">
        <v>347</v>
      </c>
    </row>
    <row r="147" spans="1:14" x14ac:dyDescent="0.3">
      <c r="A147" t="s">
        <v>355</v>
      </c>
      <c r="B147">
        <v>9427</v>
      </c>
      <c r="C147">
        <v>6188</v>
      </c>
      <c r="D147">
        <v>5346</v>
      </c>
      <c r="N147" t="s">
        <v>347</v>
      </c>
    </row>
    <row r="148" spans="1:14" x14ac:dyDescent="0.3">
      <c r="A148" t="s">
        <v>473</v>
      </c>
      <c r="F148">
        <v>2869.9</v>
      </c>
      <c r="G148">
        <v>5690.3</v>
      </c>
      <c r="H148">
        <v>5504.6</v>
      </c>
      <c r="I148">
        <v>5504.6</v>
      </c>
      <c r="J148">
        <v>5504.6</v>
      </c>
      <c r="K148">
        <v>6201.6</v>
      </c>
      <c r="L148">
        <v>6294.2</v>
      </c>
      <c r="M148">
        <v>4812.6000000000004</v>
      </c>
      <c r="N148" t="s">
        <v>347</v>
      </c>
    </row>
    <row r="149" spans="1:14" x14ac:dyDescent="0.3">
      <c r="A149" t="s">
        <v>493</v>
      </c>
      <c r="B149">
        <v>5690.3</v>
      </c>
      <c r="C149">
        <v>4421.3</v>
      </c>
      <c r="D149">
        <v>5730.7</v>
      </c>
      <c r="N149" t="s">
        <v>347</v>
      </c>
    </row>
    <row r="150" spans="1:14" x14ac:dyDescent="0.3">
      <c r="A150" t="s">
        <v>660</v>
      </c>
      <c r="F150">
        <v>5674.9</v>
      </c>
      <c r="G150">
        <v>4659</v>
      </c>
      <c r="H150">
        <v>1370.8</v>
      </c>
      <c r="I150">
        <v>1370.8</v>
      </c>
      <c r="J150">
        <v>1370.8</v>
      </c>
      <c r="K150">
        <v>1207.5</v>
      </c>
      <c r="L150">
        <v>4318.8999999999996</v>
      </c>
      <c r="M150">
        <v>5704.9</v>
      </c>
      <c r="N150" t="s">
        <v>347</v>
      </c>
    </row>
    <row r="151" spans="1:14" x14ac:dyDescent="0.3">
      <c r="A151" t="s">
        <v>552</v>
      </c>
      <c r="B151">
        <v>4659</v>
      </c>
      <c r="C151">
        <v>7601.8</v>
      </c>
      <c r="D151">
        <v>7804</v>
      </c>
      <c r="N151" t="s">
        <v>347</v>
      </c>
    </row>
    <row r="152" spans="1:14" x14ac:dyDescent="0.3">
      <c r="A152" t="s">
        <v>382</v>
      </c>
      <c r="F152">
        <v>1563</v>
      </c>
      <c r="N152" t="s">
        <v>347</v>
      </c>
    </row>
    <row r="153" spans="1:14" x14ac:dyDescent="0.3">
      <c r="A153" t="s">
        <v>388</v>
      </c>
      <c r="C153">
        <v>1226</v>
      </c>
      <c r="D153">
        <v>1178</v>
      </c>
      <c r="N153" t="s">
        <v>347</v>
      </c>
    </row>
    <row r="154" spans="1:14" x14ac:dyDescent="0.3">
      <c r="A154" t="s">
        <v>426</v>
      </c>
      <c r="G154">
        <v>2503</v>
      </c>
      <c r="H154">
        <v>1732</v>
      </c>
      <c r="I154">
        <v>1732</v>
      </c>
      <c r="J154">
        <v>1732</v>
      </c>
      <c r="K154">
        <v>-394</v>
      </c>
      <c r="L154">
        <v>1881</v>
      </c>
      <c r="M154">
        <v>354</v>
      </c>
      <c r="N154" t="s">
        <v>347</v>
      </c>
    </row>
    <row r="155" spans="1:14" x14ac:dyDescent="0.3">
      <c r="A155" t="s">
        <v>617</v>
      </c>
      <c r="B155">
        <v>2503</v>
      </c>
      <c r="N155" t="s">
        <v>347</v>
      </c>
    </row>
    <row r="156" spans="1:14" x14ac:dyDescent="0.3">
      <c r="A156" t="s">
        <v>597</v>
      </c>
      <c r="M156">
        <v>15251.6</v>
      </c>
      <c r="N156" t="s">
        <v>347</v>
      </c>
    </row>
    <row r="157" spans="1:14" x14ac:dyDescent="0.3">
      <c r="A157" t="s">
        <v>655</v>
      </c>
      <c r="F157">
        <v>2013</v>
      </c>
      <c r="G157">
        <v>2031</v>
      </c>
      <c r="H157">
        <v>2296</v>
      </c>
      <c r="I157">
        <v>2296</v>
      </c>
      <c r="J157">
        <v>2296</v>
      </c>
      <c r="K157">
        <v>757</v>
      </c>
      <c r="L157">
        <v>1514</v>
      </c>
      <c r="M157">
        <v>592</v>
      </c>
      <c r="N157" t="s">
        <v>347</v>
      </c>
    </row>
    <row r="158" spans="1:14" x14ac:dyDescent="0.3">
      <c r="A158" t="s">
        <v>511</v>
      </c>
      <c r="B158">
        <v>2031</v>
      </c>
      <c r="C158">
        <v>1433</v>
      </c>
      <c r="D158">
        <v>1561</v>
      </c>
      <c r="N158" t="s">
        <v>347</v>
      </c>
    </row>
    <row r="159" spans="1:14" x14ac:dyDescent="0.3">
      <c r="A159" t="s">
        <v>503</v>
      </c>
      <c r="C159">
        <v>2017.7</v>
      </c>
      <c r="N159" t="s">
        <v>347</v>
      </c>
    </row>
    <row r="160" spans="1:14" x14ac:dyDescent="0.3">
      <c r="A160" t="s">
        <v>581</v>
      </c>
      <c r="F160">
        <v>1295.5999999999999</v>
      </c>
      <c r="G160">
        <v>1853.4</v>
      </c>
      <c r="H160">
        <v>1979.1</v>
      </c>
      <c r="I160">
        <v>1979.1</v>
      </c>
      <c r="J160">
        <v>1979.1</v>
      </c>
      <c r="N160" t="s">
        <v>347</v>
      </c>
    </row>
    <row r="161" spans="1:14" x14ac:dyDescent="0.3">
      <c r="A161" t="s">
        <v>589</v>
      </c>
      <c r="B161">
        <v>1853.4</v>
      </c>
      <c r="D161">
        <v>1496.2</v>
      </c>
      <c r="N161" t="s">
        <v>347</v>
      </c>
    </row>
    <row r="162" spans="1:14" x14ac:dyDescent="0.3">
      <c r="A162" t="s">
        <v>639</v>
      </c>
      <c r="F162">
        <v>1119.7</v>
      </c>
      <c r="G162">
        <v>865.5</v>
      </c>
      <c r="H162">
        <v>572.5</v>
      </c>
      <c r="I162">
        <v>572.5</v>
      </c>
      <c r="J162">
        <v>572.5</v>
      </c>
      <c r="K162">
        <v>-298.60000000000002</v>
      </c>
      <c r="N162" t="s">
        <v>347</v>
      </c>
    </row>
    <row r="163" spans="1:14" x14ac:dyDescent="0.3">
      <c r="A163" t="s">
        <v>465</v>
      </c>
      <c r="B163">
        <v>865.5</v>
      </c>
      <c r="C163">
        <v>413.1</v>
      </c>
      <c r="D163">
        <v>1354.5</v>
      </c>
      <c r="N163" t="s">
        <v>347</v>
      </c>
    </row>
    <row r="164" spans="1:14" x14ac:dyDescent="0.3">
      <c r="A164" t="s">
        <v>434</v>
      </c>
      <c r="F164">
        <v>4363.5</v>
      </c>
      <c r="G164">
        <v>6123.4</v>
      </c>
      <c r="H164">
        <v>2878.4</v>
      </c>
      <c r="I164">
        <v>2878.4</v>
      </c>
      <c r="J164">
        <v>2878.4</v>
      </c>
      <c r="K164">
        <v>-4232.7</v>
      </c>
      <c r="L164">
        <v>1918.7</v>
      </c>
      <c r="M164">
        <v>1639.4</v>
      </c>
      <c r="N164" t="s">
        <v>347</v>
      </c>
    </row>
    <row r="165" spans="1:14" x14ac:dyDescent="0.3">
      <c r="A165" t="s">
        <v>562</v>
      </c>
      <c r="B165">
        <v>6123.4</v>
      </c>
      <c r="C165">
        <v>4123.8</v>
      </c>
      <c r="D165">
        <v>3883.3</v>
      </c>
      <c r="N165" t="s">
        <v>347</v>
      </c>
    </row>
    <row r="166" spans="1:14" x14ac:dyDescent="0.3">
      <c r="A166" t="s">
        <v>545</v>
      </c>
      <c r="C166">
        <v>-6438.5</v>
      </c>
      <c r="N166" t="s">
        <v>347</v>
      </c>
    </row>
    <row r="167" spans="1:14" x14ac:dyDescent="0.3">
      <c r="A167" t="s">
        <v>456</v>
      </c>
      <c r="F167">
        <v>997.2</v>
      </c>
      <c r="G167">
        <v>1913.1</v>
      </c>
      <c r="H167">
        <v>3336.3</v>
      </c>
      <c r="I167">
        <v>3336.3</v>
      </c>
      <c r="J167">
        <v>3336.3</v>
      </c>
      <c r="N167" t="s">
        <v>347</v>
      </c>
    </row>
    <row r="168" spans="1:14" x14ac:dyDescent="0.3">
      <c r="A168" t="s">
        <v>459</v>
      </c>
      <c r="B168">
        <v>1913.1</v>
      </c>
      <c r="D168">
        <v>-3076</v>
      </c>
      <c r="N168" t="s">
        <v>347</v>
      </c>
    </row>
    <row r="169" spans="1:14" x14ac:dyDescent="0.3">
      <c r="A169" t="s">
        <v>413</v>
      </c>
      <c r="F169">
        <v>3131.5</v>
      </c>
      <c r="G169">
        <v>3780.9</v>
      </c>
      <c r="H169">
        <v>3896.9</v>
      </c>
      <c r="I169">
        <v>3896.9</v>
      </c>
      <c r="J169">
        <v>3896.9</v>
      </c>
      <c r="K169">
        <v>-9124.7000000000007</v>
      </c>
      <c r="L169">
        <v>1049.9000000000001</v>
      </c>
      <c r="M169">
        <v>-355.5</v>
      </c>
      <c r="N169" t="s">
        <v>347</v>
      </c>
    </row>
    <row r="170" spans="1:14" x14ac:dyDescent="0.3">
      <c r="A170" t="s">
        <v>590</v>
      </c>
      <c r="B170">
        <v>3780.9</v>
      </c>
      <c r="N170" t="s">
        <v>347</v>
      </c>
    </row>
    <row r="171" spans="1:14" x14ac:dyDescent="0.3">
      <c r="A171" t="s">
        <v>542</v>
      </c>
      <c r="C171">
        <v>2277.1999999999998</v>
      </c>
      <c r="D171">
        <v>778</v>
      </c>
      <c r="N171" t="s">
        <v>347</v>
      </c>
    </row>
    <row r="172" spans="1:14" x14ac:dyDescent="0.3">
      <c r="A172" t="s">
        <v>636</v>
      </c>
      <c r="F172">
        <v>758</v>
      </c>
      <c r="G172">
        <v>992.7</v>
      </c>
      <c r="H172">
        <v>1064.8</v>
      </c>
      <c r="I172">
        <v>1064.8</v>
      </c>
      <c r="J172">
        <v>1064.8</v>
      </c>
      <c r="K172">
        <v>531.5</v>
      </c>
      <c r="L172">
        <v>857.3</v>
      </c>
      <c r="N172" t="s">
        <v>347</v>
      </c>
    </row>
    <row r="173" spans="1:14" x14ac:dyDescent="0.3">
      <c r="A173" t="s">
        <v>214</v>
      </c>
      <c r="B173">
        <v>992.7</v>
      </c>
      <c r="N173" t="s">
        <v>347</v>
      </c>
    </row>
    <row r="174" spans="1:14" x14ac:dyDescent="0.3">
      <c r="A174" t="s">
        <v>666</v>
      </c>
      <c r="L174">
        <v>16789.099999999999</v>
      </c>
      <c r="M174">
        <v>17668.5</v>
      </c>
      <c r="N174" t="s">
        <v>347</v>
      </c>
    </row>
    <row r="175" spans="1:14" x14ac:dyDescent="0.3">
      <c r="A175" t="s">
        <v>518</v>
      </c>
      <c r="C175">
        <v>968.1</v>
      </c>
      <c r="N175" t="s">
        <v>347</v>
      </c>
    </row>
    <row r="176" spans="1:14" x14ac:dyDescent="0.3">
      <c r="A176" t="s">
        <v>625</v>
      </c>
      <c r="F176">
        <v>971.8</v>
      </c>
      <c r="G176">
        <v>1476.2</v>
      </c>
      <c r="H176">
        <v>1612.3</v>
      </c>
      <c r="I176">
        <v>1612.3</v>
      </c>
      <c r="J176">
        <v>1612.3</v>
      </c>
      <c r="K176">
        <v>1381.2</v>
      </c>
      <c r="L176">
        <v>1427.4</v>
      </c>
      <c r="M176">
        <v>1633.5</v>
      </c>
      <c r="N176" t="s">
        <v>347</v>
      </c>
    </row>
    <row r="177" spans="1:14" x14ac:dyDescent="0.3">
      <c r="A177" t="s">
        <v>647</v>
      </c>
      <c r="B177">
        <v>1476.2</v>
      </c>
      <c r="D177">
        <v>1072.9000000000001</v>
      </c>
      <c r="N177" t="s">
        <v>347</v>
      </c>
    </row>
    <row r="178" spans="1:14" x14ac:dyDescent="0.3">
      <c r="A178" t="s">
        <v>630</v>
      </c>
      <c r="F178">
        <v>19264.2</v>
      </c>
      <c r="G178">
        <v>16899.3</v>
      </c>
      <c r="H178">
        <v>16982</v>
      </c>
      <c r="I178">
        <v>16982</v>
      </c>
      <c r="J178">
        <v>16982</v>
      </c>
      <c r="K178">
        <v>21180.1</v>
      </c>
      <c r="L178">
        <v>25371.4</v>
      </c>
      <c r="M178">
        <v>18110</v>
      </c>
      <c r="N178" t="s">
        <v>347</v>
      </c>
    </row>
    <row r="179" spans="1:14" x14ac:dyDescent="0.3">
      <c r="A179" t="s">
        <v>577</v>
      </c>
      <c r="B179">
        <v>16899.3</v>
      </c>
      <c r="C179">
        <v>11586.6</v>
      </c>
      <c r="D179">
        <v>18198.2</v>
      </c>
      <c r="N179" t="s">
        <v>347</v>
      </c>
    </row>
    <row r="180" spans="1:14" x14ac:dyDescent="0.3">
      <c r="A180" t="s">
        <v>362</v>
      </c>
      <c r="K180">
        <v>721</v>
      </c>
      <c r="L180">
        <v>5519</v>
      </c>
      <c r="M180">
        <v>12556</v>
      </c>
      <c r="N180" t="s">
        <v>347</v>
      </c>
    </row>
    <row r="181" spans="1:14" x14ac:dyDescent="0.3">
      <c r="A181" t="s">
        <v>406</v>
      </c>
      <c r="F181">
        <v>1683.9</v>
      </c>
      <c r="G181">
        <v>1111.5999999999999</v>
      </c>
      <c r="H181">
        <v>-4122</v>
      </c>
      <c r="I181">
        <v>-4122</v>
      </c>
      <c r="J181">
        <v>-4122</v>
      </c>
      <c r="K181">
        <v>-1812.4</v>
      </c>
      <c r="L181">
        <v>-1536.2</v>
      </c>
      <c r="N181" t="s">
        <v>347</v>
      </c>
    </row>
    <row r="182" spans="1:14" x14ac:dyDescent="0.3">
      <c r="A182" t="s">
        <v>521</v>
      </c>
      <c r="B182">
        <v>1111.5999999999999</v>
      </c>
      <c r="C182">
        <v>1818.3</v>
      </c>
      <c r="D182">
        <v>2313.6</v>
      </c>
      <c r="N182" t="s">
        <v>347</v>
      </c>
    </row>
    <row r="183" spans="1:14" x14ac:dyDescent="0.3">
      <c r="A183" t="s">
        <v>450</v>
      </c>
      <c r="F183">
        <v>-1519.7</v>
      </c>
      <c r="G183">
        <v>5937.3</v>
      </c>
      <c r="N183" t="s">
        <v>347</v>
      </c>
    </row>
    <row r="184" spans="1:14" x14ac:dyDescent="0.3">
      <c r="A184" t="s">
        <v>468</v>
      </c>
      <c r="B184">
        <v>5937.3</v>
      </c>
      <c r="C184">
        <v>27909.1</v>
      </c>
      <c r="D184">
        <v>12071.5</v>
      </c>
      <c r="N184" t="s">
        <v>347</v>
      </c>
    </row>
    <row r="185" spans="1:14" x14ac:dyDescent="0.3">
      <c r="A185" t="s">
        <v>658</v>
      </c>
      <c r="F185">
        <v>1785.7</v>
      </c>
      <c r="G185">
        <v>1535.8</v>
      </c>
      <c r="H185">
        <v>2863.9</v>
      </c>
      <c r="I185">
        <v>2863.9</v>
      </c>
      <c r="J185">
        <v>2863.9</v>
      </c>
      <c r="K185">
        <v>2097.9</v>
      </c>
      <c r="L185">
        <v>3821.9</v>
      </c>
      <c r="M185">
        <v>3236.3</v>
      </c>
      <c r="N185" t="s">
        <v>347</v>
      </c>
    </row>
    <row r="186" spans="1:14" x14ac:dyDescent="0.3">
      <c r="A186" t="s">
        <v>688</v>
      </c>
      <c r="B186">
        <v>1535.8</v>
      </c>
      <c r="N186" t="s">
        <v>347</v>
      </c>
    </row>
    <row r="187" spans="1:14" x14ac:dyDescent="0.3">
      <c r="A187" t="s">
        <v>539</v>
      </c>
      <c r="C187">
        <v>1630.5</v>
      </c>
      <c r="D187">
        <v>550.20000000000005</v>
      </c>
      <c r="N187" t="s">
        <v>347</v>
      </c>
    </row>
    <row r="188" spans="1:14" x14ac:dyDescent="0.3">
      <c r="A188" t="s">
        <v>599</v>
      </c>
      <c r="H188">
        <v>14322.5</v>
      </c>
      <c r="I188">
        <v>14322.5</v>
      </c>
      <c r="J188">
        <v>14322.5</v>
      </c>
      <c r="K188">
        <v>10103.5</v>
      </c>
      <c r="L188">
        <v>18186.599999999999</v>
      </c>
      <c r="M188">
        <v>15223.2</v>
      </c>
      <c r="N188" t="s">
        <v>347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73D01-1B57-4A4B-9174-41606DE64EE8}">
  <dimension ref="A1:N188"/>
  <sheetViews>
    <sheetView topLeftCell="A111" workbookViewId="0">
      <selection activeCell="N120" sqref="N120:N188"/>
    </sheetView>
  </sheetViews>
  <sheetFormatPr baseColWidth="10" defaultRowHeight="14.4" x14ac:dyDescent="0.3"/>
  <sheetData>
    <row r="1" spans="1:14" x14ac:dyDescent="0.3">
      <c r="A1" s="3"/>
      <c r="B1" s="3">
        <v>2011</v>
      </c>
      <c r="C1" s="3">
        <v>2012</v>
      </c>
      <c r="D1" s="3">
        <v>2013</v>
      </c>
      <c r="E1" s="3">
        <v>2014</v>
      </c>
      <c r="F1" s="3">
        <v>2015</v>
      </c>
      <c r="G1" s="3">
        <v>2016</v>
      </c>
      <c r="H1" s="3">
        <v>2017</v>
      </c>
      <c r="I1" s="3">
        <v>2018</v>
      </c>
      <c r="J1" s="3">
        <v>2019</v>
      </c>
      <c r="K1" s="3">
        <v>2020</v>
      </c>
      <c r="L1" s="3">
        <v>2021</v>
      </c>
      <c r="M1" s="3">
        <v>2022</v>
      </c>
    </row>
    <row r="2" spans="1:14" x14ac:dyDescent="0.3">
      <c r="A2" s="2" t="s">
        <v>298</v>
      </c>
      <c r="G2">
        <v>59663.7</v>
      </c>
      <c r="N2" t="str">
        <f>VLOOKUP(A2,'Originales sin dirección'!V:W,2,FALSE)</f>
        <v>Computers, Office Equipment</v>
      </c>
    </row>
    <row r="3" spans="1:14" x14ac:dyDescent="0.3">
      <c r="A3" s="2" t="s">
        <v>278</v>
      </c>
      <c r="F3">
        <v>49996.2</v>
      </c>
      <c r="G3">
        <v>99487.7</v>
      </c>
      <c r="H3">
        <v>221579.4</v>
      </c>
      <c r="I3">
        <v>221579.4</v>
      </c>
      <c r="J3">
        <v>221579.4</v>
      </c>
      <c r="N3" t="str">
        <f>VLOOKUP(A3,'Originales sin dirección'!V:W,2,FALSE)</f>
        <v>Computers, Office Equipment</v>
      </c>
    </row>
    <row r="4" spans="1:14" x14ac:dyDescent="0.3">
      <c r="A4" s="2" t="s">
        <v>282</v>
      </c>
      <c r="B4">
        <v>99487.7</v>
      </c>
      <c r="N4" t="str">
        <f>VLOOKUP(A4,'Originales sin dirección'!V:W,2,FALSE)</f>
        <v>Internet Services and Retailing</v>
      </c>
    </row>
    <row r="5" spans="1:14" x14ac:dyDescent="0.3">
      <c r="A5" s="2" t="s">
        <v>307</v>
      </c>
      <c r="B5">
        <v>59663.7</v>
      </c>
      <c r="N5" t="str">
        <f>VLOOKUP(A5,'Originales sin dirección'!V:W,2,FALSE)</f>
        <v>Telecommunications</v>
      </c>
    </row>
    <row r="6" spans="1:14" x14ac:dyDescent="0.3">
      <c r="A6" s="2" t="s">
        <v>81</v>
      </c>
      <c r="F6">
        <v>233715</v>
      </c>
      <c r="G6">
        <v>215639</v>
      </c>
      <c r="H6">
        <v>265595</v>
      </c>
      <c r="I6">
        <v>265595</v>
      </c>
      <c r="J6">
        <v>265595</v>
      </c>
      <c r="K6">
        <v>274515</v>
      </c>
      <c r="L6">
        <v>365817</v>
      </c>
      <c r="M6">
        <v>394328</v>
      </c>
      <c r="N6" t="str">
        <f>VLOOKUP(A6,'Originales sin dirección'!V:W,2,FALSE)</f>
        <v>Computers, Office Equipment</v>
      </c>
    </row>
    <row r="7" spans="1:14" x14ac:dyDescent="0.3">
      <c r="A7" s="2" t="s">
        <v>87</v>
      </c>
      <c r="B7">
        <v>215639</v>
      </c>
      <c r="C7">
        <v>156508</v>
      </c>
      <c r="D7">
        <v>170910</v>
      </c>
      <c r="N7" t="str">
        <f>VLOOKUP(A7,'Originales sin dirección'!V:W,2,FALSE)</f>
        <v>Computers, Office Equipment</v>
      </c>
    </row>
    <row r="8" spans="1:14" x14ac:dyDescent="0.3">
      <c r="A8" s="2" t="s">
        <v>148</v>
      </c>
      <c r="G8">
        <v>22952.6</v>
      </c>
      <c r="N8" t="str">
        <f>VLOOKUP(A8,'Originales sin dirección'!V:W,2,FALSE)</f>
        <v>Telecommunications</v>
      </c>
    </row>
    <row r="9" spans="1:14" x14ac:dyDescent="0.3">
      <c r="A9" s="2" t="s">
        <v>178</v>
      </c>
      <c r="B9">
        <v>22952.6</v>
      </c>
      <c r="N9" t="str">
        <f>VLOOKUP(A9,'Originales sin dirección'!V:W,2,FALSE)</f>
        <v>Telecommunications</v>
      </c>
    </row>
    <row r="10" spans="1:14" x14ac:dyDescent="0.3">
      <c r="A10" s="2" t="s">
        <v>290</v>
      </c>
      <c r="F10">
        <v>56361.1</v>
      </c>
      <c r="G10">
        <v>52201</v>
      </c>
      <c r="H10">
        <v>53977.599999999999</v>
      </c>
      <c r="I10">
        <v>53977.599999999999</v>
      </c>
      <c r="J10">
        <v>53977.599999999999</v>
      </c>
      <c r="K10">
        <v>47326</v>
      </c>
      <c r="L10">
        <v>49701.9</v>
      </c>
      <c r="M10">
        <v>42724.3</v>
      </c>
      <c r="N10" t="str">
        <f>VLOOKUP(A10,'Originales sin dirección'!V:W,2,FALSE)</f>
        <v>Telecommunications</v>
      </c>
    </row>
    <row r="11" spans="1:14" x14ac:dyDescent="0.3">
      <c r="A11" s="2" t="s">
        <v>235</v>
      </c>
      <c r="B11">
        <v>52201</v>
      </c>
      <c r="C11">
        <v>58919.4</v>
      </c>
      <c r="D11">
        <v>61562.2</v>
      </c>
      <c r="N11" t="str">
        <f>VLOOKUP(A11,'Originales sin dirección'!V:W,2,FALSE)</f>
        <v>Telecommunications</v>
      </c>
    </row>
    <row r="12" spans="1:14" x14ac:dyDescent="0.3">
      <c r="A12" s="2" t="s">
        <v>65</v>
      </c>
      <c r="F12">
        <v>107006</v>
      </c>
      <c r="G12">
        <v>135987</v>
      </c>
      <c r="H12">
        <v>232887</v>
      </c>
      <c r="I12">
        <v>232887</v>
      </c>
      <c r="J12">
        <v>232887</v>
      </c>
      <c r="K12">
        <v>386064</v>
      </c>
      <c r="L12">
        <v>469822</v>
      </c>
      <c r="M12">
        <v>513983</v>
      </c>
      <c r="N12" t="str">
        <f>VLOOKUP(A12,'Originales sin dirección'!V:W,2,FALSE)</f>
        <v>Internet Services and Retailing</v>
      </c>
    </row>
    <row r="13" spans="1:14" x14ac:dyDescent="0.3">
      <c r="A13" s="2" t="s">
        <v>67</v>
      </c>
      <c r="B13">
        <v>135987</v>
      </c>
      <c r="C13">
        <v>61093</v>
      </c>
      <c r="D13">
        <v>74452</v>
      </c>
      <c r="N13" t="str">
        <f>VLOOKUP(A13,'Originales sin dirección'!V:W,2,FALSE)</f>
        <v>Internet Services and Retailing</v>
      </c>
    </row>
    <row r="14" spans="1:14" x14ac:dyDescent="0.3">
      <c r="A14" s="2" t="s">
        <v>272</v>
      </c>
      <c r="G14">
        <v>23517.3</v>
      </c>
      <c r="H14">
        <v>56147.199999999997</v>
      </c>
      <c r="I14">
        <v>56147.199999999997</v>
      </c>
      <c r="J14">
        <v>56147.199999999997</v>
      </c>
      <c r="K14">
        <v>105865.7</v>
      </c>
      <c r="L14">
        <v>132935.70000000001</v>
      </c>
      <c r="M14">
        <v>126812.5</v>
      </c>
      <c r="N14" t="str">
        <f>VLOOKUP(A14,'Originales sin dirección'!V:W,2,FALSE)</f>
        <v>Internet Services and Retailing</v>
      </c>
    </row>
    <row r="15" spans="1:14" x14ac:dyDescent="0.3">
      <c r="A15" s="2" t="s">
        <v>281</v>
      </c>
      <c r="B15">
        <v>23517.3</v>
      </c>
      <c r="N15" t="str">
        <f>VLOOKUP(A15,'Originales sin dirección'!V:W,2,FALSE)</f>
        <v>Internet Services and Retailing</v>
      </c>
    </row>
    <row r="16" spans="1:14" x14ac:dyDescent="0.3">
      <c r="A16" s="2" t="s">
        <v>261</v>
      </c>
      <c r="F16">
        <v>28670.2</v>
      </c>
      <c r="G16">
        <v>31333.4</v>
      </c>
      <c r="H16">
        <v>30743</v>
      </c>
      <c r="I16">
        <v>30743</v>
      </c>
      <c r="J16">
        <v>30743</v>
      </c>
      <c r="N16" t="str">
        <f>VLOOKUP(A16,'Originales sin dirección'!V:W,2,FALSE)</f>
        <v>Telecommunications</v>
      </c>
    </row>
    <row r="17" spans="1:14" x14ac:dyDescent="0.3">
      <c r="A17" s="2" t="s">
        <v>220</v>
      </c>
      <c r="B17">
        <v>31333.4</v>
      </c>
      <c r="C17">
        <v>29082.5</v>
      </c>
      <c r="D17">
        <v>29051.1</v>
      </c>
      <c r="N17" t="str">
        <f>VLOOKUP(A17,'Originales sin dirección'!V:W,2,FALSE)</f>
        <v>Telecommunications</v>
      </c>
    </row>
    <row r="18" spans="1:14" x14ac:dyDescent="0.3">
      <c r="A18" s="2" t="s">
        <v>259</v>
      </c>
      <c r="K18">
        <v>27863.3</v>
      </c>
      <c r="N18" t="str">
        <f>VLOOKUP(A18,'Originales sin dirección'!V:W,2,FALSE)</f>
        <v>Telecommunications</v>
      </c>
    </row>
    <row r="19" spans="1:14" x14ac:dyDescent="0.3">
      <c r="A19" s="2" t="s">
        <v>196</v>
      </c>
      <c r="F19">
        <v>31400.9</v>
      </c>
      <c r="G19">
        <v>31271</v>
      </c>
      <c r="H19">
        <v>35796.9</v>
      </c>
      <c r="I19">
        <v>35796.9</v>
      </c>
      <c r="J19">
        <v>35796.9</v>
      </c>
      <c r="K19">
        <v>29598.9</v>
      </c>
      <c r="L19">
        <v>32005.200000000001</v>
      </c>
      <c r="N19" t="str">
        <f>VLOOKUP(A19,'Originales sin dirección'!V:W,2,FALSE)</f>
        <v>Computers, Office Equipment</v>
      </c>
    </row>
    <row r="20" spans="1:14" x14ac:dyDescent="0.3">
      <c r="A20" s="2" t="s">
        <v>203</v>
      </c>
      <c r="B20">
        <v>31271</v>
      </c>
      <c r="C20">
        <v>43606.6</v>
      </c>
      <c r="D20">
        <v>38247.199999999997</v>
      </c>
      <c r="N20" t="str">
        <f>VLOOKUP(A20,'Originales sin dirección'!V:W,2,FALSE)</f>
        <v>Computers, Office Equipment</v>
      </c>
    </row>
    <row r="21" spans="1:14" x14ac:dyDescent="0.3">
      <c r="A21" s="2" t="s">
        <v>45</v>
      </c>
      <c r="G21">
        <v>29003</v>
      </c>
      <c r="H21">
        <v>43634</v>
      </c>
      <c r="I21">
        <v>43634</v>
      </c>
      <c r="J21">
        <v>43634</v>
      </c>
      <c r="K21">
        <v>48097</v>
      </c>
      <c r="L21">
        <v>51682</v>
      </c>
      <c r="M21">
        <v>54022</v>
      </c>
      <c r="N21" t="str">
        <f>VLOOKUP(A21,'Originales sin dirección'!V:W,2,FALSE)</f>
        <v>Telecommunications</v>
      </c>
    </row>
    <row r="22" spans="1:14" x14ac:dyDescent="0.3">
      <c r="A22" s="2" t="s">
        <v>122</v>
      </c>
      <c r="B22">
        <v>29003</v>
      </c>
      <c r="N22" t="str">
        <f>VLOOKUP(A22,'Originales sin dirección'!V:W,2,FALSE)</f>
        <v>Telecommunications</v>
      </c>
    </row>
    <row r="23" spans="1:14" x14ac:dyDescent="0.3">
      <c r="A23" s="2" t="s">
        <v>69</v>
      </c>
      <c r="C23">
        <v>62570</v>
      </c>
      <c r="N23" t="str">
        <f>VLOOKUP(A23,'Originales sin dirección'!V:W,2,FALSE)</f>
        <v>Telecommunications</v>
      </c>
    </row>
    <row r="24" spans="1:14" x14ac:dyDescent="0.3">
      <c r="A24" s="2" t="s">
        <v>93</v>
      </c>
      <c r="F24">
        <v>74510</v>
      </c>
      <c r="G24">
        <v>80403</v>
      </c>
      <c r="H24">
        <v>94507</v>
      </c>
      <c r="I24">
        <v>94507</v>
      </c>
      <c r="J24">
        <v>94507</v>
      </c>
      <c r="K24">
        <v>103564</v>
      </c>
      <c r="L24">
        <v>116385</v>
      </c>
      <c r="M24">
        <v>121427</v>
      </c>
      <c r="N24" t="str">
        <f>VLOOKUP(A24,'Originales sin dirección'!V:W,2,FALSE)</f>
        <v>Telecommunications</v>
      </c>
    </row>
    <row r="25" spans="1:14" x14ac:dyDescent="0.3">
      <c r="A25" s="2" t="s">
        <v>110</v>
      </c>
      <c r="B25">
        <v>80403</v>
      </c>
      <c r="D25">
        <v>64657</v>
      </c>
      <c r="N25" t="str">
        <f>VLOOKUP(A25,'Originales sin dirección'!V:W,2,FALSE)</f>
        <v>Telecommunications</v>
      </c>
    </row>
    <row r="26" spans="1:14" x14ac:dyDescent="0.3">
      <c r="A26" s="2" t="s">
        <v>56</v>
      </c>
      <c r="M26">
        <v>31352</v>
      </c>
      <c r="N26" t="str">
        <f>VLOOKUP(A26,'Originales sin dirección'!V:W,2,FALSE)</f>
        <v>Computer Software</v>
      </c>
    </row>
    <row r="27" spans="1:14" x14ac:dyDescent="0.3">
      <c r="A27" s="2" t="s">
        <v>31</v>
      </c>
      <c r="H27">
        <v>90621</v>
      </c>
      <c r="I27">
        <v>90621</v>
      </c>
      <c r="J27">
        <v>90621</v>
      </c>
      <c r="K27">
        <v>94224</v>
      </c>
      <c r="L27">
        <v>106995</v>
      </c>
      <c r="M27">
        <v>102301</v>
      </c>
      <c r="N27" t="str">
        <f>VLOOKUP(A27,'Originales sin dirección'!V:W,2,FALSE)</f>
        <v>Computers, Office Equipment</v>
      </c>
    </row>
    <row r="28" spans="1:14" x14ac:dyDescent="0.3">
      <c r="A28" s="2" t="s">
        <v>114</v>
      </c>
      <c r="C28">
        <v>56940</v>
      </c>
      <c r="N28" t="str">
        <f>VLOOKUP(A28,'Originales sin dirección'!V:W,2,FALSE)</f>
        <v>Computers, Office Equipment</v>
      </c>
    </row>
    <row r="29" spans="1:14" x14ac:dyDescent="0.3">
      <c r="A29" s="2" t="s">
        <v>256</v>
      </c>
      <c r="F29">
        <v>76793</v>
      </c>
      <c r="G29">
        <v>80831.8</v>
      </c>
      <c r="H29">
        <v>89286.8</v>
      </c>
      <c r="I29">
        <v>89286.8</v>
      </c>
      <c r="J29">
        <v>89286.8</v>
      </c>
      <c r="K29">
        <v>115083.2</v>
      </c>
      <c r="L29">
        <v>128630.8</v>
      </c>
      <c r="M29">
        <v>120107.7</v>
      </c>
      <c r="N29" t="str">
        <f>VLOOKUP(A29,'Originales sin dirección'!V:W,2,FALSE)</f>
        <v>Telecommunications</v>
      </c>
    </row>
    <row r="30" spans="1:14" x14ac:dyDescent="0.3">
      <c r="A30" s="2" t="s">
        <v>164</v>
      </c>
      <c r="B30">
        <v>80831.8</v>
      </c>
      <c r="C30">
        <v>74754.600000000006</v>
      </c>
      <c r="D30">
        <v>79829</v>
      </c>
      <c r="N30" t="str">
        <f>VLOOKUP(A30,'Originales sin dirección'!V:W,2,FALSE)</f>
        <v>Telecommunications</v>
      </c>
    </row>
    <row r="31" spans="1:14" x14ac:dyDescent="0.3">
      <c r="A31" s="2" t="s">
        <v>51</v>
      </c>
      <c r="C31">
        <v>29740</v>
      </c>
      <c r="D31">
        <v>31754</v>
      </c>
      <c r="N31" t="str">
        <f>VLOOKUP(A31,'Originales sin dirección'!V:W,2,FALSE)</f>
        <v>Telecommunications</v>
      </c>
    </row>
    <row r="32" spans="1:14" x14ac:dyDescent="0.3">
      <c r="A32" s="2" t="s">
        <v>106</v>
      </c>
      <c r="F32">
        <v>24704</v>
      </c>
      <c r="N32" t="str">
        <f>VLOOKUP(A32,'Originales sin dirección'!V:W,2,FALSE)</f>
        <v>Computers, Office Equipment</v>
      </c>
    </row>
    <row r="33" spans="1:14" x14ac:dyDescent="0.3">
      <c r="A33" s="2" t="s">
        <v>104</v>
      </c>
      <c r="F33">
        <v>22304</v>
      </c>
      <c r="N33" t="str">
        <f>VLOOKUP(A33,'Originales sin dirección'!V:W,2,FALSE)</f>
        <v>Electronics, Electrical Equip.</v>
      </c>
    </row>
    <row r="34" spans="1:14" x14ac:dyDescent="0.3">
      <c r="A34" s="2" t="s">
        <v>108</v>
      </c>
      <c r="C34">
        <v>24507</v>
      </c>
      <c r="D34">
        <v>24669</v>
      </c>
      <c r="N34" t="str">
        <f>VLOOKUP(A34,'Originales sin dirección'!V:W,2,FALSE)</f>
        <v>Electronics, Electrical Equip.</v>
      </c>
    </row>
    <row r="35" spans="1:14" x14ac:dyDescent="0.3">
      <c r="A35" s="2" t="s">
        <v>41</v>
      </c>
      <c r="G35">
        <v>27638</v>
      </c>
      <c r="H35">
        <v>55838</v>
      </c>
      <c r="I35">
        <v>55838</v>
      </c>
      <c r="J35">
        <v>55838</v>
      </c>
      <c r="K35">
        <v>85965</v>
      </c>
      <c r="N35" t="str">
        <f>VLOOKUP(A35,'Originales sin dirección'!V:W,2,FALSE)</f>
        <v>Internet Services and Retailing</v>
      </c>
    </row>
    <row r="36" spans="1:14" x14ac:dyDescent="0.3">
      <c r="A36" s="2" t="s">
        <v>53</v>
      </c>
      <c r="B36">
        <v>27638</v>
      </c>
      <c r="N36" t="str">
        <f>VLOOKUP(A36,'Originales sin dirección'!V:W,2,FALSE)</f>
        <v>Internet Services and Retailing</v>
      </c>
    </row>
    <row r="37" spans="1:14" x14ac:dyDescent="0.3">
      <c r="A37" s="2" t="s">
        <v>158</v>
      </c>
      <c r="C37">
        <v>52765.7</v>
      </c>
      <c r="D37">
        <v>47538.400000000001</v>
      </c>
      <c r="N37" t="str">
        <f>VLOOKUP(A37,'Originales sin dirección'!V:W,2,FALSE)</f>
        <v>Computers, Office Equipment</v>
      </c>
    </row>
    <row r="38" spans="1:14" x14ac:dyDescent="0.3">
      <c r="A38" s="2" t="s">
        <v>294</v>
      </c>
      <c r="K38">
        <v>24124</v>
      </c>
      <c r="N38" t="str">
        <f>VLOOKUP(A38,'Originales sin dirección'!V:W,2,FALSE)</f>
        <v>Electronics, Electrical Equip.</v>
      </c>
    </row>
    <row r="39" spans="1:14" x14ac:dyDescent="0.3">
      <c r="A39" s="2" t="s">
        <v>232</v>
      </c>
      <c r="C39">
        <v>55922.3</v>
      </c>
      <c r="N39" t="str">
        <f>VLOOKUP(A39,'Originales sin dirección'!V:W,2,FALSE)</f>
        <v>Telecommunications</v>
      </c>
    </row>
    <row r="40" spans="1:14" x14ac:dyDescent="0.3">
      <c r="A40" s="2" t="s">
        <v>48</v>
      </c>
      <c r="C40">
        <v>52203</v>
      </c>
      <c r="D40">
        <v>60629</v>
      </c>
      <c r="N40" t="str">
        <f>VLOOKUP(A40,'Originales sin dirección'!V:W,2,FALSE)</f>
        <v>Internet Services and Retailing</v>
      </c>
    </row>
    <row r="41" spans="1:14" x14ac:dyDescent="0.3">
      <c r="A41" s="2" t="s">
        <v>78</v>
      </c>
      <c r="F41">
        <v>74989</v>
      </c>
      <c r="G41">
        <v>90272</v>
      </c>
      <c r="H41">
        <v>136819</v>
      </c>
      <c r="I41">
        <v>136819</v>
      </c>
      <c r="J41">
        <v>136819</v>
      </c>
      <c r="K41">
        <v>182527</v>
      </c>
      <c r="L41">
        <v>257637</v>
      </c>
      <c r="M41">
        <v>282836</v>
      </c>
      <c r="N41" t="str">
        <f>VLOOKUP(A41,'Originales sin dirección'!V:W,2,FALSE)</f>
        <v>Internet Services and Retailing</v>
      </c>
    </row>
    <row r="42" spans="1:14" x14ac:dyDescent="0.3">
      <c r="A42" s="2" t="s">
        <v>88</v>
      </c>
      <c r="B42">
        <v>90272</v>
      </c>
      <c r="N42" t="str">
        <f>VLOOKUP(A42,'Originales sin dirección'!V:W,2,FALSE)</f>
        <v>Internet Services and Retailing</v>
      </c>
    </row>
    <row r="43" spans="1:14" x14ac:dyDescent="0.3">
      <c r="A43" s="2" t="s">
        <v>291</v>
      </c>
      <c r="F43">
        <v>141213.1</v>
      </c>
      <c r="G43">
        <v>135128.79999999999</v>
      </c>
      <c r="H43">
        <v>175617</v>
      </c>
      <c r="I43">
        <v>175617</v>
      </c>
      <c r="J43">
        <v>175617</v>
      </c>
      <c r="K43">
        <v>181945.4</v>
      </c>
      <c r="L43">
        <v>214619.2</v>
      </c>
      <c r="M43">
        <v>222535.3</v>
      </c>
      <c r="N43" t="str">
        <f>VLOOKUP(A43,'Originales sin dirección'!V:W,2,FALSE)</f>
        <v>Electronics, Electrical Equip.</v>
      </c>
    </row>
    <row r="44" spans="1:14" x14ac:dyDescent="0.3">
      <c r="A44" s="2" t="s">
        <v>244</v>
      </c>
      <c r="B44">
        <v>135128.79999999999</v>
      </c>
      <c r="C44">
        <v>132076.1</v>
      </c>
      <c r="D44">
        <v>133161.70000000001</v>
      </c>
      <c r="N44" t="str">
        <f>VLOOKUP(A44,'Originales sin dirección'!V:W,2,FALSE)</f>
        <v>Electronics, Electrical Equip.</v>
      </c>
    </row>
    <row r="45" spans="1:14" x14ac:dyDescent="0.3">
      <c r="A45" s="2" t="s">
        <v>91</v>
      </c>
      <c r="F45">
        <v>38581</v>
      </c>
      <c r="G45">
        <v>39302</v>
      </c>
      <c r="H45">
        <v>41802</v>
      </c>
      <c r="I45">
        <v>41802</v>
      </c>
      <c r="J45">
        <v>41802</v>
      </c>
      <c r="K45">
        <v>32637</v>
      </c>
      <c r="L45">
        <v>34392</v>
      </c>
      <c r="M45">
        <v>35466</v>
      </c>
      <c r="N45" t="str">
        <f>VLOOKUP(A45,'Originales sin dirección'!V:W,2,FALSE)</f>
        <v>Electronics, Electrical Equip.</v>
      </c>
    </row>
    <row r="46" spans="1:14" x14ac:dyDescent="0.3">
      <c r="A46" s="2" t="s">
        <v>109</v>
      </c>
      <c r="B46">
        <v>39302</v>
      </c>
      <c r="D46">
        <v>39055</v>
      </c>
      <c r="N46" t="str">
        <f>VLOOKUP(A46,'Originales sin dirección'!V:W,2,FALSE)</f>
        <v>Electronics, Electrical Equip.</v>
      </c>
    </row>
    <row r="47" spans="1:14" x14ac:dyDescent="0.3">
      <c r="A47" s="2" t="s">
        <v>38</v>
      </c>
      <c r="H47">
        <v>30852</v>
      </c>
      <c r="I47">
        <v>30852</v>
      </c>
      <c r="J47">
        <v>30852</v>
      </c>
      <c r="K47">
        <v>26982</v>
      </c>
      <c r="N47" t="str">
        <f>VLOOKUP(A47,'Originales sin dirección'!V:W,2,FALSE)</f>
        <v>Computers, Office Equipment</v>
      </c>
    </row>
    <row r="48" spans="1:14" x14ac:dyDescent="0.3">
      <c r="A48" s="2" t="s">
        <v>59</v>
      </c>
      <c r="F48">
        <v>103355</v>
      </c>
      <c r="G48">
        <v>48238</v>
      </c>
      <c r="H48">
        <v>58472</v>
      </c>
      <c r="I48">
        <v>58472</v>
      </c>
      <c r="J48">
        <v>58472</v>
      </c>
      <c r="K48">
        <v>56639</v>
      </c>
      <c r="L48">
        <v>63487</v>
      </c>
      <c r="M48">
        <v>62983</v>
      </c>
      <c r="N48" t="str">
        <f>VLOOKUP(A48,'Originales sin dirección'!V:W,2,FALSE)</f>
        <v>Computers, Office Equipment</v>
      </c>
    </row>
    <row r="49" spans="1:14" x14ac:dyDescent="0.3">
      <c r="A49" s="2" t="s">
        <v>72</v>
      </c>
      <c r="B49">
        <v>48238</v>
      </c>
      <c r="C49">
        <v>120357</v>
      </c>
      <c r="D49">
        <v>112298</v>
      </c>
      <c r="N49" t="str">
        <f>VLOOKUP(A49,'Originales sin dirección'!V:W,2,FALSE)</f>
        <v>Computers, Office Equipment</v>
      </c>
    </row>
    <row r="50" spans="1:14" x14ac:dyDescent="0.3">
      <c r="A50" s="2" t="s">
        <v>275</v>
      </c>
      <c r="K50">
        <v>30395</v>
      </c>
      <c r="N50" t="str">
        <f>VLOOKUP(A50,'Originales sin dirección'!V:W,2,FALSE)</f>
        <v>Electronics, Electrical Equip.</v>
      </c>
    </row>
    <row r="51" spans="1:14" x14ac:dyDescent="0.3">
      <c r="A51" s="2" t="s">
        <v>265</v>
      </c>
      <c r="L51">
        <v>35278.199999999997</v>
      </c>
      <c r="M51">
        <v>36200.699999999997</v>
      </c>
      <c r="N51" t="str">
        <f>VLOOKUP(A51,'Originales sin dirección'!V:W,2,FALSE)</f>
        <v>Electronics, Electrical Equip.</v>
      </c>
    </row>
    <row r="52" spans="1:14" x14ac:dyDescent="0.3">
      <c r="A52" s="2" t="s">
        <v>189</v>
      </c>
      <c r="F52">
        <v>83583.5</v>
      </c>
      <c r="G52">
        <v>84558.399999999994</v>
      </c>
      <c r="H52">
        <v>85507.8</v>
      </c>
      <c r="I52">
        <v>85507.8</v>
      </c>
      <c r="J52">
        <v>85507.8</v>
      </c>
      <c r="K52">
        <v>82344.600000000006</v>
      </c>
      <c r="L52">
        <v>91374.6</v>
      </c>
      <c r="M52">
        <v>80388.600000000006</v>
      </c>
      <c r="N52" t="str">
        <f>VLOOKUP(A52,'Originales sin dirección'!V:W,2,FALSE)</f>
        <v>Electronics, Electrical Equip.</v>
      </c>
    </row>
    <row r="53" spans="1:14" x14ac:dyDescent="0.3">
      <c r="A53" s="2" t="s">
        <v>209</v>
      </c>
      <c r="B53">
        <v>84558.399999999994</v>
      </c>
      <c r="C53">
        <v>108874.5</v>
      </c>
      <c r="D53">
        <v>95988.2</v>
      </c>
      <c r="N53" t="str">
        <f>VLOOKUP(A53,'Originales sin dirección'!V:W,2,FALSE)</f>
        <v>Electronics, Electrical Equip.</v>
      </c>
    </row>
    <row r="54" spans="1:14" x14ac:dyDescent="0.3">
      <c r="A54" s="2" t="s">
        <v>130</v>
      </c>
      <c r="F54">
        <v>28847.1</v>
      </c>
      <c r="G54">
        <v>39155.300000000003</v>
      </c>
      <c r="H54">
        <v>69847.600000000006</v>
      </c>
      <c r="I54">
        <v>69847.600000000006</v>
      </c>
      <c r="J54">
        <v>69847.600000000006</v>
      </c>
      <c r="K54">
        <v>108087</v>
      </c>
      <c r="L54">
        <v>147526.20000000001</v>
      </c>
      <c r="M54">
        <v>155533.29999999999</v>
      </c>
      <c r="N54" t="str">
        <f>VLOOKUP(A54,'Originales sin dirección'!V:W,2,FALSE)</f>
        <v>Internet Services and Retailing</v>
      </c>
    </row>
    <row r="55" spans="1:14" x14ac:dyDescent="0.3">
      <c r="A55" s="2" t="s">
        <v>179</v>
      </c>
      <c r="B55">
        <v>39155.300000000003</v>
      </c>
      <c r="N55" t="str">
        <f>VLOOKUP(A55,'Originales sin dirección'!V:W,2,FALSE)</f>
        <v>Internet Services and Retailing</v>
      </c>
    </row>
    <row r="56" spans="1:14" x14ac:dyDescent="0.3">
      <c r="A56" s="2" t="s">
        <v>186</v>
      </c>
      <c r="F56">
        <v>37201.9</v>
      </c>
      <c r="G56">
        <v>43821.599999999999</v>
      </c>
      <c r="H56">
        <v>45820.800000000003</v>
      </c>
      <c r="I56">
        <v>45820.800000000003</v>
      </c>
      <c r="J56">
        <v>45820.800000000003</v>
      </c>
      <c r="K56">
        <v>50115</v>
      </c>
      <c r="L56">
        <v>48486.1</v>
      </c>
      <c r="M56">
        <v>41902.300000000003</v>
      </c>
      <c r="N56" t="str">
        <f>VLOOKUP(A56,'Originales sin dirección'!V:W,2,FALSE)</f>
        <v>Telecommunications</v>
      </c>
    </row>
    <row r="57" spans="1:14" x14ac:dyDescent="0.3">
      <c r="A57" s="2" t="s">
        <v>205</v>
      </c>
      <c r="B57">
        <v>43821.599999999999</v>
      </c>
      <c r="C57">
        <v>44102.1</v>
      </c>
      <c r="D57">
        <v>43258</v>
      </c>
      <c r="N57" t="str">
        <f>VLOOKUP(A57,'Originales sin dirección'!V:W,2,FALSE)</f>
        <v>Telecommunications</v>
      </c>
    </row>
    <row r="58" spans="1:14" x14ac:dyDescent="0.3">
      <c r="A58" s="2" t="s">
        <v>100</v>
      </c>
      <c r="L58">
        <v>33197.199999999997</v>
      </c>
      <c r="N58" t="str">
        <f>VLOOKUP(A58,'Originales sin dirección'!V:W,2,FALSE)</f>
        <v>Automotive Retailing, Services</v>
      </c>
    </row>
    <row r="59" spans="1:14" x14ac:dyDescent="0.3">
      <c r="A59" s="2" t="s">
        <v>142</v>
      </c>
      <c r="F59">
        <v>44912.1</v>
      </c>
      <c r="G59">
        <v>43034.7</v>
      </c>
      <c r="H59">
        <v>51037.9</v>
      </c>
      <c r="I59">
        <v>51037.9</v>
      </c>
      <c r="J59">
        <v>51037.9</v>
      </c>
      <c r="K59">
        <v>60742.3</v>
      </c>
      <c r="L59">
        <v>71618.2</v>
      </c>
      <c r="M59">
        <v>61946.9</v>
      </c>
      <c r="N59" t="str">
        <f>VLOOKUP(A59,'Originales sin dirección'!V:W,2,FALSE)</f>
        <v>Computers, Office Equipment</v>
      </c>
    </row>
    <row r="60" spans="1:14" x14ac:dyDescent="0.3">
      <c r="A60" s="2" t="s">
        <v>180</v>
      </c>
      <c r="B60">
        <v>43034.7</v>
      </c>
      <c r="C60">
        <v>33873.4</v>
      </c>
      <c r="D60">
        <v>38707.1</v>
      </c>
      <c r="N60" t="str">
        <f>VLOOKUP(A60,'Originales sin dirección'!V:W,2,FALSE)</f>
        <v>Computers, Office Equipment</v>
      </c>
    </row>
    <row r="61" spans="1:14" x14ac:dyDescent="0.3">
      <c r="A61" s="2" t="s">
        <v>296</v>
      </c>
      <c r="F61">
        <v>25100.2</v>
      </c>
      <c r="G61">
        <v>22839.7</v>
      </c>
      <c r="N61" t="str">
        <f>VLOOKUP(A61,'Originales sin dirección'!V:W,2,FALSE)</f>
        <v>Electronics, Electrical Equip.</v>
      </c>
    </row>
    <row r="62" spans="1:14" x14ac:dyDescent="0.3">
      <c r="A62" s="2" t="s">
        <v>170</v>
      </c>
      <c r="B62">
        <v>22839.7</v>
      </c>
      <c r="C62">
        <v>26129.9</v>
      </c>
      <c r="D62">
        <v>24697.9</v>
      </c>
      <c r="N62" t="str">
        <f>VLOOKUP(A62,'Originales sin dirección'!V:W,2,FALSE)</f>
        <v>Electronics, Electrical Equip.</v>
      </c>
    </row>
    <row r="63" spans="1:14" x14ac:dyDescent="0.3">
      <c r="A63" s="2" t="s">
        <v>35</v>
      </c>
      <c r="L63">
        <v>117929</v>
      </c>
      <c r="M63">
        <v>116609</v>
      </c>
      <c r="N63" t="str">
        <f>VLOOKUP(A63,'Originales sin dirección'!V:W,2,FALSE)</f>
        <v>Internet Services and Retailing</v>
      </c>
    </row>
    <row r="64" spans="1:14" x14ac:dyDescent="0.3">
      <c r="A64" s="2" t="s">
        <v>183</v>
      </c>
      <c r="F64">
        <v>36604</v>
      </c>
      <c r="G64">
        <v>39118.6</v>
      </c>
      <c r="H64">
        <v>40766.1</v>
      </c>
      <c r="I64">
        <v>40766.1</v>
      </c>
      <c r="J64">
        <v>40766.1</v>
      </c>
      <c r="K64">
        <v>39538.800000000003</v>
      </c>
      <c r="L64">
        <v>39851.699999999997</v>
      </c>
      <c r="M64">
        <v>36966.699999999997</v>
      </c>
      <c r="N64" t="str">
        <f>VLOOKUP(A64,'Originales sin dirección'!V:W,2,FALSE)</f>
        <v>Electronics, Electrical Equip.</v>
      </c>
    </row>
    <row r="65" spans="1:14" x14ac:dyDescent="0.3">
      <c r="A65" s="2" t="s">
        <v>204</v>
      </c>
      <c r="B65">
        <v>39118.6</v>
      </c>
      <c r="C65">
        <v>42956.800000000003</v>
      </c>
      <c r="D65">
        <v>40470.300000000003</v>
      </c>
      <c r="N65" t="str">
        <f>VLOOKUP(A65,'Originales sin dirección'!V:W,2,FALSE)</f>
        <v>Electronics, Electrical Equip.</v>
      </c>
    </row>
    <row r="66" spans="1:14" x14ac:dyDescent="0.3">
      <c r="A66" s="2" t="s">
        <v>124</v>
      </c>
      <c r="M66">
        <v>32698.5</v>
      </c>
      <c r="N66" t="str">
        <f>VLOOKUP(A66,'Originales sin dirección'!V:W,2,FALSE)</f>
        <v>Internet Services and Retailing</v>
      </c>
    </row>
    <row r="67" spans="1:14" x14ac:dyDescent="0.3">
      <c r="A67" s="2" t="s">
        <v>96</v>
      </c>
      <c r="F67">
        <v>93580</v>
      </c>
      <c r="G67">
        <v>85320</v>
      </c>
      <c r="H67">
        <v>110360</v>
      </c>
      <c r="I67">
        <v>110360</v>
      </c>
      <c r="J67">
        <v>110360</v>
      </c>
      <c r="K67">
        <v>143015</v>
      </c>
      <c r="L67">
        <v>168088</v>
      </c>
      <c r="M67">
        <v>198270</v>
      </c>
      <c r="N67" t="str">
        <f>VLOOKUP(A67,'Originales sin dirección'!V:W,2,FALSE)</f>
        <v>Computer Software</v>
      </c>
    </row>
    <row r="68" spans="1:14" x14ac:dyDescent="0.3">
      <c r="A68" s="2" t="s">
        <v>111</v>
      </c>
      <c r="B68">
        <v>85320</v>
      </c>
      <c r="C68">
        <v>73723</v>
      </c>
      <c r="D68">
        <v>77849</v>
      </c>
      <c r="N68" t="str">
        <f>VLOOKUP(A68,'Originales sin dirección'!V:W,2,FALSE)</f>
        <v>Computer Software</v>
      </c>
    </row>
    <row r="69" spans="1:14" x14ac:dyDescent="0.3">
      <c r="A69" s="2" t="s">
        <v>202</v>
      </c>
      <c r="F69">
        <v>96133.9</v>
      </c>
      <c r="N69" t="str">
        <f>VLOOKUP(A69,'Originales sin dirección'!V:W,2,FALSE)</f>
        <v>Telecommunications</v>
      </c>
    </row>
    <row r="70" spans="1:14" x14ac:dyDescent="0.3">
      <c r="A70" s="2" t="s">
        <v>211</v>
      </c>
      <c r="C70">
        <v>128860.6</v>
      </c>
      <c r="D70">
        <v>109054.3</v>
      </c>
      <c r="N70" t="str">
        <f>VLOOKUP(A70,'Originales sin dirección'!V:W,2,FALSE)</f>
        <v>Telecommunications</v>
      </c>
    </row>
    <row r="71" spans="1:14" x14ac:dyDescent="0.3">
      <c r="A71" s="2" t="s">
        <v>193</v>
      </c>
      <c r="G71">
        <v>105127.5</v>
      </c>
      <c r="H71">
        <v>107146.9</v>
      </c>
      <c r="I71">
        <v>107146.9</v>
      </c>
      <c r="J71">
        <v>107146.9</v>
      </c>
      <c r="K71">
        <v>112670.3</v>
      </c>
      <c r="L71">
        <v>108215.6</v>
      </c>
      <c r="M71">
        <v>97048.6</v>
      </c>
      <c r="N71" t="str">
        <f>VLOOKUP(A71,'Originales sin dirección'!V:W,2,FALSE)</f>
        <v>Telecommunications</v>
      </c>
    </row>
    <row r="72" spans="1:14" x14ac:dyDescent="0.3">
      <c r="A72" s="2" t="s">
        <v>212</v>
      </c>
      <c r="B72">
        <v>105127.5</v>
      </c>
      <c r="N72" t="str">
        <f>VLOOKUP(A72,'Originales sin dirección'!V:W,2,FALSE)</f>
        <v>Telecommunications</v>
      </c>
    </row>
    <row r="73" spans="1:14" x14ac:dyDescent="0.3">
      <c r="A73" s="2" t="s">
        <v>252</v>
      </c>
      <c r="F73">
        <v>44650.6</v>
      </c>
      <c r="G73">
        <v>45249</v>
      </c>
      <c r="H73">
        <v>48836.5</v>
      </c>
      <c r="I73">
        <v>48836.5</v>
      </c>
      <c r="J73">
        <v>48836.5</v>
      </c>
      <c r="K73">
        <v>48164.5</v>
      </c>
      <c r="L73">
        <v>50275.199999999997</v>
      </c>
      <c r="M73">
        <v>45721</v>
      </c>
      <c r="N73" t="str">
        <f>VLOOKUP(A73,'Originales sin dirección'!V:W,2,FALSE)</f>
        <v>Telecommunications</v>
      </c>
    </row>
    <row r="74" spans="1:14" x14ac:dyDescent="0.3">
      <c r="A74" s="2" t="s">
        <v>253</v>
      </c>
      <c r="B74">
        <v>45249</v>
      </c>
      <c r="D74">
        <v>54404.800000000003</v>
      </c>
      <c r="N74" t="str">
        <f>VLOOKUP(A74,'Originales sin dirección'!V:W,2,FALSE)</f>
        <v>Telecommunications</v>
      </c>
    </row>
    <row r="75" spans="1:14" x14ac:dyDescent="0.3">
      <c r="A75" s="2" t="s">
        <v>84</v>
      </c>
      <c r="F75">
        <v>38226</v>
      </c>
      <c r="G75">
        <v>37047</v>
      </c>
      <c r="H75">
        <v>39831</v>
      </c>
      <c r="I75">
        <v>39831</v>
      </c>
      <c r="J75">
        <v>39831</v>
      </c>
      <c r="K75">
        <v>39068</v>
      </c>
      <c r="L75">
        <v>40479</v>
      </c>
      <c r="M75">
        <v>42440</v>
      </c>
      <c r="N75" t="str">
        <f>VLOOKUP(A75,'Originales sin dirección'!V:W,2,FALSE)</f>
        <v>Computer Software</v>
      </c>
    </row>
    <row r="76" spans="1:14" x14ac:dyDescent="0.3">
      <c r="A76" s="2" t="s">
        <v>86</v>
      </c>
      <c r="B76">
        <v>37047</v>
      </c>
      <c r="C76">
        <v>37121</v>
      </c>
      <c r="D76">
        <v>37180</v>
      </c>
      <c r="N76" t="str">
        <f>VLOOKUP(A76,'Originales sin dirección'!V:W,2,FALSE)</f>
        <v>Computer Software</v>
      </c>
    </row>
    <row r="77" spans="1:14" x14ac:dyDescent="0.3">
      <c r="A77" s="2" t="s">
        <v>161</v>
      </c>
      <c r="C77">
        <v>87944.8</v>
      </c>
      <c r="D77">
        <v>77225.600000000006</v>
      </c>
      <c r="N77" t="str">
        <f>VLOOKUP(A77,'Originales sin dirección'!V:W,2,FALSE)</f>
        <v>Electronics, Electrical Equip.</v>
      </c>
    </row>
    <row r="78" spans="1:14" x14ac:dyDescent="0.3">
      <c r="A78" s="2" t="s">
        <v>284</v>
      </c>
      <c r="F78">
        <v>62920.800000000003</v>
      </c>
      <c r="G78">
        <v>67774.899999999994</v>
      </c>
      <c r="H78">
        <v>72178.399999999994</v>
      </c>
      <c r="I78">
        <v>72178.399999999994</v>
      </c>
      <c r="J78">
        <v>72178.399999999994</v>
      </c>
      <c r="K78">
        <v>63191.3</v>
      </c>
      <c r="L78">
        <v>65774.399999999994</v>
      </c>
      <c r="M78">
        <v>61902.6</v>
      </c>
      <c r="N78" t="str">
        <f>VLOOKUP(A78,'Originales sin dirección'!V:W,2,FALSE)</f>
        <v>Electronics, Electrical Equip.</v>
      </c>
    </row>
    <row r="79" spans="1:14" x14ac:dyDescent="0.3">
      <c r="A79" s="2" t="s">
        <v>288</v>
      </c>
      <c r="B79">
        <v>67774.899999999994</v>
      </c>
      <c r="N79" t="str">
        <f>VLOOKUP(A79,'Originales sin dirección'!V:W,2,FALSE)</f>
        <v>Electronics, Electrical Equip.</v>
      </c>
    </row>
    <row r="80" spans="1:14" x14ac:dyDescent="0.3">
      <c r="A80" s="2" t="s">
        <v>306</v>
      </c>
      <c r="F80">
        <v>28689.200000000001</v>
      </c>
      <c r="N80" t="str">
        <f>VLOOKUP(A80,'Originales sin dirección'!V:W,2,FALSE)</f>
        <v>Electronics, Electrical Equip.</v>
      </c>
    </row>
    <row r="81" spans="1:14" x14ac:dyDescent="0.3">
      <c r="A81" s="2" t="s">
        <v>173</v>
      </c>
      <c r="C81">
        <v>32579.3</v>
      </c>
      <c r="D81">
        <v>32449.599999999999</v>
      </c>
      <c r="N81" t="str">
        <f>VLOOKUP(A81,'Originales sin dirección'!V:W,2,FALSE)</f>
        <v>Electronics, Electrical Equip.</v>
      </c>
    </row>
    <row r="82" spans="1:14" x14ac:dyDescent="0.3">
      <c r="A82" s="2" t="s">
        <v>226</v>
      </c>
      <c r="C82">
        <v>34412.199999999997</v>
      </c>
      <c r="D82">
        <v>29662.6</v>
      </c>
      <c r="N82" t="str">
        <f>VLOOKUP(A82,'Originales sin dirección'!V:W,2,FALSE)</f>
        <v>Computers, Office Equipment</v>
      </c>
    </row>
    <row r="83" spans="1:14" x14ac:dyDescent="0.3">
      <c r="A83" s="2" t="s">
        <v>167</v>
      </c>
      <c r="C83">
        <v>23175.200000000001</v>
      </c>
      <c r="N83" t="str">
        <f>VLOOKUP(A83,'Originales sin dirección'!V:W,2,FALSE)</f>
        <v>Computers, Office Equipment</v>
      </c>
    </row>
    <row r="84" spans="1:14" x14ac:dyDescent="0.3">
      <c r="A84" s="2" t="s">
        <v>120</v>
      </c>
      <c r="C84">
        <v>35345</v>
      </c>
      <c r="N84" t="str">
        <f>VLOOKUP(A84,'Originales sin dirección'!V:W,2,FALSE)</f>
        <v>Telecommunications</v>
      </c>
    </row>
    <row r="85" spans="1:14" x14ac:dyDescent="0.3">
      <c r="A85" s="2" t="s">
        <v>254</v>
      </c>
      <c r="F85">
        <v>23065.200000000001</v>
      </c>
      <c r="G85">
        <v>24397.200000000001</v>
      </c>
      <c r="H85">
        <v>29159.599999999999</v>
      </c>
      <c r="I85">
        <v>29159.599999999999</v>
      </c>
      <c r="J85">
        <v>29159.599999999999</v>
      </c>
      <c r="K85">
        <v>31150.3</v>
      </c>
      <c r="L85">
        <v>32918.5</v>
      </c>
      <c r="M85">
        <v>32468.799999999999</v>
      </c>
      <c r="N85" t="str">
        <f>VLOOKUP(A85,'Originales sin dirección'!V:W,2,FALSE)</f>
        <v>Computer Software</v>
      </c>
    </row>
    <row r="86" spans="1:14" x14ac:dyDescent="0.3">
      <c r="A86" s="2" t="s">
        <v>258</v>
      </c>
      <c r="B86">
        <v>24397.200000000001</v>
      </c>
      <c r="N86" t="str">
        <f>VLOOKUP(A86,'Originales sin dirección'!V:W,2,FALSE)</f>
        <v>Computer Software</v>
      </c>
    </row>
    <row r="87" spans="1:14" x14ac:dyDescent="0.3">
      <c r="A87" s="2" t="s">
        <v>249</v>
      </c>
      <c r="F87">
        <v>29551.1</v>
      </c>
      <c r="G87">
        <v>27306.6</v>
      </c>
      <c r="H87">
        <v>30353.9</v>
      </c>
      <c r="I87">
        <v>30353.9</v>
      </c>
      <c r="J87">
        <v>30353.9</v>
      </c>
      <c r="K87">
        <v>28667.4</v>
      </c>
      <c r="L87">
        <v>34175.300000000003</v>
      </c>
      <c r="M87">
        <v>35944.9</v>
      </c>
      <c r="N87" t="str">
        <f>VLOOKUP(A87,'Originales sin dirección'!V:W,2,FALSE)</f>
        <v>Electronics, Electrical Equip.</v>
      </c>
    </row>
    <row r="88" spans="1:14" x14ac:dyDescent="0.3">
      <c r="A88" s="2" t="s">
        <v>223</v>
      </c>
      <c r="B88">
        <v>27306.6</v>
      </c>
      <c r="C88">
        <v>30773.7</v>
      </c>
      <c r="D88">
        <v>31265.4</v>
      </c>
      <c r="N88" t="str">
        <f>VLOOKUP(A88,'Originales sin dirección'!V:W,2,FALSE)</f>
        <v>Electronics, Electrical Equip.</v>
      </c>
    </row>
    <row r="89" spans="1:14" x14ac:dyDescent="0.3">
      <c r="A89" s="2" t="s">
        <v>127</v>
      </c>
      <c r="F89">
        <v>76468.600000000006</v>
      </c>
      <c r="G89">
        <v>82892.3</v>
      </c>
      <c r="H89">
        <v>86604.7</v>
      </c>
      <c r="I89">
        <v>86604.7</v>
      </c>
      <c r="J89">
        <v>86604.7</v>
      </c>
      <c r="K89">
        <v>56213.599999999999</v>
      </c>
      <c r="L89">
        <v>55383.6</v>
      </c>
      <c r="M89">
        <v>48541.599999999999</v>
      </c>
      <c r="N89" t="str">
        <f>VLOOKUP(A89,'Originales sin dirección'!V:W,2,FALSE)</f>
        <v>Telecommunications</v>
      </c>
    </row>
    <row r="90" spans="1:14" x14ac:dyDescent="0.3">
      <c r="A90" s="2" t="s">
        <v>207</v>
      </c>
      <c r="B90">
        <v>82892.3</v>
      </c>
      <c r="D90">
        <v>66546</v>
      </c>
      <c r="N90" t="str">
        <f>VLOOKUP(A90,'Originales sin dirección'!V:W,2,FALSE)</f>
        <v>Telecommunications</v>
      </c>
    </row>
    <row r="91" spans="1:14" x14ac:dyDescent="0.3">
      <c r="A91" s="2" t="s">
        <v>154</v>
      </c>
      <c r="C91">
        <v>29847.7</v>
      </c>
      <c r="D91">
        <v>29219</v>
      </c>
      <c r="N91" t="str">
        <f>VLOOKUP(A91,'Originales sin dirección'!V:W,2,FALSE)</f>
        <v>Electronics, Electrical Equip.</v>
      </c>
    </row>
    <row r="92" spans="1:14" x14ac:dyDescent="0.3">
      <c r="A92" s="2" t="s">
        <v>241</v>
      </c>
      <c r="C92">
        <v>108988.5</v>
      </c>
      <c r="D92">
        <v>106124</v>
      </c>
      <c r="N92" t="str">
        <f>VLOOKUP(A92,'Originales sin dirección'!V:W,2,FALSE)</f>
        <v>Electronics, Electrical Equip.</v>
      </c>
    </row>
    <row r="93" spans="1:14" x14ac:dyDescent="0.3">
      <c r="A93" s="2" t="s">
        <v>257</v>
      </c>
      <c r="F93">
        <v>87660</v>
      </c>
      <c r="N93" t="str">
        <f>VLOOKUP(A93,'Originales sin dirección'!V:W,2,FALSE)</f>
        <v>Electronics, Electrical Equip.</v>
      </c>
    </row>
    <row r="94" spans="1:14" x14ac:dyDescent="0.3">
      <c r="A94" s="2" t="s">
        <v>214</v>
      </c>
      <c r="C94">
        <v>26010.5</v>
      </c>
      <c r="D94">
        <v>25641.4</v>
      </c>
      <c r="N94" t="str">
        <f>VLOOKUP(A94,'Originales sin dirección'!V:W,2,FALSE)</f>
        <v>Electronics, Electrical Equip.</v>
      </c>
    </row>
    <row r="95" spans="1:14" x14ac:dyDescent="0.3">
      <c r="A95" s="2" t="s">
        <v>151</v>
      </c>
      <c r="F95">
        <v>67518.8</v>
      </c>
      <c r="G95">
        <v>70170.3</v>
      </c>
      <c r="H95">
        <v>78157.7</v>
      </c>
      <c r="I95">
        <v>78157.7</v>
      </c>
      <c r="J95">
        <v>78157.7</v>
      </c>
      <c r="N95" t="str">
        <f>VLOOKUP(A95,'Originales sin dirección'!V:W,2,FALSE)</f>
        <v>Electronics, Electrical Equip.</v>
      </c>
    </row>
    <row r="96" spans="1:14" x14ac:dyDescent="0.3">
      <c r="A96" s="2" t="s">
        <v>177</v>
      </c>
      <c r="B96">
        <v>70170.3</v>
      </c>
      <c r="C96">
        <v>81897.3</v>
      </c>
      <c r="D96">
        <v>77532.3</v>
      </c>
      <c r="N96" t="str">
        <f>VLOOKUP(A96,'Originales sin dirección'!V:W,2,FALSE)</f>
        <v>Electronics, Electrical Equip.</v>
      </c>
    </row>
    <row r="97" spans="1:14" x14ac:dyDescent="0.3">
      <c r="A97" s="2" t="s">
        <v>191</v>
      </c>
      <c r="K97">
        <v>84893.1</v>
      </c>
      <c r="L97">
        <v>88320.5</v>
      </c>
      <c r="M97">
        <v>85254.9</v>
      </c>
      <c r="N97" t="str">
        <f>VLOOKUP(A97,'Originales sin dirección'!V:W,2,FALSE)</f>
        <v>Electronics, Electrical Equip.</v>
      </c>
    </row>
    <row r="98" spans="1:14" x14ac:dyDescent="0.3">
      <c r="A98" s="2" t="s">
        <v>304</v>
      </c>
      <c r="F98">
        <v>177440.2</v>
      </c>
      <c r="G98">
        <v>173957.3</v>
      </c>
      <c r="N98" t="str">
        <f>VLOOKUP(A98,'Originales sin dirección'!V:W,2,FALSE)</f>
        <v>Electronics, Electrical Equip.</v>
      </c>
    </row>
    <row r="99" spans="1:14" x14ac:dyDescent="0.3">
      <c r="A99" s="2" t="s">
        <v>247</v>
      </c>
      <c r="B99">
        <v>173957.3</v>
      </c>
      <c r="C99">
        <v>178554.8</v>
      </c>
      <c r="D99">
        <v>208938.4</v>
      </c>
      <c r="N99" t="str">
        <f>VLOOKUP(A99,'Originales sin dirección'!V:W,2,FALSE)</f>
        <v>Electronics, Electrical Equip.</v>
      </c>
    </row>
    <row r="100" spans="1:14" x14ac:dyDescent="0.3">
      <c r="A100" s="2" t="s">
        <v>62</v>
      </c>
      <c r="F100">
        <v>146801</v>
      </c>
      <c r="G100">
        <v>163786</v>
      </c>
      <c r="H100">
        <v>170756</v>
      </c>
      <c r="I100">
        <v>170756</v>
      </c>
      <c r="J100">
        <v>170756</v>
      </c>
      <c r="K100">
        <v>171760</v>
      </c>
      <c r="L100">
        <v>168864</v>
      </c>
      <c r="M100">
        <v>120741</v>
      </c>
      <c r="N100" t="str">
        <f>VLOOKUP(A100,'Originales sin dirección'!V:W,2,FALSE)</f>
        <v>Telecommunications</v>
      </c>
    </row>
    <row r="101" spans="1:14" x14ac:dyDescent="0.3">
      <c r="A101" s="2" t="s">
        <v>112</v>
      </c>
      <c r="B101">
        <v>163786</v>
      </c>
      <c r="C101">
        <v>127434</v>
      </c>
      <c r="D101">
        <v>128752</v>
      </c>
      <c r="N101" t="str">
        <f>VLOOKUP(A101,'Originales sin dirección'!V:W,2,FALSE)</f>
        <v>Telecommunications</v>
      </c>
    </row>
    <row r="102" spans="1:14" x14ac:dyDescent="0.3">
      <c r="A102" s="2" t="s">
        <v>269</v>
      </c>
      <c r="G102">
        <v>22870.7</v>
      </c>
      <c r="H102">
        <v>47272.7</v>
      </c>
      <c r="I102">
        <v>47272.7</v>
      </c>
      <c r="J102">
        <v>47272.7</v>
      </c>
      <c r="K102">
        <v>69864.2</v>
      </c>
      <c r="L102">
        <v>86835.6</v>
      </c>
      <c r="M102">
        <v>82439.600000000006</v>
      </c>
      <c r="N102" t="str">
        <f>VLOOKUP(A102,'Originales sin dirección'!V:W,2,FALSE)</f>
        <v>Internet Services and Retailing</v>
      </c>
    </row>
    <row r="103" spans="1:14" x14ac:dyDescent="0.3">
      <c r="A103" s="2" t="s">
        <v>280</v>
      </c>
      <c r="B103">
        <v>22870.7</v>
      </c>
      <c r="N103" t="str">
        <f>VLOOKUP(A103,'Originales sin dirección'!V:W,2,FALSE)</f>
        <v>Internet Services and Retailing</v>
      </c>
    </row>
    <row r="104" spans="1:14" x14ac:dyDescent="0.3">
      <c r="A104" s="2" t="s">
        <v>289</v>
      </c>
      <c r="F104">
        <v>60917</v>
      </c>
      <c r="G104">
        <v>57543.8</v>
      </c>
      <c r="H104">
        <v>57465.9</v>
      </c>
      <c r="I104">
        <v>57465.9</v>
      </c>
      <c r="J104">
        <v>57465.9</v>
      </c>
      <c r="K104">
        <v>49082.9</v>
      </c>
      <c r="L104">
        <v>46438.5</v>
      </c>
      <c r="M104">
        <v>42063</v>
      </c>
      <c r="N104" t="str">
        <f>VLOOKUP(A104,'Originales sin dirección'!V:W,2,FALSE)</f>
        <v>Telecommunications</v>
      </c>
    </row>
    <row r="105" spans="1:14" x14ac:dyDescent="0.3">
      <c r="A105" s="2" t="s">
        <v>238</v>
      </c>
      <c r="B105">
        <v>57543.8</v>
      </c>
      <c r="C105">
        <v>80135.399999999994</v>
      </c>
      <c r="D105">
        <v>75752</v>
      </c>
      <c r="N105" t="str">
        <f>VLOOKUP(A105,'Originales sin dirección'!V:W,2,FALSE)</f>
        <v>Telecommunications</v>
      </c>
    </row>
    <row r="106" spans="1:14" x14ac:dyDescent="0.3">
      <c r="A106" s="2" t="s">
        <v>145</v>
      </c>
      <c r="F106">
        <v>26569.4</v>
      </c>
      <c r="G106">
        <v>21941.1</v>
      </c>
      <c r="N106" t="str">
        <f>VLOOKUP(A106,'Originales sin dirección'!V:W,2,FALSE)</f>
        <v>Telecommunications</v>
      </c>
    </row>
    <row r="107" spans="1:14" x14ac:dyDescent="0.3">
      <c r="A107" s="2" t="s">
        <v>156</v>
      </c>
      <c r="B107">
        <v>21941.1</v>
      </c>
      <c r="C107">
        <v>38298.1</v>
      </c>
      <c r="D107">
        <v>36493.4</v>
      </c>
      <c r="N107" t="str">
        <f>VLOOKUP(A107,'Originales sin dirección'!V:W,2,FALSE)</f>
        <v>Telecommunications</v>
      </c>
    </row>
    <row r="108" spans="1:14" x14ac:dyDescent="0.3">
      <c r="A108" s="2" t="s">
        <v>305</v>
      </c>
      <c r="F108">
        <v>22126.3</v>
      </c>
      <c r="N108" t="str">
        <f>VLOOKUP(A108,'Originales sin dirección'!V:W,2,FALSE)</f>
        <v>Telecommunications</v>
      </c>
    </row>
    <row r="109" spans="1:14" x14ac:dyDescent="0.3">
      <c r="A109" s="2" t="s">
        <v>217</v>
      </c>
      <c r="C109">
        <v>26302.9</v>
      </c>
      <c r="D109">
        <v>26641.599999999999</v>
      </c>
      <c r="N109" t="str">
        <f>VLOOKUP(A109,'Originales sin dirección'!V:W,2,FALSE)</f>
        <v>Telecommunications</v>
      </c>
    </row>
    <row r="110" spans="1:14" x14ac:dyDescent="0.3">
      <c r="A110" s="2" t="s">
        <v>175</v>
      </c>
      <c r="C110">
        <v>69848.2</v>
      </c>
      <c r="D110">
        <v>64907.9</v>
      </c>
      <c r="N110" t="str">
        <f>VLOOKUP(A110,'Originales sin dirección'!V:W,2,FALSE)</f>
        <v>Electronics, Electrical Equip.</v>
      </c>
    </row>
    <row r="111" spans="1:14" x14ac:dyDescent="0.3">
      <c r="A111" s="2" t="s">
        <v>133</v>
      </c>
      <c r="F111">
        <v>52031.9</v>
      </c>
      <c r="H111">
        <v>33312.800000000003</v>
      </c>
      <c r="I111">
        <v>33312.800000000003</v>
      </c>
      <c r="J111">
        <v>33312.800000000003</v>
      </c>
      <c r="K111">
        <v>28812.6</v>
      </c>
      <c r="L111">
        <v>29705.4</v>
      </c>
      <c r="N111" t="str">
        <f>VLOOKUP(A111,'Originales sin dirección'!V:W,2,FALSE)</f>
        <v>Electronics, Electrical Equip.</v>
      </c>
    </row>
    <row r="112" spans="1:14" x14ac:dyDescent="0.3">
      <c r="A112" s="2" t="s">
        <v>117</v>
      </c>
      <c r="M112">
        <v>31877</v>
      </c>
      <c r="N112" t="str">
        <f>VLOOKUP(A112,'Originales sin dirección'!V:W,2,FALSE)</f>
        <v>Internet Services and Retailing</v>
      </c>
    </row>
    <row r="113" spans="1:14" x14ac:dyDescent="0.3">
      <c r="A113" s="2" t="s">
        <v>229</v>
      </c>
      <c r="C113">
        <v>37261</v>
      </c>
      <c r="D113">
        <v>35873.4</v>
      </c>
      <c r="N113" t="str">
        <f>VLOOKUP(A113,'Originales sin dirección'!V:W,2,FALSE)</f>
        <v>Telecommunications</v>
      </c>
    </row>
    <row r="114" spans="1:14" x14ac:dyDescent="0.3">
      <c r="A114" s="2" t="s">
        <v>136</v>
      </c>
      <c r="F114">
        <v>61690.3</v>
      </c>
      <c r="G114">
        <v>58611.4</v>
      </c>
      <c r="H114">
        <v>50532.4</v>
      </c>
      <c r="I114">
        <v>50532.4</v>
      </c>
      <c r="J114">
        <v>50532.4</v>
      </c>
      <c r="K114">
        <v>51054.5</v>
      </c>
      <c r="L114">
        <v>52931.7</v>
      </c>
      <c r="M114">
        <v>47550.400000000001</v>
      </c>
      <c r="N114" t="str">
        <f>VLOOKUP(A114,'Originales sin dirección'!V:W,2,FALSE)</f>
        <v>Telecommunications</v>
      </c>
    </row>
    <row r="115" spans="1:14" x14ac:dyDescent="0.3">
      <c r="A115" s="2" t="s">
        <v>181</v>
      </c>
      <c r="B115">
        <v>58611.4</v>
      </c>
      <c r="C115">
        <v>70187.399999999994</v>
      </c>
      <c r="D115">
        <v>65986.5</v>
      </c>
      <c r="N115" t="str">
        <f>VLOOKUP(A115,'Originales sin dirección'!V:W,2,FALSE)</f>
        <v>Telecommunications</v>
      </c>
    </row>
    <row r="116" spans="1:14" x14ac:dyDescent="0.3">
      <c r="A116" s="2" t="s">
        <v>74</v>
      </c>
      <c r="F116">
        <v>131620</v>
      </c>
      <c r="G116">
        <v>125980</v>
      </c>
      <c r="H116">
        <v>130863</v>
      </c>
      <c r="I116">
        <v>130863</v>
      </c>
      <c r="J116">
        <v>130863</v>
      </c>
      <c r="K116">
        <v>128292</v>
      </c>
      <c r="L116">
        <v>133613</v>
      </c>
      <c r="M116">
        <v>136835</v>
      </c>
      <c r="N116" t="str">
        <f>VLOOKUP(A116,'Originales sin dirección'!V:W,2,FALSE)</f>
        <v>Telecommunications</v>
      </c>
    </row>
    <row r="117" spans="1:14" x14ac:dyDescent="0.3">
      <c r="A117" s="2" t="s">
        <v>76</v>
      </c>
      <c r="B117">
        <v>125980</v>
      </c>
      <c r="C117">
        <v>115846</v>
      </c>
      <c r="D117">
        <v>120550</v>
      </c>
      <c r="N117" t="str">
        <f>VLOOKUP(A117,'Originales sin dirección'!V:W,2,FALSE)</f>
        <v>Telecommunications</v>
      </c>
    </row>
    <row r="118" spans="1:14" x14ac:dyDescent="0.3">
      <c r="A118" s="2" t="s">
        <v>276</v>
      </c>
      <c r="K118">
        <v>35632.6</v>
      </c>
      <c r="N118" t="str">
        <f>VLOOKUP(A118,'Originales sin dirección'!V:W,2,FALSE)</f>
        <v>Internet Services and Retailing</v>
      </c>
    </row>
    <row r="119" spans="1:14" x14ac:dyDescent="0.3">
      <c r="A119" s="2" t="s">
        <v>139</v>
      </c>
      <c r="H119">
        <v>26443.5</v>
      </c>
      <c r="I119">
        <v>26443.5</v>
      </c>
      <c r="J119">
        <v>26443.5</v>
      </c>
      <c r="L119">
        <v>50898.1</v>
      </c>
      <c r="M119">
        <v>41631.300000000003</v>
      </c>
      <c r="N119" t="str">
        <f>VLOOKUP(A119,'Originales sin dirección'!V:W,2,FALSE)</f>
        <v>Internet Services and Retailing</v>
      </c>
    </row>
    <row r="120" spans="1:14" x14ac:dyDescent="0.3">
      <c r="A120" s="2" t="s">
        <v>278</v>
      </c>
      <c r="B120" s="7"/>
      <c r="C120" s="7"/>
      <c r="D120" s="7"/>
      <c r="E120" s="7"/>
      <c r="F120" s="7"/>
      <c r="G120" s="7">
        <v>78396.800000000003</v>
      </c>
      <c r="H120" s="7"/>
      <c r="I120" s="7"/>
      <c r="J120" s="7"/>
      <c r="K120" s="7"/>
      <c r="L120" s="7"/>
      <c r="M120" s="7"/>
      <c r="N120" t="s">
        <v>347</v>
      </c>
    </row>
    <row r="121" spans="1:14" x14ac:dyDescent="0.3">
      <c r="A121" s="2" t="s">
        <v>282</v>
      </c>
      <c r="B121" s="7">
        <v>78396.800000000003</v>
      </c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t="s">
        <v>347</v>
      </c>
    </row>
    <row r="122" spans="1:14" x14ac:dyDescent="0.3">
      <c r="A122" s="2" t="s">
        <v>645</v>
      </c>
      <c r="B122" s="7"/>
      <c r="C122" s="7"/>
      <c r="D122" s="7">
        <v>28171.1</v>
      </c>
      <c r="E122" s="7"/>
      <c r="F122" s="7"/>
      <c r="G122" s="7"/>
      <c r="H122" s="7"/>
      <c r="I122" s="7"/>
      <c r="J122" s="7"/>
      <c r="K122" s="7"/>
      <c r="L122" s="7"/>
      <c r="M122" s="7"/>
      <c r="N122" t="s">
        <v>347</v>
      </c>
    </row>
    <row r="123" spans="1:14" x14ac:dyDescent="0.3">
      <c r="A123" s="2" t="s">
        <v>622</v>
      </c>
      <c r="B123" s="7"/>
      <c r="C123" s="7"/>
      <c r="D123" s="7"/>
      <c r="E123" s="7"/>
      <c r="F123" s="7">
        <v>27014.9</v>
      </c>
      <c r="G123" s="7">
        <v>32879.4</v>
      </c>
      <c r="H123" s="7">
        <v>36465.699999999997</v>
      </c>
      <c r="I123" s="7">
        <v>36465.699999999997</v>
      </c>
      <c r="J123" s="7">
        <v>36465.699999999997</v>
      </c>
      <c r="K123" s="7">
        <v>33259.699999999997</v>
      </c>
      <c r="L123" s="7">
        <v>34872.699999999997</v>
      </c>
      <c r="M123" s="7">
        <v>32527.5</v>
      </c>
      <c r="N123" t="s">
        <v>347</v>
      </c>
    </row>
    <row r="124" spans="1:14" x14ac:dyDescent="0.3">
      <c r="A124" s="2" t="s">
        <v>652</v>
      </c>
      <c r="B124" s="7">
        <v>32879.4</v>
      </c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t="s">
        <v>347</v>
      </c>
    </row>
    <row r="125" spans="1:14" x14ac:dyDescent="0.3">
      <c r="A125" s="2" t="s">
        <v>604</v>
      </c>
      <c r="B125" s="7"/>
      <c r="C125" s="7"/>
      <c r="D125" s="7"/>
      <c r="E125" s="7"/>
      <c r="F125" s="7">
        <v>102247.6</v>
      </c>
      <c r="G125" s="7"/>
      <c r="H125" s="7"/>
      <c r="I125" s="7"/>
      <c r="J125" s="7"/>
      <c r="K125" s="7"/>
      <c r="L125" s="7"/>
      <c r="M125" s="7"/>
      <c r="N125" t="s">
        <v>347</v>
      </c>
    </row>
    <row r="126" spans="1:14" x14ac:dyDescent="0.3">
      <c r="A126" s="2" t="s">
        <v>559</v>
      </c>
      <c r="B126" s="7"/>
      <c r="C126" s="7">
        <v>98759.5</v>
      </c>
      <c r="D126" s="7">
        <v>100971.7</v>
      </c>
      <c r="E126" s="7"/>
      <c r="F126" s="7"/>
      <c r="G126" s="7"/>
      <c r="H126" s="7"/>
      <c r="I126" s="7"/>
      <c r="J126" s="7"/>
      <c r="K126" s="7"/>
      <c r="L126" s="7"/>
      <c r="M126" s="7"/>
      <c r="N126" t="s">
        <v>347</v>
      </c>
    </row>
    <row r="127" spans="1:14" x14ac:dyDescent="0.3">
      <c r="A127" s="2" t="s">
        <v>594</v>
      </c>
      <c r="B127" s="7"/>
      <c r="C127" s="7"/>
      <c r="D127" s="7"/>
      <c r="E127" s="7"/>
      <c r="F127" s="7"/>
      <c r="G127" s="7">
        <v>104129.7</v>
      </c>
      <c r="H127" s="7">
        <v>115042.8</v>
      </c>
      <c r="I127" s="7">
        <v>115042.8</v>
      </c>
      <c r="J127" s="7">
        <v>115042.8</v>
      </c>
      <c r="K127" s="7">
        <v>112794.1</v>
      </c>
      <c r="L127" s="7">
        <v>131521.60000000001</v>
      </c>
      <c r="M127" s="7">
        <v>149991.29999999999</v>
      </c>
      <c r="N127" t="s">
        <v>347</v>
      </c>
    </row>
    <row r="128" spans="1:14" x14ac:dyDescent="0.3">
      <c r="A128" s="2" t="s">
        <v>609</v>
      </c>
      <c r="B128" s="7">
        <v>104129.7</v>
      </c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t="s">
        <v>347</v>
      </c>
    </row>
    <row r="129" spans="1:14" x14ac:dyDescent="0.3">
      <c r="A129" s="2" t="s">
        <v>441</v>
      </c>
      <c r="B129" s="7"/>
      <c r="C129" s="7"/>
      <c r="D129" s="7"/>
      <c r="E129" s="7"/>
      <c r="F129" s="7">
        <v>31318.1</v>
      </c>
      <c r="G129" s="7">
        <v>30678.3</v>
      </c>
      <c r="H129" s="7">
        <v>33062.9</v>
      </c>
      <c r="I129" s="7">
        <v>33062.9</v>
      </c>
      <c r="J129" s="7">
        <v>33062.9</v>
      </c>
      <c r="K129" s="7">
        <v>28046.799999999999</v>
      </c>
      <c r="L129" s="7">
        <v>29570.2</v>
      </c>
      <c r="M129" s="7">
        <v>31297.9</v>
      </c>
      <c r="N129" t="s">
        <v>347</v>
      </c>
    </row>
    <row r="130" spans="1:14" x14ac:dyDescent="0.3">
      <c r="A130" s="2" t="s">
        <v>491</v>
      </c>
      <c r="B130" s="7">
        <v>30678.3</v>
      </c>
      <c r="C130" s="7">
        <v>38092.199999999997</v>
      </c>
      <c r="D130" s="7">
        <v>36573.4</v>
      </c>
      <c r="E130" s="7"/>
      <c r="F130" s="7"/>
      <c r="G130" s="7"/>
      <c r="H130" s="7"/>
      <c r="I130" s="7"/>
      <c r="J130" s="7"/>
      <c r="K130" s="7"/>
      <c r="L130" s="7"/>
      <c r="M130" s="7"/>
      <c r="N130" t="s">
        <v>347</v>
      </c>
    </row>
    <row r="131" spans="1:14" x14ac:dyDescent="0.3">
      <c r="A131" s="2" t="s">
        <v>614</v>
      </c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>
        <v>32758</v>
      </c>
      <c r="M131" s="7">
        <v>63040.800000000003</v>
      </c>
      <c r="N131" t="s">
        <v>347</v>
      </c>
    </row>
    <row r="132" spans="1:14" x14ac:dyDescent="0.3">
      <c r="A132" s="2" t="s">
        <v>419</v>
      </c>
      <c r="B132" s="7"/>
      <c r="C132" s="7"/>
      <c r="D132" s="7"/>
      <c r="E132" s="7"/>
      <c r="F132" s="7">
        <v>43519.1</v>
      </c>
      <c r="G132" s="7">
        <v>44841.5</v>
      </c>
      <c r="H132" s="7">
        <v>52404.7</v>
      </c>
      <c r="I132" s="7">
        <v>52404.7</v>
      </c>
      <c r="J132" s="7">
        <v>52404.7</v>
      </c>
      <c r="K132" s="7">
        <v>42982.7</v>
      </c>
      <c r="L132" s="7">
        <v>45162.6</v>
      </c>
      <c r="M132" s="7">
        <v>41448.699999999997</v>
      </c>
      <c r="N132" t="s">
        <v>347</v>
      </c>
    </row>
    <row r="133" spans="1:14" x14ac:dyDescent="0.3">
      <c r="A133" s="2" t="s">
        <v>524</v>
      </c>
      <c r="B133" s="7">
        <v>44841.5</v>
      </c>
      <c r="C133" s="7">
        <v>42070.2</v>
      </c>
      <c r="D133" s="7">
        <v>44249</v>
      </c>
      <c r="E133" s="7"/>
      <c r="F133" s="7"/>
      <c r="G133" s="7"/>
      <c r="H133" s="7"/>
      <c r="I133" s="7"/>
      <c r="J133" s="7"/>
      <c r="K133" s="7"/>
      <c r="L133" s="7"/>
      <c r="M133" s="7"/>
      <c r="N133" t="s">
        <v>347</v>
      </c>
    </row>
    <row r="134" spans="1:14" x14ac:dyDescent="0.3">
      <c r="A134" s="2" t="s">
        <v>567</v>
      </c>
      <c r="B134" s="7"/>
      <c r="C134" s="7">
        <v>146886.29999999999</v>
      </c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t="s">
        <v>347</v>
      </c>
    </row>
    <row r="135" spans="1:14" x14ac:dyDescent="0.3">
      <c r="A135" s="2" t="s">
        <v>603</v>
      </c>
      <c r="B135" s="7"/>
      <c r="C135" s="7"/>
      <c r="D135" s="7"/>
      <c r="E135" s="7"/>
      <c r="F135" s="7">
        <v>165800.20000000001</v>
      </c>
      <c r="G135" s="7">
        <v>169483</v>
      </c>
      <c r="H135" s="7"/>
      <c r="I135" s="7"/>
      <c r="J135" s="7"/>
      <c r="K135" s="7"/>
      <c r="L135" s="7"/>
      <c r="M135" s="7"/>
      <c r="N135" t="s">
        <v>347</v>
      </c>
    </row>
    <row r="136" spans="1:14" x14ac:dyDescent="0.3">
      <c r="A136" s="2" t="s">
        <v>607</v>
      </c>
      <c r="B136" s="7">
        <v>169483</v>
      </c>
      <c r="C136" s="7"/>
      <c r="D136" s="7">
        <v>156628.4</v>
      </c>
      <c r="E136" s="7"/>
      <c r="F136" s="7"/>
      <c r="G136" s="7"/>
      <c r="H136" s="7"/>
      <c r="I136" s="7"/>
      <c r="J136" s="7"/>
      <c r="K136" s="7"/>
      <c r="L136" s="7"/>
      <c r="M136" s="7"/>
      <c r="N136" t="s">
        <v>347</v>
      </c>
    </row>
    <row r="137" spans="1:14" x14ac:dyDescent="0.3">
      <c r="A137" s="2" t="s">
        <v>601</v>
      </c>
      <c r="B137" s="7"/>
      <c r="C137" s="7"/>
      <c r="D137" s="7"/>
      <c r="E137" s="7"/>
      <c r="F137" s="7"/>
      <c r="G137" s="7"/>
      <c r="H137" s="7">
        <v>197515.3</v>
      </c>
      <c r="I137" s="7">
        <v>197515.3</v>
      </c>
      <c r="J137" s="7">
        <v>197515.3</v>
      </c>
      <c r="K137" s="7">
        <v>175827.3</v>
      </c>
      <c r="L137" s="7">
        <v>158306.1</v>
      </c>
      <c r="M137" s="7"/>
      <c r="N137" t="s">
        <v>347</v>
      </c>
    </row>
    <row r="138" spans="1:14" x14ac:dyDescent="0.3">
      <c r="A138" s="2" t="s">
        <v>627</v>
      </c>
      <c r="B138" s="7"/>
      <c r="C138" s="7"/>
      <c r="D138" s="7"/>
      <c r="E138" s="7"/>
      <c r="F138" s="7">
        <v>37688.300000000003</v>
      </c>
      <c r="G138" s="7">
        <v>41781</v>
      </c>
      <c r="H138" s="7">
        <v>48368</v>
      </c>
      <c r="I138" s="7">
        <v>48368</v>
      </c>
      <c r="J138" s="7">
        <v>48368</v>
      </c>
      <c r="K138" s="7">
        <v>46569.3</v>
      </c>
      <c r="L138" s="7">
        <v>49098.6</v>
      </c>
      <c r="M138" s="7">
        <v>47292.2</v>
      </c>
      <c r="N138" t="s">
        <v>347</v>
      </c>
    </row>
    <row r="139" spans="1:14" x14ac:dyDescent="0.3">
      <c r="A139" s="2" t="s">
        <v>531</v>
      </c>
      <c r="B139" s="7">
        <v>41781</v>
      </c>
      <c r="C139" s="7">
        <v>43122.2</v>
      </c>
      <c r="D139" s="7">
        <v>40885.199999999997</v>
      </c>
      <c r="E139" s="7"/>
      <c r="F139" s="7"/>
      <c r="G139" s="7"/>
      <c r="H139" s="7"/>
      <c r="I139" s="7"/>
      <c r="J139" s="7"/>
      <c r="K139" s="7"/>
      <c r="L139" s="7"/>
      <c r="M139" s="7"/>
      <c r="N139" t="s">
        <v>347</v>
      </c>
    </row>
    <row r="140" spans="1:14" x14ac:dyDescent="0.3">
      <c r="A140" s="2" t="s">
        <v>399</v>
      </c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>
        <v>53581.9</v>
      </c>
      <c r="N140" t="s">
        <v>347</v>
      </c>
    </row>
    <row r="141" spans="1:14" x14ac:dyDescent="0.3">
      <c r="A141" s="2" t="s">
        <v>684</v>
      </c>
      <c r="B141" s="7"/>
      <c r="C141" s="7"/>
      <c r="D141" s="7">
        <v>150996.9</v>
      </c>
      <c r="E141" s="7"/>
      <c r="F141" s="7"/>
      <c r="G141" s="7"/>
      <c r="H141" s="7"/>
      <c r="I141" s="7"/>
      <c r="J141" s="7"/>
      <c r="K141" s="7"/>
      <c r="L141" s="7"/>
      <c r="M141" s="7"/>
      <c r="N141" t="s">
        <v>347</v>
      </c>
    </row>
    <row r="142" spans="1:14" x14ac:dyDescent="0.3">
      <c r="A142" s="2" t="s">
        <v>368</v>
      </c>
      <c r="B142" s="7"/>
      <c r="C142" s="7"/>
      <c r="D142" s="7"/>
      <c r="E142" s="7"/>
      <c r="F142" s="7">
        <v>149558</v>
      </c>
      <c r="G142" s="7">
        <v>151800</v>
      </c>
      <c r="H142" s="7">
        <v>160338</v>
      </c>
      <c r="I142" s="7">
        <v>160338</v>
      </c>
      <c r="J142" s="7">
        <v>160338</v>
      </c>
      <c r="K142" s="7">
        <v>127144</v>
      </c>
      <c r="L142" s="7">
        <v>136341</v>
      </c>
      <c r="M142" s="7">
        <v>158057</v>
      </c>
      <c r="N142" t="s">
        <v>347</v>
      </c>
    </row>
    <row r="143" spans="1:14" x14ac:dyDescent="0.3">
      <c r="A143" s="2" t="s">
        <v>374</v>
      </c>
      <c r="B143" s="7">
        <v>151800</v>
      </c>
      <c r="C143" s="7">
        <v>134252</v>
      </c>
      <c r="D143" s="7">
        <v>146917</v>
      </c>
      <c r="E143" s="7"/>
      <c r="F143" s="7"/>
      <c r="G143" s="7"/>
      <c r="H143" s="7"/>
      <c r="I143" s="7"/>
      <c r="J143" s="7"/>
      <c r="K143" s="7"/>
      <c r="L143" s="7"/>
      <c r="M143" s="7"/>
      <c r="N143" t="s">
        <v>347</v>
      </c>
    </row>
    <row r="144" spans="1:14" x14ac:dyDescent="0.3">
      <c r="A144" s="2" t="s">
        <v>479</v>
      </c>
      <c r="B144" s="7"/>
      <c r="C144" s="7"/>
      <c r="D144" s="7"/>
      <c r="E144" s="7"/>
      <c r="F144" s="7">
        <v>26924</v>
      </c>
      <c r="G144" s="7">
        <v>30695.5</v>
      </c>
      <c r="H144" s="7">
        <v>28505.4</v>
      </c>
      <c r="I144" s="7">
        <v>28505.4</v>
      </c>
      <c r="J144" s="7">
        <v>28505.4</v>
      </c>
      <c r="K144" s="7">
        <v>26698</v>
      </c>
      <c r="L144" s="7"/>
      <c r="M144" s="7"/>
      <c r="N144" t="s">
        <v>347</v>
      </c>
    </row>
    <row r="145" spans="1:14" x14ac:dyDescent="0.3">
      <c r="A145" s="2" t="s">
        <v>489</v>
      </c>
      <c r="B145" s="7">
        <v>30695.5</v>
      </c>
      <c r="C145" s="7"/>
      <c r="D145" s="7">
        <v>24037.8</v>
      </c>
      <c r="E145" s="7"/>
      <c r="F145" s="7"/>
      <c r="G145" s="7"/>
      <c r="H145" s="7"/>
      <c r="I145" s="7"/>
      <c r="J145" s="7"/>
      <c r="K145" s="7"/>
      <c r="L145" s="7"/>
      <c r="M145" s="7"/>
      <c r="N145" t="s">
        <v>347</v>
      </c>
    </row>
    <row r="146" spans="1:14" x14ac:dyDescent="0.3">
      <c r="A146" s="2" t="s">
        <v>350</v>
      </c>
      <c r="B146" s="7"/>
      <c r="C146" s="7"/>
      <c r="D146" s="7"/>
      <c r="E146" s="7"/>
      <c r="F146" s="7">
        <v>152356</v>
      </c>
      <c r="G146" s="7">
        <v>166380</v>
      </c>
      <c r="H146" s="7">
        <v>147049</v>
      </c>
      <c r="I146" s="7">
        <v>147049</v>
      </c>
      <c r="J146" s="7">
        <v>147049</v>
      </c>
      <c r="K146" s="7">
        <v>122485</v>
      </c>
      <c r="L146" s="7">
        <v>127004</v>
      </c>
      <c r="M146" s="7">
        <v>156735</v>
      </c>
      <c r="N146" t="s">
        <v>347</v>
      </c>
    </row>
    <row r="147" spans="1:14" x14ac:dyDescent="0.3">
      <c r="A147" s="2" t="s">
        <v>355</v>
      </c>
      <c r="B147" s="7">
        <v>166380</v>
      </c>
      <c r="C147" s="7">
        <v>152256</v>
      </c>
      <c r="D147" s="7">
        <v>155427</v>
      </c>
      <c r="E147" s="7"/>
      <c r="F147" s="7"/>
      <c r="G147" s="7"/>
      <c r="H147" s="7"/>
      <c r="I147" s="7"/>
      <c r="J147" s="7"/>
      <c r="K147" s="7"/>
      <c r="L147" s="7"/>
      <c r="M147" s="7"/>
      <c r="N147" t="s">
        <v>347</v>
      </c>
    </row>
    <row r="148" spans="1:14" x14ac:dyDescent="0.3">
      <c r="A148" s="2" t="s">
        <v>473</v>
      </c>
      <c r="B148" s="7"/>
      <c r="C148" s="7"/>
      <c r="D148" s="7"/>
      <c r="E148" s="7"/>
      <c r="F148" s="7">
        <v>121624.3</v>
      </c>
      <c r="G148" s="7">
        <v>129198.39999999999</v>
      </c>
      <c r="H148" s="7">
        <v>143302.9</v>
      </c>
      <c r="I148" s="7">
        <v>143302.9</v>
      </c>
      <c r="J148" s="7">
        <v>143302.9</v>
      </c>
      <c r="K148" s="7">
        <v>124240.6</v>
      </c>
      <c r="L148" s="7">
        <v>129546.9</v>
      </c>
      <c r="M148" s="7">
        <v>124912.2</v>
      </c>
      <c r="N148" t="s">
        <v>347</v>
      </c>
    </row>
    <row r="149" spans="1:14" x14ac:dyDescent="0.3">
      <c r="A149" s="2" t="s">
        <v>493</v>
      </c>
      <c r="B149" s="7">
        <v>129198.39999999999</v>
      </c>
      <c r="C149" s="7">
        <v>118952.4</v>
      </c>
      <c r="D149" s="7">
        <v>118210.5</v>
      </c>
      <c r="E149" s="7"/>
      <c r="F149" s="7"/>
      <c r="G149" s="7"/>
      <c r="H149" s="7"/>
      <c r="I149" s="7"/>
      <c r="J149" s="7"/>
      <c r="K149" s="7"/>
      <c r="L149" s="7"/>
      <c r="M149" s="7"/>
      <c r="N149" t="s">
        <v>347</v>
      </c>
    </row>
    <row r="150" spans="1:14" x14ac:dyDescent="0.3">
      <c r="A150" s="2" t="s">
        <v>660</v>
      </c>
      <c r="B150" s="7"/>
      <c r="C150" s="7"/>
      <c r="D150" s="7"/>
      <c r="E150" s="7"/>
      <c r="F150" s="7">
        <v>81320.2</v>
      </c>
      <c r="G150" s="7">
        <v>80701.399999999994</v>
      </c>
      <c r="H150" s="7">
        <v>87999.2</v>
      </c>
      <c r="I150" s="7">
        <v>87999.2</v>
      </c>
      <c r="J150" s="7">
        <v>87999.2</v>
      </c>
      <c r="K150" s="7">
        <v>88155.7</v>
      </c>
      <c r="L150" s="7">
        <v>102775</v>
      </c>
      <c r="M150" s="7">
        <v>110411.7</v>
      </c>
      <c r="N150" t="s">
        <v>347</v>
      </c>
    </row>
    <row r="151" spans="1:14" x14ac:dyDescent="0.3">
      <c r="A151" s="2" t="s">
        <v>552</v>
      </c>
      <c r="B151" s="7">
        <v>80701.399999999994</v>
      </c>
      <c r="C151" s="7">
        <v>74998.5</v>
      </c>
      <c r="D151" s="7">
        <v>79766.100000000006</v>
      </c>
      <c r="E151" s="7"/>
      <c r="F151" s="7"/>
      <c r="G151" s="7"/>
      <c r="H151" s="7"/>
      <c r="I151" s="7"/>
      <c r="J151" s="7"/>
      <c r="K151" s="7"/>
      <c r="L151" s="7"/>
      <c r="M151" s="7"/>
      <c r="N151" t="s">
        <v>347</v>
      </c>
    </row>
    <row r="152" spans="1:14" x14ac:dyDescent="0.3">
      <c r="A152" s="2" t="s">
        <v>382</v>
      </c>
      <c r="B152" s="7"/>
      <c r="C152" s="7"/>
      <c r="D152" s="7"/>
      <c r="E152" s="7"/>
      <c r="F152" s="7">
        <v>40204</v>
      </c>
      <c r="G152" s="7"/>
      <c r="H152" s="7"/>
      <c r="I152" s="7"/>
      <c r="J152" s="7"/>
      <c r="K152" s="7"/>
      <c r="L152" s="7"/>
      <c r="M152" s="7"/>
      <c r="N152" t="s">
        <v>347</v>
      </c>
    </row>
    <row r="153" spans="1:14" x14ac:dyDescent="0.3">
      <c r="A153" s="2" t="s">
        <v>388</v>
      </c>
      <c r="B153" s="7"/>
      <c r="C153" s="7">
        <v>41955</v>
      </c>
      <c r="D153" s="7">
        <v>42730</v>
      </c>
      <c r="E153" s="7"/>
      <c r="F153" s="7"/>
      <c r="G153" s="7"/>
      <c r="H153" s="7"/>
      <c r="I153" s="7"/>
      <c r="J153" s="7"/>
      <c r="K153" s="7"/>
      <c r="L153" s="7"/>
      <c r="M153" s="7"/>
      <c r="N153" t="s">
        <v>347</v>
      </c>
    </row>
    <row r="154" spans="1:14" x14ac:dyDescent="0.3">
      <c r="A154" s="2" t="s">
        <v>426</v>
      </c>
      <c r="B154" s="7"/>
      <c r="C154" s="7"/>
      <c r="D154" s="7"/>
      <c r="E154" s="7"/>
      <c r="F154" s="7"/>
      <c r="G154" s="7">
        <v>37051</v>
      </c>
      <c r="H154" s="7">
        <v>42527</v>
      </c>
      <c r="I154" s="7">
        <v>42527</v>
      </c>
      <c r="J154" s="7">
        <v>42527</v>
      </c>
      <c r="K154" s="7">
        <v>32647</v>
      </c>
      <c r="L154" s="7">
        <v>35862</v>
      </c>
      <c r="M154" s="7">
        <v>37724</v>
      </c>
      <c r="N154" t="s">
        <v>347</v>
      </c>
    </row>
    <row r="155" spans="1:14" x14ac:dyDescent="0.3">
      <c r="A155" s="2" t="s">
        <v>617</v>
      </c>
      <c r="B155" s="7">
        <v>37051</v>
      </c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t="s">
        <v>347</v>
      </c>
    </row>
    <row r="156" spans="1:14" x14ac:dyDescent="0.3">
      <c r="A156" s="2" t="s">
        <v>597</v>
      </c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>
        <v>157781.70000000001</v>
      </c>
      <c r="N156" t="s">
        <v>347</v>
      </c>
    </row>
    <row r="157" spans="1:14" x14ac:dyDescent="0.3">
      <c r="A157" s="2" t="s">
        <v>655</v>
      </c>
      <c r="B157" s="7"/>
      <c r="C157" s="7"/>
      <c r="D157" s="7"/>
      <c r="E157" s="7"/>
      <c r="F157" s="7">
        <v>33871</v>
      </c>
      <c r="G157" s="7">
        <v>36445</v>
      </c>
      <c r="H157" s="7">
        <v>40827</v>
      </c>
      <c r="I157" s="7">
        <v>40827</v>
      </c>
      <c r="J157" s="7">
        <v>40827</v>
      </c>
      <c r="K157" s="7">
        <v>32647</v>
      </c>
      <c r="L157" s="7">
        <v>36242</v>
      </c>
      <c r="M157" s="7">
        <v>37840</v>
      </c>
      <c r="N157" t="s">
        <v>347</v>
      </c>
    </row>
    <row r="158" spans="1:14" x14ac:dyDescent="0.3">
      <c r="A158" s="2" t="s">
        <v>511</v>
      </c>
      <c r="B158" s="7">
        <v>36445</v>
      </c>
      <c r="C158" s="7">
        <v>30837</v>
      </c>
      <c r="D158" s="7">
        <v>34835</v>
      </c>
      <c r="E158" s="7"/>
      <c r="F158" s="7"/>
      <c r="G158" s="7"/>
      <c r="H158" s="7"/>
      <c r="I158" s="7"/>
      <c r="J158" s="7"/>
      <c r="K158" s="7"/>
      <c r="L158" s="7"/>
      <c r="M158" s="7"/>
      <c r="N158" t="s">
        <v>347</v>
      </c>
    </row>
    <row r="159" spans="1:14" x14ac:dyDescent="0.3">
      <c r="A159" s="2" t="s">
        <v>503</v>
      </c>
      <c r="B159" s="7"/>
      <c r="C159" s="7">
        <v>27596.799999999999</v>
      </c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t="s">
        <v>347</v>
      </c>
    </row>
    <row r="160" spans="1:14" x14ac:dyDescent="0.3">
      <c r="A160" s="2" t="s">
        <v>581</v>
      </c>
      <c r="B160" s="7"/>
      <c r="C160" s="7"/>
      <c r="D160" s="7"/>
      <c r="E160" s="7"/>
      <c r="F160" s="7">
        <v>23515.599999999999</v>
      </c>
      <c r="G160" s="7">
        <v>23119.9</v>
      </c>
      <c r="H160" s="7">
        <v>25996.7</v>
      </c>
      <c r="I160" s="7">
        <v>25996.7</v>
      </c>
      <c r="J160" s="7">
        <v>25996.7</v>
      </c>
      <c r="K160" s="7"/>
      <c r="L160" s="7"/>
      <c r="M160" s="7"/>
      <c r="N160" t="s">
        <v>347</v>
      </c>
    </row>
    <row r="161" spans="1:14" x14ac:dyDescent="0.3">
      <c r="A161" s="2" t="s">
        <v>589</v>
      </c>
      <c r="B161" s="7">
        <v>23119.9</v>
      </c>
      <c r="C161" s="7"/>
      <c r="D161" s="7">
        <v>26879.200000000001</v>
      </c>
      <c r="E161" s="7"/>
      <c r="F161" s="7"/>
      <c r="G161" s="7"/>
      <c r="H161" s="7"/>
      <c r="I161" s="7"/>
      <c r="J161" s="7"/>
      <c r="K161" s="7"/>
      <c r="L161" s="7"/>
      <c r="M161" s="7"/>
      <c r="N161" t="s">
        <v>347</v>
      </c>
    </row>
    <row r="162" spans="1:14" x14ac:dyDescent="0.3">
      <c r="A162" s="2" t="s">
        <v>639</v>
      </c>
      <c r="B162" s="7"/>
      <c r="C162" s="7"/>
      <c r="D162" s="7"/>
      <c r="E162" s="7"/>
      <c r="F162" s="7">
        <v>28376.2</v>
      </c>
      <c r="G162" s="7">
        <v>29665.3</v>
      </c>
      <c r="H162" s="7">
        <v>32150.799999999999</v>
      </c>
      <c r="I162" s="7">
        <v>32150.799999999999</v>
      </c>
      <c r="J162" s="7">
        <v>32150.799999999999</v>
      </c>
      <c r="K162" s="7">
        <v>27187.200000000001</v>
      </c>
      <c r="L162" s="7"/>
      <c r="M162" s="7"/>
      <c r="N162" t="s">
        <v>347</v>
      </c>
    </row>
    <row r="163" spans="1:14" x14ac:dyDescent="0.3">
      <c r="A163" s="2" t="s">
        <v>465</v>
      </c>
      <c r="B163" s="7">
        <v>29665.3</v>
      </c>
      <c r="C163" s="7">
        <v>26556.3</v>
      </c>
      <c r="D163" s="7">
        <v>26873.7</v>
      </c>
      <c r="E163" s="7"/>
      <c r="F163" s="7"/>
      <c r="G163" s="7"/>
      <c r="H163" s="7"/>
      <c r="I163" s="7"/>
      <c r="J163" s="7"/>
      <c r="K163" s="7"/>
      <c r="L163" s="7"/>
      <c r="M163" s="7"/>
      <c r="N163" t="s">
        <v>347</v>
      </c>
    </row>
    <row r="164" spans="1:14" x14ac:dyDescent="0.3">
      <c r="A164" s="2" t="s">
        <v>434</v>
      </c>
      <c r="B164" s="7"/>
      <c r="C164" s="7"/>
      <c r="D164" s="7"/>
      <c r="E164" s="7"/>
      <c r="F164" s="7">
        <v>101536</v>
      </c>
      <c r="G164" s="7">
        <v>108164.1</v>
      </c>
      <c r="H164" s="7">
        <v>104390.6</v>
      </c>
      <c r="I164" s="7">
        <v>104390.6</v>
      </c>
      <c r="J164" s="7">
        <v>104390.6</v>
      </c>
      <c r="K164" s="7">
        <v>74169.5</v>
      </c>
      <c r="L164" s="7">
        <v>74994.899999999994</v>
      </c>
      <c r="M164" s="7">
        <v>78287.100000000006</v>
      </c>
      <c r="N164" t="s">
        <v>347</v>
      </c>
    </row>
    <row r="165" spans="1:14" x14ac:dyDescent="0.3">
      <c r="A165" s="2" t="s">
        <v>562</v>
      </c>
      <c r="B165" s="7">
        <v>108164.1</v>
      </c>
      <c r="C165" s="7">
        <v>115961.4</v>
      </c>
      <c r="D165" s="7">
        <v>104635.8</v>
      </c>
      <c r="E165" s="7"/>
      <c r="F165" s="7"/>
      <c r="G165" s="7"/>
      <c r="H165" s="7"/>
      <c r="I165" s="7"/>
      <c r="J165" s="7"/>
      <c r="K165" s="7"/>
      <c r="L165" s="7"/>
      <c r="M165" s="7"/>
      <c r="N165" t="s">
        <v>347</v>
      </c>
    </row>
    <row r="166" spans="1:14" x14ac:dyDescent="0.3">
      <c r="A166" s="2" t="s">
        <v>545</v>
      </c>
      <c r="B166" s="7"/>
      <c r="C166" s="7">
        <v>71255.199999999997</v>
      </c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t="s">
        <v>347</v>
      </c>
    </row>
    <row r="167" spans="1:14" x14ac:dyDescent="0.3">
      <c r="A167" s="2" t="s">
        <v>456</v>
      </c>
      <c r="B167" s="7"/>
      <c r="C167" s="7"/>
      <c r="D167" s="7"/>
      <c r="E167" s="7"/>
      <c r="F167" s="7">
        <v>60650.8</v>
      </c>
      <c r="G167" s="7">
        <v>59748.800000000003</v>
      </c>
      <c r="H167" s="7">
        <v>87364.3</v>
      </c>
      <c r="I167" s="7">
        <v>87364.3</v>
      </c>
      <c r="J167" s="7">
        <v>87364.3</v>
      </c>
      <c r="K167" s="7"/>
      <c r="L167" s="7"/>
      <c r="M167" s="7"/>
      <c r="N167" t="s">
        <v>347</v>
      </c>
    </row>
    <row r="168" spans="1:14" x14ac:dyDescent="0.3">
      <c r="A168" s="2" t="s">
        <v>459</v>
      </c>
      <c r="B168" s="7">
        <v>59748.800000000003</v>
      </c>
      <c r="C168" s="7"/>
      <c r="D168" s="7">
        <v>71807.8</v>
      </c>
      <c r="E168" s="7"/>
      <c r="F168" s="7"/>
      <c r="G168" s="7"/>
      <c r="H168" s="7"/>
      <c r="I168" s="7"/>
      <c r="J168" s="7"/>
      <c r="K168" s="7"/>
      <c r="L168" s="7"/>
      <c r="M168" s="7"/>
      <c r="N168" t="s">
        <v>347</v>
      </c>
    </row>
    <row r="169" spans="1:14" x14ac:dyDescent="0.3">
      <c r="A169" s="2" t="s">
        <v>413</v>
      </c>
      <c r="B169" s="7"/>
      <c r="C169" s="7"/>
      <c r="D169" s="7"/>
      <c r="E169" s="7"/>
      <c r="F169" s="7">
        <v>50280.2</v>
      </c>
      <c r="G169" s="7">
        <v>56666.8</v>
      </c>
      <c r="H169" s="7">
        <v>67764.100000000006</v>
      </c>
      <c r="I169" s="7">
        <v>67764.100000000006</v>
      </c>
      <c r="J169" s="7">
        <v>67764.100000000006</v>
      </c>
      <c r="K169" s="7">
        <v>49536.4</v>
      </c>
      <c r="L169" s="7">
        <v>54639.199999999997</v>
      </c>
      <c r="M169" s="7">
        <v>49923.8</v>
      </c>
      <c r="N169" t="s">
        <v>347</v>
      </c>
    </row>
    <row r="170" spans="1:14" x14ac:dyDescent="0.3">
      <c r="A170" s="2" t="s">
        <v>590</v>
      </c>
      <c r="B170" s="7">
        <v>56666.8</v>
      </c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t="s">
        <v>347</v>
      </c>
    </row>
    <row r="171" spans="1:14" x14ac:dyDescent="0.3">
      <c r="A171" s="2" t="s">
        <v>542</v>
      </c>
      <c r="B171" s="7"/>
      <c r="C171" s="7">
        <v>53037.2</v>
      </c>
      <c r="D171" s="7">
        <v>54339.8</v>
      </c>
      <c r="E171" s="7"/>
      <c r="F171" s="7"/>
      <c r="G171" s="7"/>
      <c r="H171" s="7"/>
      <c r="I171" s="7"/>
      <c r="J171" s="7"/>
      <c r="K171" s="7"/>
      <c r="L171" s="7"/>
      <c r="M171" s="7"/>
      <c r="N171" t="s">
        <v>347</v>
      </c>
    </row>
    <row r="172" spans="1:14" x14ac:dyDescent="0.3">
      <c r="A172" s="2" t="s">
        <v>636</v>
      </c>
      <c r="B172" s="7"/>
      <c r="C172" s="7"/>
      <c r="D172" s="7"/>
      <c r="E172" s="7"/>
      <c r="F172" s="7">
        <v>24432</v>
      </c>
      <c r="G172" s="7">
        <v>25974.799999999999</v>
      </c>
      <c r="H172" s="7">
        <v>28662.9</v>
      </c>
      <c r="I172" s="7">
        <v>28662.9</v>
      </c>
      <c r="J172" s="7">
        <v>28662.9</v>
      </c>
      <c r="K172" s="7">
        <v>27531.7</v>
      </c>
      <c r="L172" s="7">
        <v>29980.400000000001</v>
      </c>
      <c r="M172" s="7"/>
      <c r="N172" t="s">
        <v>347</v>
      </c>
    </row>
    <row r="173" spans="1:14" x14ac:dyDescent="0.3">
      <c r="A173" s="2" t="s">
        <v>214</v>
      </c>
      <c r="B173" s="7">
        <v>25974.799999999999</v>
      </c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t="s">
        <v>347</v>
      </c>
    </row>
    <row r="174" spans="1:14" x14ac:dyDescent="0.3">
      <c r="A174" s="2" t="s">
        <v>666</v>
      </c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>
        <v>176663</v>
      </c>
      <c r="M174" s="7">
        <v>188887.5</v>
      </c>
      <c r="N174" t="s">
        <v>347</v>
      </c>
    </row>
    <row r="175" spans="1:14" x14ac:dyDescent="0.3">
      <c r="A175" s="2" t="s">
        <v>518</v>
      </c>
      <c r="B175" s="7"/>
      <c r="C175" s="7">
        <v>31048.7</v>
      </c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t="s">
        <v>347</v>
      </c>
    </row>
    <row r="176" spans="1:14" x14ac:dyDescent="0.3">
      <c r="A176" s="2" t="s">
        <v>625</v>
      </c>
      <c r="B176" s="7"/>
      <c r="C176" s="7"/>
      <c r="D176" s="7"/>
      <c r="E176" s="7"/>
      <c r="F176" s="7">
        <v>26494.2</v>
      </c>
      <c r="G176" s="7">
        <v>29251.599999999999</v>
      </c>
      <c r="H176" s="7">
        <v>34917.9</v>
      </c>
      <c r="I176" s="7">
        <v>34917.9</v>
      </c>
      <c r="J176" s="7">
        <v>34917.9</v>
      </c>
      <c r="K176" s="7">
        <v>29980.799999999999</v>
      </c>
      <c r="L176" s="7">
        <v>31765.4</v>
      </c>
      <c r="M176" s="7">
        <v>34291.9</v>
      </c>
      <c r="N176" t="s">
        <v>347</v>
      </c>
    </row>
    <row r="177" spans="1:14" x14ac:dyDescent="0.3">
      <c r="A177" s="2" t="s">
        <v>647</v>
      </c>
      <c r="B177" s="7">
        <v>29251.599999999999</v>
      </c>
      <c r="C177" s="7"/>
      <c r="D177" s="7">
        <v>29330</v>
      </c>
      <c r="E177" s="7"/>
      <c r="F177" s="7"/>
      <c r="G177" s="7"/>
      <c r="H177" s="7"/>
      <c r="I177" s="7"/>
      <c r="J177" s="7"/>
      <c r="K177" s="7"/>
      <c r="L177" s="7"/>
      <c r="M177" s="7"/>
      <c r="N177" t="s">
        <v>347</v>
      </c>
    </row>
    <row r="178" spans="1:14" x14ac:dyDescent="0.3">
      <c r="A178" s="2" t="s">
        <v>630</v>
      </c>
      <c r="B178" s="7"/>
      <c r="C178" s="7"/>
      <c r="D178" s="7"/>
      <c r="E178" s="7"/>
      <c r="F178" s="7">
        <v>236591.6</v>
      </c>
      <c r="G178" s="7">
        <v>254694</v>
      </c>
      <c r="H178" s="7">
        <v>272612</v>
      </c>
      <c r="I178" s="7">
        <v>272612</v>
      </c>
      <c r="J178" s="7">
        <v>272612</v>
      </c>
      <c r="K178" s="7">
        <v>256721.7</v>
      </c>
      <c r="L178" s="7">
        <v>279337.7</v>
      </c>
      <c r="M178" s="7">
        <v>274491.40000000002</v>
      </c>
      <c r="N178" t="s">
        <v>347</v>
      </c>
    </row>
    <row r="179" spans="1:14" x14ac:dyDescent="0.3">
      <c r="A179" s="2" t="s">
        <v>577</v>
      </c>
      <c r="B179" s="7">
        <v>254694</v>
      </c>
      <c r="C179" s="7">
        <v>265701.8</v>
      </c>
      <c r="D179" s="7">
        <v>256454.8</v>
      </c>
      <c r="E179" s="7"/>
      <c r="F179" s="7"/>
      <c r="G179" s="7"/>
      <c r="H179" s="7"/>
      <c r="I179" s="7"/>
      <c r="J179" s="7"/>
      <c r="K179" s="7"/>
      <c r="L179" s="7"/>
      <c r="M179" s="7"/>
      <c r="N179" t="s">
        <v>347</v>
      </c>
    </row>
    <row r="180" spans="1:14" x14ac:dyDescent="0.3">
      <c r="A180" s="2" t="s">
        <v>362</v>
      </c>
      <c r="B180" s="7"/>
      <c r="C180" s="7"/>
      <c r="D180" s="7"/>
      <c r="E180" s="7"/>
      <c r="F180" s="7"/>
      <c r="G180" s="7"/>
      <c r="H180" s="7"/>
      <c r="I180" s="7"/>
      <c r="J180" s="7"/>
      <c r="K180" s="7">
        <v>31536</v>
      </c>
      <c r="L180" s="7">
        <v>53823</v>
      </c>
      <c r="M180" s="7">
        <v>81462</v>
      </c>
      <c r="N180" t="s">
        <v>347</v>
      </c>
    </row>
    <row r="181" spans="1:14" x14ac:dyDescent="0.3">
      <c r="A181" s="2" t="s">
        <v>406</v>
      </c>
      <c r="B181" s="7"/>
      <c r="C181" s="7"/>
      <c r="D181" s="7"/>
      <c r="E181" s="7"/>
      <c r="F181" s="7">
        <v>42091.9</v>
      </c>
      <c r="G181" s="7">
        <v>40329.199999999997</v>
      </c>
      <c r="H181" s="7">
        <v>43599.199999999997</v>
      </c>
      <c r="I181" s="7">
        <v>43599.199999999997</v>
      </c>
      <c r="J181" s="7">
        <v>43599.199999999997</v>
      </c>
      <c r="K181" s="7">
        <v>34012.800000000003</v>
      </c>
      <c r="L181" s="7">
        <v>37797.199999999997</v>
      </c>
      <c r="M181" s="7"/>
      <c r="N181" t="s">
        <v>347</v>
      </c>
    </row>
    <row r="182" spans="1:14" x14ac:dyDescent="0.3">
      <c r="A182" s="2" t="s">
        <v>521</v>
      </c>
      <c r="B182" s="7">
        <v>40329.199999999997</v>
      </c>
      <c r="C182" s="7">
        <v>34705</v>
      </c>
      <c r="D182" s="7">
        <v>38502.300000000003</v>
      </c>
      <c r="E182" s="7"/>
      <c r="F182" s="7"/>
      <c r="G182" s="7"/>
      <c r="H182" s="7"/>
      <c r="I182" s="7"/>
      <c r="J182" s="7"/>
      <c r="K182" s="7"/>
      <c r="L182" s="7"/>
      <c r="M182" s="7"/>
      <c r="N182" t="s">
        <v>347</v>
      </c>
    </row>
    <row r="183" spans="1:14" x14ac:dyDescent="0.3">
      <c r="A183" s="2" t="s">
        <v>450</v>
      </c>
      <c r="B183" s="7"/>
      <c r="C183" s="7"/>
      <c r="D183" s="7"/>
      <c r="E183" s="7"/>
      <c r="F183" s="7">
        <v>236599.8</v>
      </c>
      <c r="G183" s="7">
        <v>240263.8</v>
      </c>
      <c r="H183" s="7"/>
      <c r="I183" s="7"/>
      <c r="J183" s="7"/>
      <c r="K183" s="7"/>
      <c r="L183" s="7"/>
      <c r="M183" s="7"/>
      <c r="N183" t="s">
        <v>347</v>
      </c>
    </row>
    <row r="184" spans="1:14" x14ac:dyDescent="0.3">
      <c r="A184" s="2" t="s">
        <v>468</v>
      </c>
      <c r="B184" s="7">
        <v>240263.8</v>
      </c>
      <c r="C184" s="7">
        <v>247613.3</v>
      </c>
      <c r="D184" s="7">
        <v>261539.1</v>
      </c>
      <c r="E184" s="7"/>
      <c r="F184" s="7"/>
      <c r="G184" s="7"/>
      <c r="H184" s="7"/>
      <c r="I184" s="7"/>
      <c r="J184" s="7"/>
      <c r="K184" s="7"/>
      <c r="L184" s="7"/>
      <c r="M184" s="7"/>
      <c r="N184" t="s">
        <v>347</v>
      </c>
    </row>
    <row r="185" spans="1:14" x14ac:dyDescent="0.3">
      <c r="A185" s="2" t="s">
        <v>658</v>
      </c>
      <c r="B185" s="7"/>
      <c r="C185" s="7"/>
      <c r="D185" s="7"/>
      <c r="E185" s="7"/>
      <c r="F185" s="7">
        <v>37061.4</v>
      </c>
      <c r="G185" s="7">
        <v>35268.6</v>
      </c>
      <c r="H185" s="7">
        <v>44957</v>
      </c>
      <c r="I185" s="7">
        <v>44957</v>
      </c>
      <c r="J185" s="7">
        <v>44957</v>
      </c>
      <c r="K185" s="7">
        <v>36754.300000000003</v>
      </c>
      <c r="L185" s="7">
        <v>43388.4</v>
      </c>
      <c r="M185" s="7">
        <v>46828</v>
      </c>
      <c r="N185" t="s">
        <v>347</v>
      </c>
    </row>
    <row r="186" spans="1:14" x14ac:dyDescent="0.3">
      <c r="A186" s="2" t="s">
        <v>688</v>
      </c>
      <c r="B186" s="7">
        <v>35268.6</v>
      </c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t="s">
        <v>347</v>
      </c>
    </row>
    <row r="187" spans="1:14" x14ac:dyDescent="0.3">
      <c r="A187" s="2" t="s">
        <v>539</v>
      </c>
      <c r="B187" s="7"/>
      <c r="C187" s="7">
        <v>44850.6</v>
      </c>
      <c r="D187" s="7">
        <v>41863.1</v>
      </c>
      <c r="E187" s="7"/>
      <c r="F187" s="7"/>
      <c r="G187" s="7"/>
      <c r="H187" s="7"/>
      <c r="I187" s="7"/>
      <c r="J187" s="7"/>
      <c r="K187" s="7"/>
      <c r="L187" s="7"/>
      <c r="M187" s="7"/>
      <c r="N187" t="s">
        <v>347</v>
      </c>
    </row>
    <row r="188" spans="1:14" x14ac:dyDescent="0.3">
      <c r="A188" s="2" t="s">
        <v>599</v>
      </c>
      <c r="B188" s="7"/>
      <c r="C188" s="7"/>
      <c r="D188" s="7"/>
      <c r="E188" s="7"/>
      <c r="F188" s="7"/>
      <c r="G188" s="7"/>
      <c r="H188" s="7">
        <v>278341.5</v>
      </c>
      <c r="I188" s="7">
        <v>278341.5</v>
      </c>
      <c r="J188" s="7">
        <v>278341.5</v>
      </c>
      <c r="K188" s="7">
        <v>253965</v>
      </c>
      <c r="L188" s="7">
        <v>295819.8</v>
      </c>
      <c r="M188" s="7">
        <v>293684.7</v>
      </c>
      <c r="N188" t="s">
        <v>347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3BEB7-57D2-4096-8C96-88042B279396}">
  <dimension ref="A1:N188"/>
  <sheetViews>
    <sheetView topLeftCell="A115" workbookViewId="0">
      <selection activeCell="H129" sqref="H129"/>
    </sheetView>
  </sheetViews>
  <sheetFormatPr baseColWidth="10" defaultRowHeight="14.4" x14ac:dyDescent="0.3"/>
  <sheetData>
    <row r="1" spans="1:14" x14ac:dyDescent="0.3">
      <c r="A1" s="3"/>
      <c r="B1" s="3">
        <v>2011</v>
      </c>
      <c r="C1" s="3">
        <v>2012</v>
      </c>
      <c r="D1" s="3">
        <v>2013</v>
      </c>
      <c r="E1" s="3">
        <v>2014</v>
      </c>
      <c r="F1" s="3">
        <v>2015</v>
      </c>
      <c r="G1" s="3">
        <v>2016</v>
      </c>
      <c r="H1" s="3">
        <v>2017</v>
      </c>
      <c r="I1" s="3">
        <v>2018</v>
      </c>
      <c r="J1" s="3">
        <v>2019</v>
      </c>
      <c r="K1" s="3">
        <v>2020</v>
      </c>
      <c r="L1" s="3">
        <v>2021</v>
      </c>
      <c r="M1" s="3">
        <v>2022</v>
      </c>
    </row>
    <row r="2" spans="1:14" x14ac:dyDescent="0.3">
      <c r="A2" s="2" t="s">
        <v>298</v>
      </c>
      <c r="G2">
        <v>-17</v>
      </c>
      <c r="N2" t="str">
        <f>VLOOKUP(A2,'Originales sin dirección'!V:W,2,FALSE)</f>
        <v>Computers, Office Equipment</v>
      </c>
    </row>
    <row r="3" spans="1:14" x14ac:dyDescent="0.3">
      <c r="A3" s="2" t="s">
        <v>278</v>
      </c>
      <c r="F3">
        <v>-12.3</v>
      </c>
      <c r="G3">
        <v>-8.7999999999999989</v>
      </c>
      <c r="H3">
        <v>4.5</v>
      </c>
      <c r="I3">
        <v>4.5</v>
      </c>
      <c r="J3">
        <v>4.5</v>
      </c>
      <c r="N3" t="str">
        <f>VLOOKUP(A3,'Originales sin dirección'!V:W,2,FALSE)</f>
        <v>Computers, Office Equipment</v>
      </c>
    </row>
    <row r="4" spans="1:14" x14ac:dyDescent="0.3">
      <c r="A4" s="2" t="s">
        <v>282</v>
      </c>
      <c r="B4">
        <v>-8.7999999999999989</v>
      </c>
      <c r="N4" t="str">
        <f>VLOOKUP(A4,'Originales sin dirección'!V:W,2,FALSE)</f>
        <v>Internet Services and Retailing</v>
      </c>
    </row>
    <row r="5" spans="1:14" x14ac:dyDescent="0.3">
      <c r="A5" s="2" t="s">
        <v>307</v>
      </c>
      <c r="B5">
        <v>-17</v>
      </c>
      <c r="N5" t="str">
        <f>VLOOKUP(A5,'Originales sin dirección'!V:W,2,FALSE)</f>
        <v>Telecommunications</v>
      </c>
    </row>
    <row r="6" spans="1:14" x14ac:dyDescent="0.3">
      <c r="A6" s="2" t="s">
        <v>81</v>
      </c>
      <c r="F6">
        <v>27.9</v>
      </c>
      <c r="G6">
        <v>-7.7</v>
      </c>
      <c r="H6">
        <v>15.9</v>
      </c>
      <c r="I6">
        <v>15.9</v>
      </c>
      <c r="J6">
        <v>15.9</v>
      </c>
      <c r="K6">
        <v>5.5</v>
      </c>
      <c r="L6">
        <v>33.299999999999997</v>
      </c>
      <c r="M6">
        <v>7.8</v>
      </c>
      <c r="N6" t="str">
        <f>VLOOKUP(A6,'Originales sin dirección'!V:W,2,FALSE)</f>
        <v>Computers, Office Equipment</v>
      </c>
    </row>
    <row r="7" spans="1:14" x14ac:dyDescent="0.3">
      <c r="A7" s="2" t="s">
        <v>87</v>
      </c>
      <c r="B7">
        <v>-7.7</v>
      </c>
      <c r="C7">
        <v>44.6</v>
      </c>
      <c r="D7">
        <v>9.1999999999999993</v>
      </c>
      <c r="N7" t="str">
        <f>VLOOKUP(A7,'Originales sin dirección'!V:W,2,FALSE)</f>
        <v>Computers, Office Equipment</v>
      </c>
    </row>
    <row r="8" spans="1:14" x14ac:dyDescent="0.3">
      <c r="A8" s="2" t="s">
        <v>148</v>
      </c>
      <c r="G8">
        <v>42.2</v>
      </c>
      <c r="N8" t="str">
        <f>VLOOKUP(A8,'Originales sin dirección'!V:W,2,FALSE)</f>
        <v>Telecommunications</v>
      </c>
    </row>
    <row r="9" spans="1:14" x14ac:dyDescent="0.3">
      <c r="A9" s="2" t="s">
        <v>178</v>
      </c>
      <c r="B9">
        <v>42.2</v>
      </c>
      <c r="N9" t="str">
        <f>VLOOKUP(A9,'Originales sin dirección'!V:W,2,FALSE)</f>
        <v>Telecommunications</v>
      </c>
    </row>
    <row r="10" spans="1:14" x14ac:dyDescent="0.3">
      <c r="A10" s="2" t="s">
        <v>290</v>
      </c>
      <c r="F10">
        <v>-11.6</v>
      </c>
      <c r="G10">
        <v>-7.4</v>
      </c>
      <c r="H10">
        <v>-0.1</v>
      </c>
      <c r="I10">
        <v>-0.1</v>
      </c>
      <c r="J10">
        <v>-0.1</v>
      </c>
      <c r="K10">
        <v>-9.6</v>
      </c>
      <c r="L10">
        <v>5</v>
      </c>
      <c r="M10">
        <v>-14</v>
      </c>
      <c r="N10" t="str">
        <f>VLOOKUP(A10,'Originales sin dirección'!V:W,2,FALSE)</f>
        <v>Telecommunications</v>
      </c>
    </row>
    <row r="11" spans="1:14" x14ac:dyDescent="0.3">
      <c r="A11" s="2" t="s">
        <v>235</v>
      </c>
      <c r="B11">
        <v>-7.4</v>
      </c>
      <c r="C11">
        <v>10.1</v>
      </c>
      <c r="D11">
        <v>4.5</v>
      </c>
      <c r="N11" t="str">
        <f>VLOOKUP(A11,'Originales sin dirección'!V:W,2,FALSE)</f>
        <v>Telecommunications</v>
      </c>
    </row>
    <row r="12" spans="1:14" x14ac:dyDescent="0.3">
      <c r="A12" s="2" t="s">
        <v>65</v>
      </c>
      <c r="F12">
        <v>20.2</v>
      </c>
      <c r="G12">
        <v>27.1</v>
      </c>
      <c r="H12">
        <v>30.9</v>
      </c>
      <c r="I12">
        <v>30.9</v>
      </c>
      <c r="J12">
        <v>30.9</v>
      </c>
      <c r="K12">
        <v>37.6</v>
      </c>
      <c r="L12">
        <v>21.7</v>
      </c>
      <c r="M12">
        <v>9.4</v>
      </c>
      <c r="N12" t="str">
        <f>VLOOKUP(A12,'Originales sin dirección'!V:W,2,FALSE)</f>
        <v>Internet Services and Retailing</v>
      </c>
    </row>
    <row r="13" spans="1:14" x14ac:dyDescent="0.3">
      <c r="A13" s="2" t="s">
        <v>67</v>
      </c>
      <c r="B13">
        <v>27.1</v>
      </c>
      <c r="C13">
        <v>27.1</v>
      </c>
      <c r="D13">
        <v>21.9</v>
      </c>
      <c r="N13" t="str">
        <f>VLOOKUP(A13,'Originales sin dirección'!V:W,2,FALSE)</f>
        <v>Internet Services and Retailing</v>
      </c>
    </row>
    <row r="14" spans="1:14" x14ac:dyDescent="0.3">
      <c r="A14" s="2" t="s">
        <v>272</v>
      </c>
      <c r="G14">
        <v>47.9</v>
      </c>
      <c r="H14">
        <v>48.7</v>
      </c>
      <c r="I14">
        <v>48.7</v>
      </c>
      <c r="J14">
        <v>48.7</v>
      </c>
      <c r="K14">
        <v>44.7</v>
      </c>
      <c r="L14">
        <v>25.6</v>
      </c>
      <c r="M14">
        <v>-4.5999999999999996</v>
      </c>
      <c r="N14" t="str">
        <f>VLOOKUP(A14,'Originales sin dirección'!V:W,2,FALSE)</f>
        <v>Internet Services and Retailing</v>
      </c>
    </row>
    <row r="15" spans="1:14" x14ac:dyDescent="0.3">
      <c r="A15" s="2" t="s">
        <v>281</v>
      </c>
      <c r="B15">
        <v>47.9</v>
      </c>
      <c r="N15" t="str">
        <f>VLOOKUP(A15,'Originales sin dirección'!V:W,2,FALSE)</f>
        <v>Internet Services and Retailing</v>
      </c>
    </row>
    <row r="16" spans="1:14" x14ac:dyDescent="0.3">
      <c r="A16" s="2" t="s">
        <v>261</v>
      </c>
      <c r="F16">
        <v>-0.9</v>
      </c>
      <c r="G16">
        <v>9.3000000000000007</v>
      </c>
      <c r="H16">
        <v>-2.2000000000000002</v>
      </c>
      <c r="I16">
        <v>-2.2000000000000002</v>
      </c>
      <c r="J16">
        <v>-2.2000000000000002</v>
      </c>
      <c r="N16" t="str">
        <f>VLOOKUP(A16,'Originales sin dirección'!V:W,2,FALSE)</f>
        <v>Telecommunications</v>
      </c>
    </row>
    <row r="17" spans="1:14" x14ac:dyDescent="0.3">
      <c r="A17" s="2" t="s">
        <v>220</v>
      </c>
      <c r="B17">
        <v>9.3000000000000007</v>
      </c>
      <c r="C17">
        <v>-5.4</v>
      </c>
      <c r="D17">
        <v>-0.1</v>
      </c>
      <c r="N17" t="str">
        <f>VLOOKUP(A17,'Originales sin dirección'!V:W,2,FALSE)</f>
        <v>Telecommunications</v>
      </c>
    </row>
    <row r="18" spans="1:14" x14ac:dyDescent="0.3">
      <c r="A18" s="2" t="s">
        <v>259</v>
      </c>
      <c r="K18">
        <v>-4.2</v>
      </c>
      <c r="N18" t="str">
        <f>VLOOKUP(A18,'Originales sin dirección'!V:W,2,FALSE)</f>
        <v>Telecommunications</v>
      </c>
    </row>
    <row r="19" spans="1:14" x14ac:dyDescent="0.3">
      <c r="A19" s="2" t="s">
        <v>196</v>
      </c>
      <c r="F19">
        <v>-10.8</v>
      </c>
      <c r="G19">
        <v>-0.4</v>
      </c>
      <c r="H19">
        <v>-1.6</v>
      </c>
      <c r="I19">
        <v>-1.6</v>
      </c>
      <c r="J19">
        <v>-1.6</v>
      </c>
      <c r="K19">
        <v>-10.199999999999999</v>
      </c>
      <c r="L19">
        <v>8.1</v>
      </c>
      <c r="N19" t="str">
        <f>VLOOKUP(A19,'Originales sin dirección'!V:W,2,FALSE)</f>
        <v>Computers, Office Equipment</v>
      </c>
    </row>
    <row r="20" spans="1:14" x14ac:dyDescent="0.3">
      <c r="A20" s="2" t="s">
        <v>203</v>
      </c>
      <c r="B20">
        <v>-0.4</v>
      </c>
      <c r="C20">
        <v>-2.2999999999999998</v>
      </c>
      <c r="D20">
        <v>-12.3</v>
      </c>
      <c r="N20" t="str">
        <f>VLOOKUP(A20,'Originales sin dirección'!V:W,2,FALSE)</f>
        <v>Computers, Office Equipment</v>
      </c>
    </row>
    <row r="21" spans="1:14" x14ac:dyDescent="0.3">
      <c r="A21" s="2" t="s">
        <v>45</v>
      </c>
      <c r="G21">
        <v>197.3</v>
      </c>
      <c r="H21">
        <v>4.9000000000000004</v>
      </c>
      <c r="I21">
        <v>4.9000000000000004</v>
      </c>
      <c r="J21">
        <v>4.9000000000000004</v>
      </c>
      <c r="K21">
        <v>5.0999999999999996</v>
      </c>
      <c r="L21">
        <v>7.5</v>
      </c>
      <c r="M21">
        <v>4.5</v>
      </c>
      <c r="N21" t="str">
        <f>VLOOKUP(A21,'Originales sin dirección'!V:W,2,FALSE)</f>
        <v>Telecommunications</v>
      </c>
    </row>
    <row r="22" spans="1:14" x14ac:dyDescent="0.3">
      <c r="A22" s="2" t="s">
        <v>122</v>
      </c>
      <c r="B22">
        <v>197.3</v>
      </c>
      <c r="N22" t="str">
        <f>VLOOKUP(A22,'Originales sin dirección'!V:W,2,FALSE)</f>
        <v>Telecommunications</v>
      </c>
    </row>
    <row r="23" spans="1:14" x14ac:dyDescent="0.3">
      <c r="A23" s="2" t="s">
        <v>69</v>
      </c>
      <c r="C23">
        <v>12</v>
      </c>
      <c r="N23" t="str">
        <f>VLOOKUP(A23,'Originales sin dirección'!V:W,2,FALSE)</f>
        <v>Telecommunications</v>
      </c>
    </row>
    <row r="24" spans="1:14" x14ac:dyDescent="0.3">
      <c r="A24" s="2" t="s">
        <v>93</v>
      </c>
      <c r="F24">
        <v>8.3000000000000007</v>
      </c>
      <c r="G24">
        <v>7.9</v>
      </c>
      <c r="H24">
        <v>11.8</v>
      </c>
      <c r="I24">
        <v>11.8</v>
      </c>
      <c r="J24">
        <v>11.8</v>
      </c>
      <c r="K24">
        <v>-4.9000000000000004</v>
      </c>
      <c r="L24">
        <v>12.4</v>
      </c>
      <c r="M24">
        <v>4.3</v>
      </c>
      <c r="N24" t="str">
        <f>VLOOKUP(A24,'Originales sin dirección'!V:W,2,FALSE)</f>
        <v>Telecommunications</v>
      </c>
    </row>
    <row r="25" spans="1:14" x14ac:dyDescent="0.3">
      <c r="A25" s="2" t="s">
        <v>110</v>
      </c>
      <c r="B25">
        <v>7.9</v>
      </c>
      <c r="D25">
        <v>3.3</v>
      </c>
      <c r="N25" t="str">
        <f>VLOOKUP(A25,'Originales sin dirección'!V:W,2,FALSE)</f>
        <v>Telecommunications</v>
      </c>
    </row>
    <row r="26" spans="1:14" x14ac:dyDescent="0.3">
      <c r="A26" s="2" t="s">
        <v>56</v>
      </c>
      <c r="M26">
        <v>18.3</v>
      </c>
      <c r="N26" t="str">
        <f>VLOOKUP(A26,'Originales sin dirección'!V:W,2,FALSE)</f>
        <v>Computer Software</v>
      </c>
    </row>
    <row r="27" spans="1:14" x14ac:dyDescent="0.3">
      <c r="A27" s="2" t="s">
        <v>31</v>
      </c>
      <c r="H27">
        <v>15.2</v>
      </c>
      <c r="I27">
        <v>15.2</v>
      </c>
      <c r="J27">
        <v>15.2</v>
      </c>
      <c r="K27">
        <v>2.2000000000000002</v>
      </c>
      <c r="L27">
        <v>13.6</v>
      </c>
      <c r="M27">
        <v>-4.4000000000000004</v>
      </c>
      <c r="N27" t="str">
        <f>VLOOKUP(A27,'Originales sin dirección'!V:W,2,FALSE)</f>
        <v>Computers, Office Equipment</v>
      </c>
    </row>
    <row r="28" spans="1:14" x14ac:dyDescent="0.3">
      <c r="A28" s="2" t="s">
        <v>114</v>
      </c>
      <c r="C28">
        <v>-8.3000000000000007</v>
      </c>
      <c r="N28" t="str">
        <f>VLOOKUP(A28,'Originales sin dirección'!V:W,2,FALSE)</f>
        <v>Computers, Office Equipment</v>
      </c>
    </row>
    <row r="29" spans="1:14" x14ac:dyDescent="0.3">
      <c r="A29" s="2" t="s">
        <v>256</v>
      </c>
      <c r="F29">
        <v>-7.6</v>
      </c>
      <c r="G29">
        <v>5.3</v>
      </c>
      <c r="H29">
        <v>5.7</v>
      </c>
      <c r="I29">
        <v>5.7</v>
      </c>
      <c r="J29">
        <v>5.7</v>
      </c>
      <c r="K29">
        <v>27.7</v>
      </c>
      <c r="L29">
        <v>11.8</v>
      </c>
      <c r="M29">
        <v>-6.6</v>
      </c>
      <c r="N29" t="str">
        <f>VLOOKUP(A29,'Originales sin dirección'!V:W,2,FALSE)</f>
        <v>Telecommunications</v>
      </c>
    </row>
    <row r="30" spans="1:14" x14ac:dyDescent="0.3">
      <c r="A30" s="2" t="s">
        <v>164</v>
      </c>
      <c r="B30">
        <v>5.3</v>
      </c>
      <c r="C30">
        <v>-8.3000000000000007</v>
      </c>
      <c r="D30">
        <v>6.8</v>
      </c>
      <c r="N30" t="str">
        <f>VLOOKUP(A30,'Originales sin dirección'!V:W,2,FALSE)</f>
        <v>Telecommunications</v>
      </c>
    </row>
    <row r="31" spans="1:14" x14ac:dyDescent="0.3">
      <c r="A31" s="2" t="s">
        <v>51</v>
      </c>
      <c r="C31">
        <v>9.1999999999999993</v>
      </c>
      <c r="D31">
        <v>6.8</v>
      </c>
      <c r="N31" t="str">
        <f>VLOOKUP(A31,'Originales sin dirección'!V:W,2,FALSE)</f>
        <v>Telecommunications</v>
      </c>
    </row>
    <row r="32" spans="1:14" x14ac:dyDescent="0.3">
      <c r="A32" s="2" t="s">
        <v>106</v>
      </c>
      <c r="F32">
        <v>1.1000000000000001</v>
      </c>
      <c r="N32" t="str">
        <f>VLOOKUP(A32,'Originales sin dirección'!V:W,2,FALSE)</f>
        <v>Computers, Office Equipment</v>
      </c>
    </row>
    <row r="33" spans="1:14" x14ac:dyDescent="0.3">
      <c r="A33" s="2" t="s">
        <v>104</v>
      </c>
      <c r="F33">
        <v>-9.1</v>
      </c>
      <c r="N33" t="str">
        <f>VLOOKUP(A33,'Originales sin dirección'!V:W,2,FALSE)</f>
        <v>Electronics, Electrical Equip.</v>
      </c>
    </row>
    <row r="34" spans="1:14" x14ac:dyDescent="0.3">
      <c r="A34" s="2" t="s">
        <v>108</v>
      </c>
      <c r="C34">
        <v>1.1000000000000001</v>
      </c>
      <c r="D34">
        <v>0.7</v>
      </c>
      <c r="N34" t="str">
        <f>VLOOKUP(A34,'Originales sin dirección'!V:W,2,FALSE)</f>
        <v>Electronics, Electrical Equip.</v>
      </c>
    </row>
    <row r="35" spans="1:14" x14ac:dyDescent="0.3">
      <c r="A35" s="2" t="s">
        <v>41</v>
      </c>
      <c r="G35">
        <v>54.2</v>
      </c>
      <c r="H35">
        <v>37.4</v>
      </c>
      <c r="I35">
        <v>37.4</v>
      </c>
      <c r="J35">
        <v>37.4</v>
      </c>
      <c r="K35">
        <v>21.6</v>
      </c>
      <c r="N35" t="str">
        <f>VLOOKUP(A35,'Originales sin dirección'!V:W,2,FALSE)</f>
        <v>Internet Services and Retailing</v>
      </c>
    </row>
    <row r="36" spans="1:14" x14ac:dyDescent="0.3">
      <c r="A36" s="2" t="s">
        <v>53</v>
      </c>
      <c r="B36">
        <v>54.2</v>
      </c>
      <c r="N36" t="str">
        <f>VLOOKUP(A36,'Originales sin dirección'!V:W,2,FALSE)</f>
        <v>Internet Services and Retailing</v>
      </c>
    </row>
    <row r="37" spans="1:14" x14ac:dyDescent="0.3">
      <c r="A37" s="2" t="s">
        <v>158</v>
      </c>
      <c r="C37">
        <v>-6.7</v>
      </c>
      <c r="D37">
        <v>-9.9</v>
      </c>
      <c r="N37" t="str">
        <f>VLOOKUP(A37,'Originales sin dirección'!V:W,2,FALSE)</f>
        <v>Computers, Office Equipment</v>
      </c>
    </row>
    <row r="38" spans="1:14" x14ac:dyDescent="0.3">
      <c r="A38" s="2" t="s">
        <v>294</v>
      </c>
      <c r="K38">
        <v>-0.4</v>
      </c>
      <c r="N38" t="str">
        <f>VLOOKUP(A38,'Originales sin dirección'!V:W,2,FALSE)</f>
        <v>Electronics, Electrical Equip.</v>
      </c>
    </row>
    <row r="39" spans="1:14" x14ac:dyDescent="0.3">
      <c r="A39" s="2" t="s">
        <v>232</v>
      </c>
      <c r="C39">
        <v>-11.2</v>
      </c>
      <c r="N39" t="str">
        <f>VLOOKUP(A39,'Originales sin dirección'!V:W,2,FALSE)</f>
        <v>Telecommunications</v>
      </c>
    </row>
    <row r="40" spans="1:14" x14ac:dyDescent="0.3">
      <c r="A40" s="2" t="s">
        <v>48</v>
      </c>
      <c r="C40">
        <v>37.700000000000003</v>
      </c>
      <c r="D40">
        <v>16.100000000000001</v>
      </c>
      <c r="N40" t="str">
        <f>VLOOKUP(A40,'Originales sin dirección'!V:W,2,FALSE)</f>
        <v>Internet Services and Retailing</v>
      </c>
    </row>
    <row r="41" spans="1:14" x14ac:dyDescent="0.3">
      <c r="A41" s="2" t="s">
        <v>78</v>
      </c>
      <c r="F41">
        <v>4.9000000000000004</v>
      </c>
      <c r="G41">
        <v>20.399999999999999</v>
      </c>
      <c r="H41">
        <v>23.4</v>
      </c>
      <c r="I41">
        <v>23.4</v>
      </c>
      <c r="J41">
        <v>23.4</v>
      </c>
      <c r="K41">
        <v>12.8</v>
      </c>
      <c r="L41">
        <v>41.2</v>
      </c>
      <c r="M41">
        <v>9.8000000000000007</v>
      </c>
      <c r="N41" t="str">
        <f>VLOOKUP(A41,'Originales sin dirección'!V:W,2,FALSE)</f>
        <v>Internet Services and Retailing</v>
      </c>
    </row>
    <row r="42" spans="1:14" x14ac:dyDescent="0.3">
      <c r="A42" s="2" t="s">
        <v>88</v>
      </c>
      <c r="B42">
        <v>20.399999999999999</v>
      </c>
      <c r="N42" t="str">
        <f>VLOOKUP(A42,'Originales sin dirección'!V:W,2,FALSE)</f>
        <v>Internet Services and Retailing</v>
      </c>
    </row>
    <row r="43" spans="1:14" x14ac:dyDescent="0.3">
      <c r="A43" s="2" t="s">
        <v>291</v>
      </c>
      <c r="F43">
        <v>1.6</v>
      </c>
      <c r="G43">
        <v>-4.3</v>
      </c>
      <c r="H43">
        <v>13.5</v>
      </c>
      <c r="I43">
        <v>13.5</v>
      </c>
      <c r="J43">
        <v>13.5</v>
      </c>
      <c r="K43">
        <v>5.3</v>
      </c>
      <c r="L43">
        <v>18</v>
      </c>
      <c r="M43">
        <v>3.7</v>
      </c>
      <c r="N43" t="str">
        <f>VLOOKUP(A43,'Originales sin dirección'!V:W,2,FALSE)</f>
        <v>Electronics, Electrical Equip.</v>
      </c>
    </row>
    <row r="44" spans="1:14" x14ac:dyDescent="0.3">
      <c r="A44" s="2" t="s">
        <v>244</v>
      </c>
      <c r="B44">
        <v>-4.3</v>
      </c>
      <c r="C44">
        <v>12.4</v>
      </c>
      <c r="D44">
        <v>0.8</v>
      </c>
      <c r="N44" t="str">
        <f>VLOOKUP(A44,'Originales sin dirección'!V:W,2,FALSE)</f>
        <v>Electronics, Electrical Equip.</v>
      </c>
    </row>
    <row r="45" spans="1:14" x14ac:dyDescent="0.3">
      <c r="A45" s="2" t="s">
        <v>91</v>
      </c>
      <c r="F45">
        <v>-4.3</v>
      </c>
      <c r="G45">
        <v>1.9</v>
      </c>
      <c r="H45">
        <v>3.1</v>
      </c>
      <c r="I45">
        <v>3.1</v>
      </c>
      <c r="J45">
        <v>3.1</v>
      </c>
      <c r="K45">
        <v>-11.1</v>
      </c>
      <c r="L45">
        <v>5.4</v>
      </c>
      <c r="M45">
        <v>3.1</v>
      </c>
      <c r="N45" t="str">
        <f>VLOOKUP(A45,'Originales sin dirección'!V:W,2,FALSE)</f>
        <v>Electronics, Electrical Equip.</v>
      </c>
    </row>
    <row r="46" spans="1:14" x14ac:dyDescent="0.3">
      <c r="A46" s="2" t="s">
        <v>109</v>
      </c>
      <c r="B46">
        <v>1.9</v>
      </c>
      <c r="D46">
        <v>3.7</v>
      </c>
      <c r="N46" t="str">
        <f>VLOOKUP(A46,'Originales sin dirección'!V:W,2,FALSE)</f>
        <v>Electronics, Electrical Equip.</v>
      </c>
    </row>
    <row r="47" spans="1:14" x14ac:dyDescent="0.3">
      <c r="A47" s="2" t="s">
        <v>38</v>
      </c>
      <c r="H47">
        <v>6.9</v>
      </c>
      <c r="I47">
        <v>6.9</v>
      </c>
      <c r="J47">
        <v>6.9</v>
      </c>
      <c r="K47">
        <v>-7.4</v>
      </c>
      <c r="N47" t="str">
        <f>VLOOKUP(A47,'Originales sin dirección'!V:W,2,FALSE)</f>
        <v>Computers, Office Equipment</v>
      </c>
    </row>
    <row r="48" spans="1:14" x14ac:dyDescent="0.3">
      <c r="A48" s="2" t="s">
        <v>59</v>
      </c>
      <c r="F48">
        <v>-7.3</v>
      </c>
      <c r="G48">
        <v>-53.3</v>
      </c>
      <c r="H48">
        <v>12.3</v>
      </c>
      <c r="I48">
        <v>12.3</v>
      </c>
      <c r="J48">
        <v>12.3</v>
      </c>
      <c r="K48">
        <v>-3.6</v>
      </c>
      <c r="L48">
        <v>12.1</v>
      </c>
      <c r="M48">
        <v>-0.8</v>
      </c>
      <c r="N48" t="str">
        <f>VLOOKUP(A48,'Originales sin dirección'!V:W,2,FALSE)</f>
        <v>Computers, Office Equipment</v>
      </c>
    </row>
    <row r="49" spans="1:14" x14ac:dyDescent="0.3">
      <c r="A49" s="2" t="s">
        <v>72</v>
      </c>
      <c r="B49">
        <v>-53.3</v>
      </c>
      <c r="C49">
        <v>-5.4</v>
      </c>
      <c r="D49">
        <v>-6.7</v>
      </c>
      <c r="N49" t="str">
        <f>VLOOKUP(A49,'Originales sin dirección'!V:W,2,FALSE)</f>
        <v>Computers, Office Equipment</v>
      </c>
    </row>
    <row r="50" spans="1:14" x14ac:dyDescent="0.3">
      <c r="A50" s="2" t="s">
        <v>275</v>
      </c>
      <c r="K50">
        <v>4.5999999999999996</v>
      </c>
      <c r="N50" t="str">
        <f>VLOOKUP(A50,'Originales sin dirección'!V:W,2,FALSE)</f>
        <v>Electronics, Electrical Equip.</v>
      </c>
    </row>
    <row r="51" spans="1:14" x14ac:dyDescent="0.3">
      <c r="A51" s="2" t="s">
        <v>265</v>
      </c>
      <c r="L51">
        <v>16.100000000000001</v>
      </c>
      <c r="M51">
        <v>2.6</v>
      </c>
      <c r="N51" t="str">
        <f>VLOOKUP(A51,'Originales sin dirección'!V:W,2,FALSE)</f>
        <v>Electronics, Electrical Equip.</v>
      </c>
    </row>
    <row r="52" spans="1:14" x14ac:dyDescent="0.3">
      <c r="A52" s="2" t="s">
        <v>189</v>
      </c>
      <c r="F52">
        <v>-6</v>
      </c>
      <c r="G52">
        <v>1.2</v>
      </c>
      <c r="H52">
        <v>1.1000000000000001</v>
      </c>
      <c r="I52">
        <v>1.1000000000000001</v>
      </c>
      <c r="J52">
        <v>1.1000000000000001</v>
      </c>
      <c r="K52">
        <v>2.1</v>
      </c>
      <c r="L52">
        <v>11</v>
      </c>
      <c r="M52">
        <v>-12</v>
      </c>
      <c r="N52" t="str">
        <f>VLOOKUP(A52,'Originales sin dirección'!V:W,2,FALSE)</f>
        <v>Electronics, Electrical Equip.</v>
      </c>
    </row>
    <row r="53" spans="1:14" x14ac:dyDescent="0.3">
      <c r="A53" s="2" t="s">
        <v>209</v>
      </c>
      <c r="B53">
        <v>1.2</v>
      </c>
      <c r="C53">
        <v>-11.1</v>
      </c>
      <c r="D53">
        <v>-11.8</v>
      </c>
      <c r="N53" t="str">
        <f>VLOOKUP(A53,'Originales sin dirección'!V:W,2,FALSE)</f>
        <v>Electronics, Electrical Equip.</v>
      </c>
    </row>
    <row r="54" spans="1:14" x14ac:dyDescent="0.3">
      <c r="A54" s="2" t="s">
        <v>130</v>
      </c>
      <c r="F54">
        <v>54.6</v>
      </c>
      <c r="G54">
        <v>35.700000000000003</v>
      </c>
      <c r="H54">
        <v>29.4</v>
      </c>
      <c r="I54">
        <v>29.4</v>
      </c>
      <c r="J54">
        <v>29.4</v>
      </c>
      <c r="K54">
        <v>29.4</v>
      </c>
      <c r="L54">
        <v>36.5</v>
      </c>
      <c r="M54">
        <v>5.4</v>
      </c>
      <c r="N54" t="str">
        <f>VLOOKUP(A54,'Originales sin dirección'!V:W,2,FALSE)</f>
        <v>Internet Services and Retailing</v>
      </c>
    </row>
    <row r="55" spans="1:14" x14ac:dyDescent="0.3">
      <c r="A55" s="2" t="s">
        <v>179</v>
      </c>
      <c r="B55">
        <v>35.700000000000003</v>
      </c>
      <c r="N55" t="str">
        <f>VLOOKUP(A55,'Originales sin dirección'!V:W,2,FALSE)</f>
        <v>Internet Services and Retailing</v>
      </c>
    </row>
    <row r="56" spans="1:14" x14ac:dyDescent="0.3">
      <c r="A56" s="2" t="s">
        <v>186</v>
      </c>
      <c r="F56">
        <v>-4.2</v>
      </c>
      <c r="G56">
        <v>17.8</v>
      </c>
      <c r="H56">
        <v>0.7</v>
      </c>
      <c r="I56">
        <v>0.7</v>
      </c>
      <c r="J56">
        <v>0.7</v>
      </c>
      <c r="K56">
        <v>4</v>
      </c>
      <c r="L56">
        <v>-3.3</v>
      </c>
      <c r="M56">
        <v>-13.6</v>
      </c>
      <c r="N56" t="str">
        <f>VLOOKUP(A56,'Originales sin dirección'!V:W,2,FALSE)</f>
        <v>Telecommunications</v>
      </c>
    </row>
    <row r="57" spans="1:14" x14ac:dyDescent="0.3">
      <c r="A57" s="2" t="s">
        <v>205</v>
      </c>
      <c r="B57">
        <v>17.8</v>
      </c>
      <c r="C57">
        <v>-2.5</v>
      </c>
      <c r="D57">
        <v>-1.9</v>
      </c>
      <c r="N57" t="str">
        <f>VLOOKUP(A57,'Originales sin dirección'!V:W,2,FALSE)</f>
        <v>Telecommunications</v>
      </c>
    </row>
    <row r="58" spans="1:14" x14ac:dyDescent="0.3">
      <c r="A58" s="2" t="s">
        <v>100</v>
      </c>
      <c r="L58">
        <v>65.2</v>
      </c>
      <c r="N58" t="str">
        <f>VLOOKUP(A58,'Originales sin dirección'!V:W,2,FALSE)</f>
        <v>Automotive Retailing, Services</v>
      </c>
    </row>
    <row r="59" spans="1:14" x14ac:dyDescent="0.3">
      <c r="A59" s="2" t="s">
        <v>142</v>
      </c>
      <c r="F59">
        <v>-3</v>
      </c>
      <c r="G59">
        <v>-4.2</v>
      </c>
      <c r="H59">
        <v>12.5</v>
      </c>
      <c r="I59">
        <v>12.5</v>
      </c>
      <c r="J59">
        <v>12.5</v>
      </c>
      <c r="K59">
        <v>19.8</v>
      </c>
      <c r="L59">
        <v>17.899999999999999</v>
      </c>
      <c r="M59">
        <v>-13.5</v>
      </c>
      <c r="N59" t="str">
        <f>VLOOKUP(A59,'Originales sin dirección'!V:W,2,FALSE)</f>
        <v>Computers, Office Equipment</v>
      </c>
    </row>
    <row r="60" spans="1:14" x14ac:dyDescent="0.3">
      <c r="A60" s="2" t="s">
        <v>180</v>
      </c>
      <c r="B60">
        <v>-4.2</v>
      </c>
      <c r="C60">
        <v>14.5</v>
      </c>
      <c r="D60">
        <v>14.3</v>
      </c>
      <c r="N60" t="str">
        <f>VLOOKUP(A60,'Originales sin dirección'!V:W,2,FALSE)</f>
        <v>Computers, Office Equipment</v>
      </c>
    </row>
    <row r="61" spans="1:14" x14ac:dyDescent="0.3">
      <c r="A61" s="2" t="s">
        <v>296</v>
      </c>
      <c r="F61">
        <v>-0.1</v>
      </c>
      <c r="G61">
        <v>-9</v>
      </c>
      <c r="N61" t="str">
        <f>VLOOKUP(A61,'Originales sin dirección'!V:W,2,FALSE)</f>
        <v>Electronics, Electrical Equip.</v>
      </c>
    </row>
    <row r="62" spans="1:14" x14ac:dyDescent="0.3">
      <c r="A62" s="2" t="s">
        <v>170</v>
      </c>
      <c r="B62">
        <v>-9</v>
      </c>
      <c r="C62">
        <v>19.2</v>
      </c>
      <c r="D62">
        <v>-5.5</v>
      </c>
      <c r="N62" t="str">
        <f>VLOOKUP(A62,'Originales sin dirección'!V:W,2,FALSE)</f>
        <v>Electronics, Electrical Equip.</v>
      </c>
    </row>
    <row r="63" spans="1:14" x14ac:dyDescent="0.3">
      <c r="A63" s="2" t="s">
        <v>35</v>
      </c>
      <c r="L63">
        <v>37.200000000000003</v>
      </c>
      <c r="M63">
        <v>-1.1000000000000001</v>
      </c>
      <c r="N63" t="str">
        <f>VLOOKUP(A63,'Originales sin dirección'!V:W,2,FALSE)</f>
        <v>Internet Services and Retailing</v>
      </c>
    </row>
    <row r="64" spans="1:14" x14ac:dyDescent="0.3">
      <c r="A64" s="2" t="s">
        <v>183</v>
      </c>
      <c r="F64">
        <v>-6.9</v>
      </c>
      <c r="G64">
        <v>6.9</v>
      </c>
      <c r="H64">
        <v>1.9</v>
      </c>
      <c r="I64">
        <v>1.9</v>
      </c>
      <c r="J64">
        <v>1.9</v>
      </c>
      <c r="K64">
        <v>-3.7</v>
      </c>
      <c r="L64">
        <v>0.8</v>
      </c>
      <c r="M64">
        <v>-7.2</v>
      </c>
      <c r="N64" t="str">
        <f>VLOOKUP(A64,'Originales sin dirección'!V:W,2,FALSE)</f>
        <v>Electronics, Electrical Equip.</v>
      </c>
    </row>
    <row r="65" spans="1:14" x14ac:dyDescent="0.3">
      <c r="A65" s="2" t="s">
        <v>204</v>
      </c>
      <c r="B65">
        <v>6.9</v>
      </c>
      <c r="C65">
        <v>-6.8</v>
      </c>
      <c r="D65">
        <v>-5.8</v>
      </c>
      <c r="N65" t="str">
        <f>VLOOKUP(A65,'Originales sin dirección'!V:W,2,FALSE)</f>
        <v>Electronics, Electrical Equip.</v>
      </c>
    </row>
    <row r="66" spans="1:14" x14ac:dyDescent="0.3">
      <c r="A66" s="2" t="s">
        <v>124</v>
      </c>
      <c r="M66">
        <v>17.7</v>
      </c>
      <c r="N66" t="str">
        <f>VLOOKUP(A66,'Originales sin dirección'!V:W,2,FALSE)</f>
        <v>Internet Services and Retailing</v>
      </c>
    </row>
    <row r="67" spans="1:14" x14ac:dyDescent="0.3">
      <c r="A67" s="2" t="s">
        <v>96</v>
      </c>
      <c r="F67">
        <v>7.8</v>
      </c>
      <c r="G67">
        <v>-8.8000000000000007</v>
      </c>
      <c r="H67">
        <v>22.7</v>
      </c>
      <c r="I67">
        <v>22.7</v>
      </c>
      <c r="J67">
        <v>22.7</v>
      </c>
      <c r="K67">
        <v>13.6</v>
      </c>
      <c r="L67">
        <v>17.5</v>
      </c>
      <c r="M67">
        <v>18</v>
      </c>
      <c r="N67" t="str">
        <f>VLOOKUP(A67,'Originales sin dirección'!V:W,2,FALSE)</f>
        <v>Computer Software</v>
      </c>
    </row>
    <row r="68" spans="1:14" x14ac:dyDescent="0.3">
      <c r="A68" s="2" t="s">
        <v>111</v>
      </c>
      <c r="B68">
        <v>-8.8000000000000007</v>
      </c>
      <c r="C68">
        <v>5.4</v>
      </c>
      <c r="D68">
        <v>5.6</v>
      </c>
      <c r="N68" t="str">
        <f>VLOOKUP(A68,'Originales sin dirección'!V:W,2,FALSE)</f>
        <v>Computer Software</v>
      </c>
    </row>
    <row r="69" spans="1:14" x14ac:dyDescent="0.3">
      <c r="A69" s="2" t="s">
        <v>202</v>
      </c>
      <c r="F69">
        <v>-4.7</v>
      </c>
      <c r="N69" t="str">
        <f>VLOOKUP(A69,'Originales sin dirección'!V:W,2,FALSE)</f>
        <v>Telecommunications</v>
      </c>
    </row>
    <row r="70" spans="1:14" x14ac:dyDescent="0.3">
      <c r="A70" s="2" t="s">
        <v>211</v>
      </c>
      <c r="C70">
        <v>-3.2</v>
      </c>
      <c r="D70">
        <v>-15.4</v>
      </c>
      <c r="N70" t="str">
        <f>VLOOKUP(A70,'Originales sin dirección'!V:W,2,FALSE)</f>
        <v>Telecommunications</v>
      </c>
    </row>
    <row r="71" spans="1:14" x14ac:dyDescent="0.3">
      <c r="A71" s="2" t="s">
        <v>193</v>
      </c>
      <c r="G71">
        <v>9.4</v>
      </c>
      <c r="H71">
        <v>0.6</v>
      </c>
      <c r="I71">
        <v>0.6</v>
      </c>
      <c r="J71">
        <v>0.6</v>
      </c>
      <c r="K71">
        <v>2.9</v>
      </c>
      <c r="L71">
        <v>-4</v>
      </c>
      <c r="M71">
        <v>-10.3</v>
      </c>
      <c r="N71" t="str">
        <f>VLOOKUP(A71,'Originales sin dirección'!V:W,2,FALSE)</f>
        <v>Telecommunications</v>
      </c>
    </row>
    <row r="72" spans="1:14" x14ac:dyDescent="0.3">
      <c r="A72" s="2" t="s">
        <v>212</v>
      </c>
      <c r="B72">
        <v>9.4</v>
      </c>
      <c r="N72" t="str">
        <f>VLOOKUP(A72,'Originales sin dirección'!V:W,2,FALSE)</f>
        <v>Telecommunications</v>
      </c>
    </row>
    <row r="73" spans="1:14" x14ac:dyDescent="0.3">
      <c r="A73" s="2" t="s">
        <v>252</v>
      </c>
      <c r="F73">
        <v>-14.7</v>
      </c>
      <c r="G73">
        <v>1.3</v>
      </c>
      <c r="H73">
        <v>5.4</v>
      </c>
      <c r="I73">
        <v>5.4</v>
      </c>
      <c r="J73">
        <v>5.4</v>
      </c>
      <c r="K73">
        <v>1.9</v>
      </c>
      <c r="L73">
        <v>4.4000000000000004</v>
      </c>
      <c r="M73">
        <v>-9.1</v>
      </c>
      <c r="N73" t="str">
        <f>VLOOKUP(A73,'Originales sin dirección'!V:W,2,FALSE)</f>
        <v>Telecommunications</v>
      </c>
    </row>
    <row r="74" spans="1:14" x14ac:dyDescent="0.3">
      <c r="A74" s="2" t="s">
        <v>253</v>
      </c>
      <c r="B74">
        <v>1.3</v>
      </c>
      <c r="D74">
        <v>-2.7</v>
      </c>
      <c r="N74" t="str">
        <f>VLOOKUP(A74,'Originales sin dirección'!V:W,2,FALSE)</f>
        <v>Telecommunications</v>
      </c>
    </row>
    <row r="75" spans="1:14" x14ac:dyDescent="0.3">
      <c r="A75" s="2" t="s">
        <v>84</v>
      </c>
      <c r="F75">
        <v>-0.1</v>
      </c>
      <c r="G75">
        <v>-3.1</v>
      </c>
      <c r="H75">
        <v>5.6</v>
      </c>
      <c r="I75">
        <v>5.6</v>
      </c>
      <c r="J75">
        <v>5.6</v>
      </c>
      <c r="K75">
        <v>-1.1000000000000001</v>
      </c>
      <c r="L75">
        <v>3.6</v>
      </c>
      <c r="M75">
        <v>4.8</v>
      </c>
      <c r="N75" t="str">
        <f>VLOOKUP(A75,'Originales sin dirección'!V:W,2,FALSE)</f>
        <v>Computer Software</v>
      </c>
    </row>
    <row r="76" spans="1:14" x14ac:dyDescent="0.3">
      <c r="A76" s="2" t="s">
        <v>86</v>
      </c>
      <c r="B76">
        <v>-3.1</v>
      </c>
      <c r="C76">
        <v>4.2</v>
      </c>
      <c r="D76">
        <v>0.2</v>
      </c>
      <c r="N76" t="str">
        <f>VLOOKUP(A76,'Originales sin dirección'!V:W,2,FALSE)</f>
        <v>Computer Software</v>
      </c>
    </row>
    <row r="77" spans="1:14" x14ac:dyDescent="0.3">
      <c r="A77" s="2" t="s">
        <v>161</v>
      </c>
      <c r="C77">
        <v>-11.5</v>
      </c>
      <c r="D77">
        <v>-12.2</v>
      </c>
      <c r="N77" t="str">
        <f>VLOOKUP(A77,'Originales sin dirección'!V:W,2,FALSE)</f>
        <v>Electronics, Electrical Equip.</v>
      </c>
    </row>
    <row r="78" spans="1:14" x14ac:dyDescent="0.3">
      <c r="A78" s="2" t="s">
        <v>284</v>
      </c>
      <c r="F78">
        <v>-10.3</v>
      </c>
      <c r="G78">
        <v>6.7</v>
      </c>
      <c r="H78">
        <v>0.2</v>
      </c>
      <c r="I78">
        <v>0.2</v>
      </c>
      <c r="J78">
        <v>0.2</v>
      </c>
      <c r="K78">
        <v>-8.3000000000000007</v>
      </c>
      <c r="L78">
        <v>4.0999999999999996</v>
      </c>
      <c r="M78">
        <v>-5.9</v>
      </c>
      <c r="N78" t="str">
        <f>VLOOKUP(A78,'Originales sin dirección'!V:W,2,FALSE)</f>
        <v>Electronics, Electrical Equip.</v>
      </c>
    </row>
    <row r="79" spans="1:14" x14ac:dyDescent="0.3">
      <c r="A79" s="2" t="s">
        <v>288</v>
      </c>
      <c r="B79">
        <v>6.7</v>
      </c>
      <c r="N79" t="str">
        <f>VLOOKUP(A79,'Originales sin dirección'!V:W,2,FALSE)</f>
        <v>Electronics, Electrical Equip.</v>
      </c>
    </row>
    <row r="80" spans="1:14" x14ac:dyDescent="0.3">
      <c r="A80" s="2" t="s">
        <v>306</v>
      </c>
      <c r="F80">
        <v>-7.1</v>
      </c>
      <c r="N80" t="str">
        <f>VLOOKUP(A80,'Originales sin dirección'!V:W,2,FALSE)</f>
        <v>Electronics, Electrical Equip.</v>
      </c>
    </row>
    <row r="81" spans="1:14" x14ac:dyDescent="0.3">
      <c r="A81" s="2" t="s">
        <v>173</v>
      </c>
      <c r="C81">
        <v>-7.3</v>
      </c>
      <c r="D81">
        <v>-0.4</v>
      </c>
      <c r="N81" t="str">
        <f>VLOOKUP(A81,'Originales sin dirección'!V:W,2,FALSE)</f>
        <v>Electronics, Electrical Equip.</v>
      </c>
    </row>
    <row r="82" spans="1:14" x14ac:dyDescent="0.3">
      <c r="A82" s="2" t="s">
        <v>226</v>
      </c>
      <c r="C82">
        <v>-8.9</v>
      </c>
      <c r="D82">
        <v>-13.8</v>
      </c>
      <c r="N82" t="str">
        <f>VLOOKUP(A82,'Originales sin dirección'!V:W,2,FALSE)</f>
        <v>Computers, Office Equipment</v>
      </c>
    </row>
    <row r="83" spans="1:14" x14ac:dyDescent="0.3">
      <c r="A83" s="2" t="s">
        <v>167</v>
      </c>
      <c r="C83">
        <v>-3.9</v>
      </c>
      <c r="N83" t="str">
        <f>VLOOKUP(A83,'Originales sin dirección'!V:W,2,FALSE)</f>
        <v>Computers, Office Equipment</v>
      </c>
    </row>
    <row r="84" spans="1:14" x14ac:dyDescent="0.3">
      <c r="A84" s="2" t="s">
        <v>120</v>
      </c>
      <c r="C84">
        <v>4.9000000000000004</v>
      </c>
      <c r="N84" t="str">
        <f>VLOOKUP(A84,'Originales sin dirección'!V:W,2,FALSE)</f>
        <v>Telecommunications</v>
      </c>
    </row>
    <row r="85" spans="1:14" x14ac:dyDescent="0.3">
      <c r="A85" s="2" t="s">
        <v>254</v>
      </c>
      <c r="F85">
        <v>-1</v>
      </c>
      <c r="G85">
        <v>5.8</v>
      </c>
      <c r="H85">
        <v>10.3</v>
      </c>
      <c r="I85">
        <v>10.3</v>
      </c>
      <c r="J85">
        <v>10.3</v>
      </c>
      <c r="K85">
        <v>1</v>
      </c>
      <c r="L85">
        <v>5.7</v>
      </c>
      <c r="M85">
        <v>-1.4</v>
      </c>
      <c r="N85" t="str">
        <f>VLOOKUP(A85,'Originales sin dirección'!V:W,2,FALSE)</f>
        <v>Computer Software</v>
      </c>
    </row>
    <row r="86" spans="1:14" x14ac:dyDescent="0.3">
      <c r="A86" s="2" t="s">
        <v>258</v>
      </c>
      <c r="B86">
        <v>5.8</v>
      </c>
      <c r="N86" t="str">
        <f>VLOOKUP(A86,'Originales sin dirección'!V:W,2,FALSE)</f>
        <v>Computer Software</v>
      </c>
    </row>
    <row r="87" spans="1:14" x14ac:dyDescent="0.3">
      <c r="A87" s="2" t="s">
        <v>249</v>
      </c>
      <c r="F87">
        <v>-10.7</v>
      </c>
      <c r="G87">
        <v>-7.6</v>
      </c>
      <c r="H87">
        <v>8.8000000000000007</v>
      </c>
      <c r="I87">
        <v>8.8000000000000007</v>
      </c>
      <c r="J87">
        <v>8.8000000000000007</v>
      </c>
      <c r="K87">
        <v>-5.7</v>
      </c>
      <c r="L87">
        <v>19.2</v>
      </c>
      <c r="M87">
        <v>5.2</v>
      </c>
      <c r="N87" t="str">
        <f>VLOOKUP(A87,'Originales sin dirección'!V:W,2,FALSE)</f>
        <v>Electronics, Electrical Equip.</v>
      </c>
    </row>
    <row r="88" spans="1:14" x14ac:dyDescent="0.3">
      <c r="A88" s="2" t="s">
        <v>223</v>
      </c>
      <c r="B88">
        <v>-7.6</v>
      </c>
      <c r="C88">
        <v>-1.1000000000000001</v>
      </c>
      <c r="D88">
        <v>1.6</v>
      </c>
      <c r="N88" t="str">
        <f>VLOOKUP(A88,'Originales sin dirección'!V:W,2,FALSE)</f>
        <v>Electronics, Electrical Equip.</v>
      </c>
    </row>
    <row r="89" spans="1:14" x14ac:dyDescent="0.3">
      <c r="A89" s="2" t="s">
        <v>127</v>
      </c>
      <c r="F89">
        <v>-3</v>
      </c>
      <c r="G89">
        <v>8.4</v>
      </c>
      <c r="H89">
        <v>4.8</v>
      </c>
      <c r="I89">
        <v>4.8</v>
      </c>
      <c r="J89">
        <v>4.8</v>
      </c>
      <c r="K89">
        <v>-35.700000000000003</v>
      </c>
      <c r="L89">
        <v>-1.5</v>
      </c>
      <c r="M89">
        <v>-12.4</v>
      </c>
      <c r="N89" t="str">
        <f>VLOOKUP(A89,'Originales sin dirección'!V:W,2,FALSE)</f>
        <v>Telecommunications</v>
      </c>
    </row>
    <row r="90" spans="1:14" x14ac:dyDescent="0.3">
      <c r="A90" s="2" t="s">
        <v>207</v>
      </c>
      <c r="B90">
        <v>8.4</v>
      </c>
      <c r="D90">
        <v>63.6</v>
      </c>
      <c r="N90" t="str">
        <f>VLOOKUP(A90,'Originales sin dirección'!V:W,2,FALSE)</f>
        <v>Telecommunications</v>
      </c>
    </row>
    <row r="91" spans="1:14" x14ac:dyDescent="0.3">
      <c r="A91" s="2" t="s">
        <v>154</v>
      </c>
      <c r="C91">
        <v>-4</v>
      </c>
      <c r="D91">
        <v>-2.1</v>
      </c>
      <c r="N91" t="str">
        <f>VLOOKUP(A91,'Originales sin dirección'!V:W,2,FALSE)</f>
        <v>Electronics, Electrical Equip.</v>
      </c>
    </row>
    <row r="92" spans="1:14" x14ac:dyDescent="0.3">
      <c r="A92" s="2" t="s">
        <v>241</v>
      </c>
      <c r="C92">
        <v>-3.8</v>
      </c>
      <c r="D92">
        <v>-2.6</v>
      </c>
      <c r="N92" t="str">
        <f>VLOOKUP(A92,'Originales sin dirección'!V:W,2,FALSE)</f>
        <v>Electronics, Electrical Equip.</v>
      </c>
    </row>
    <row r="93" spans="1:14" x14ac:dyDescent="0.3">
      <c r="A93" s="2" t="s">
        <v>257</v>
      </c>
      <c r="F93">
        <v>-13.7</v>
      </c>
      <c r="N93" t="str">
        <f>VLOOKUP(A93,'Originales sin dirección'!V:W,2,FALSE)</f>
        <v>Electronics, Electrical Equip.</v>
      </c>
    </row>
    <row r="94" spans="1:14" x14ac:dyDescent="0.3">
      <c r="A94" s="2" t="s">
        <v>214</v>
      </c>
      <c r="C94">
        <v>-0.3</v>
      </c>
      <c r="D94">
        <v>-1.4</v>
      </c>
      <c r="N94" t="str">
        <f>VLOOKUP(A94,'Originales sin dirección'!V:W,2,FALSE)</f>
        <v>Electronics, Electrical Equip.</v>
      </c>
    </row>
    <row r="95" spans="1:14" x14ac:dyDescent="0.3">
      <c r="A95" s="2" t="s">
        <v>151</v>
      </c>
      <c r="F95">
        <v>-9.6</v>
      </c>
      <c r="G95">
        <v>3.9</v>
      </c>
      <c r="H95">
        <v>1.4</v>
      </c>
      <c r="I95">
        <v>1.4</v>
      </c>
      <c r="J95">
        <v>1.4</v>
      </c>
      <c r="N95" t="str">
        <f>VLOOKUP(A95,'Originales sin dirección'!V:W,2,FALSE)</f>
        <v>Electronics, Electrical Equip.</v>
      </c>
    </row>
    <row r="96" spans="1:14" x14ac:dyDescent="0.3">
      <c r="A96" s="2" t="s">
        <v>177</v>
      </c>
      <c r="B96">
        <v>3.9</v>
      </c>
      <c r="C96">
        <v>-0.4</v>
      </c>
      <c r="D96">
        <v>-5.3</v>
      </c>
      <c r="N96" t="str">
        <f>VLOOKUP(A96,'Originales sin dirección'!V:W,2,FALSE)</f>
        <v>Electronics, Electrical Equip.</v>
      </c>
    </row>
    <row r="97" spans="1:14" x14ac:dyDescent="0.3">
      <c r="A97" s="2" t="s">
        <v>191</v>
      </c>
      <c r="K97">
        <v>11.7</v>
      </c>
      <c r="L97">
        <v>4</v>
      </c>
      <c r="M97">
        <v>-3.5</v>
      </c>
      <c r="N97" t="str">
        <f>VLOOKUP(A97,'Originales sin dirección'!V:W,2,FALSE)</f>
        <v>Electronics, Electrical Equip.</v>
      </c>
    </row>
    <row r="98" spans="1:14" x14ac:dyDescent="0.3">
      <c r="A98" s="2" t="s">
        <v>304</v>
      </c>
      <c r="F98">
        <v>-9.4</v>
      </c>
      <c r="G98">
        <v>-2</v>
      </c>
      <c r="N98" t="str">
        <f>VLOOKUP(A98,'Originales sin dirección'!V:W,2,FALSE)</f>
        <v>Electronics, Electrical Equip.</v>
      </c>
    </row>
    <row r="99" spans="1:14" x14ac:dyDescent="0.3">
      <c r="A99" s="2" t="s">
        <v>247</v>
      </c>
      <c r="B99">
        <v>-2</v>
      </c>
      <c r="C99">
        <v>19.899999999999999</v>
      </c>
      <c r="D99">
        <v>17</v>
      </c>
      <c r="N99" t="str">
        <f>VLOOKUP(A99,'Originales sin dirección'!V:W,2,FALSE)</f>
        <v>Electronics, Electrical Equip.</v>
      </c>
    </row>
    <row r="100" spans="1:14" x14ac:dyDescent="0.3">
      <c r="A100" s="2" t="s">
        <v>62</v>
      </c>
      <c r="F100">
        <v>10.8</v>
      </c>
      <c r="G100">
        <v>11.6</v>
      </c>
      <c r="H100">
        <v>6.4</v>
      </c>
      <c r="I100">
        <v>6.4</v>
      </c>
      <c r="J100">
        <v>6.4</v>
      </c>
      <c r="K100">
        <v>-5.2</v>
      </c>
      <c r="L100">
        <v>-1.7</v>
      </c>
      <c r="M100">
        <v>-28.5</v>
      </c>
      <c r="N100" t="str">
        <f>VLOOKUP(A100,'Originales sin dirección'!V:W,2,FALSE)</f>
        <v>Telecommunications</v>
      </c>
    </row>
    <row r="101" spans="1:14" x14ac:dyDescent="0.3">
      <c r="A101" s="2" t="s">
        <v>112</v>
      </c>
      <c r="B101">
        <v>11.6</v>
      </c>
      <c r="C101">
        <v>0.6</v>
      </c>
      <c r="D101">
        <v>1</v>
      </c>
      <c r="N101" t="str">
        <f>VLOOKUP(A101,'Originales sin dirección'!V:W,2,FALSE)</f>
        <v>Telecommunications</v>
      </c>
    </row>
    <row r="102" spans="1:14" x14ac:dyDescent="0.3">
      <c r="A102" s="2" t="s">
        <v>269</v>
      </c>
      <c r="G102">
        <v>39.700000000000003</v>
      </c>
      <c r="H102">
        <v>34.4</v>
      </c>
      <c r="I102">
        <v>34.4</v>
      </c>
      <c r="J102">
        <v>34.4</v>
      </c>
      <c r="K102">
        <v>27.9</v>
      </c>
      <c r="L102">
        <v>24.3</v>
      </c>
      <c r="M102">
        <v>-5.0999999999999996</v>
      </c>
      <c r="N102" t="str">
        <f>VLOOKUP(A102,'Originales sin dirección'!V:W,2,FALSE)</f>
        <v>Internet Services and Retailing</v>
      </c>
    </row>
    <row r="103" spans="1:14" x14ac:dyDescent="0.3">
      <c r="A103" s="2" t="s">
        <v>280</v>
      </c>
      <c r="B103">
        <v>39.700000000000003</v>
      </c>
      <c r="N103" t="str">
        <f>VLOOKUP(A103,'Originales sin dirección'!V:W,2,FALSE)</f>
        <v>Internet Services and Retailing</v>
      </c>
    </row>
    <row r="104" spans="1:14" x14ac:dyDescent="0.3">
      <c r="A104" s="2" t="s">
        <v>289</v>
      </c>
      <c r="F104">
        <v>-8.8000000000000007</v>
      </c>
      <c r="G104">
        <v>-5.5</v>
      </c>
      <c r="H104">
        <v>-2</v>
      </c>
      <c r="I104">
        <v>-2</v>
      </c>
      <c r="J104">
        <v>-2</v>
      </c>
      <c r="K104">
        <v>-9.4</v>
      </c>
      <c r="L104">
        <v>-5.4</v>
      </c>
      <c r="M104">
        <v>-9.4</v>
      </c>
      <c r="N104" t="str">
        <f>VLOOKUP(A104,'Originales sin dirección'!V:W,2,FALSE)</f>
        <v>Telecommunications</v>
      </c>
    </row>
    <row r="105" spans="1:14" x14ac:dyDescent="0.3">
      <c r="A105" s="2" t="s">
        <v>238</v>
      </c>
      <c r="B105">
        <v>-5.5</v>
      </c>
      <c r="C105">
        <v>-8.3000000000000007</v>
      </c>
      <c r="D105">
        <v>-5.5</v>
      </c>
      <c r="N105" t="str">
        <f>VLOOKUP(A105,'Originales sin dirección'!V:W,2,FALSE)</f>
        <v>Telecommunications</v>
      </c>
    </row>
    <row r="106" spans="1:14" x14ac:dyDescent="0.3">
      <c r="A106" s="2" t="s">
        <v>145</v>
      </c>
      <c r="F106">
        <v>-20.100000000000001</v>
      </c>
      <c r="G106">
        <v>-17.399999999999999</v>
      </c>
      <c r="N106" t="str">
        <f>VLOOKUP(A106,'Originales sin dirección'!V:W,2,FALSE)</f>
        <v>Telecommunications</v>
      </c>
    </row>
    <row r="107" spans="1:14" x14ac:dyDescent="0.3">
      <c r="A107" s="2" t="s">
        <v>156</v>
      </c>
      <c r="B107">
        <v>-17.399999999999999</v>
      </c>
      <c r="C107">
        <v>-9</v>
      </c>
      <c r="D107">
        <v>-4.7</v>
      </c>
      <c r="N107" t="str">
        <f>VLOOKUP(A107,'Originales sin dirección'!V:W,2,FALSE)</f>
        <v>Telecommunications</v>
      </c>
    </row>
    <row r="108" spans="1:14" x14ac:dyDescent="0.3">
      <c r="A108" s="2" t="s">
        <v>305</v>
      </c>
      <c r="F108">
        <v>-10.199999999999999</v>
      </c>
      <c r="N108" t="str">
        <f>VLOOKUP(A108,'Originales sin dirección'!V:W,2,FALSE)</f>
        <v>Telecommunications</v>
      </c>
    </row>
    <row r="109" spans="1:14" x14ac:dyDescent="0.3">
      <c r="A109" s="2" t="s">
        <v>217</v>
      </c>
      <c r="C109">
        <v>5.3</v>
      </c>
      <c r="D109">
        <v>1.3</v>
      </c>
      <c r="N109" t="str">
        <f>VLOOKUP(A109,'Originales sin dirección'!V:W,2,FALSE)</f>
        <v>Telecommunications</v>
      </c>
    </row>
    <row r="110" spans="1:14" x14ac:dyDescent="0.3">
      <c r="A110" s="2" t="s">
        <v>175</v>
      </c>
      <c r="C110">
        <v>-9.6</v>
      </c>
      <c r="D110">
        <v>-7.1</v>
      </c>
      <c r="N110" t="str">
        <f>VLOOKUP(A110,'Originales sin dirección'!V:W,2,FALSE)</f>
        <v>Electronics, Electrical Equip.</v>
      </c>
    </row>
    <row r="111" spans="1:14" x14ac:dyDescent="0.3">
      <c r="A111" s="2" t="s">
        <v>133</v>
      </c>
      <c r="F111">
        <v>-14</v>
      </c>
      <c r="H111">
        <v>-6.5</v>
      </c>
      <c r="I111">
        <v>-6.5</v>
      </c>
      <c r="J111">
        <v>-6.5</v>
      </c>
      <c r="K111">
        <v>-7.6</v>
      </c>
      <c r="L111">
        <v>3.1</v>
      </c>
      <c r="N111" t="str">
        <f>VLOOKUP(A111,'Originales sin dirección'!V:W,2,FALSE)</f>
        <v>Electronics, Electrical Equip.</v>
      </c>
    </row>
    <row r="112" spans="1:14" x14ac:dyDescent="0.3">
      <c r="A112" s="2" t="s">
        <v>117</v>
      </c>
      <c r="M112">
        <v>82.6</v>
      </c>
      <c r="N112" t="str">
        <f>VLOOKUP(A112,'Originales sin dirección'!V:W,2,FALSE)</f>
        <v>Internet Services and Retailing</v>
      </c>
    </row>
    <row r="113" spans="1:14" x14ac:dyDescent="0.3">
      <c r="A113" s="2" t="s">
        <v>229</v>
      </c>
      <c r="C113">
        <v>-7</v>
      </c>
      <c r="D113">
        <v>-3.7</v>
      </c>
      <c r="N113" t="str">
        <f>VLOOKUP(A113,'Originales sin dirección'!V:W,2,FALSE)</f>
        <v>Telecommunications</v>
      </c>
    </row>
    <row r="114" spans="1:14" x14ac:dyDescent="0.3">
      <c r="A114" s="2" t="s">
        <v>136</v>
      </c>
      <c r="F114">
        <v>-9.1999999999999993</v>
      </c>
      <c r="G114">
        <v>-5</v>
      </c>
      <c r="H114">
        <v>-15.6</v>
      </c>
      <c r="I114">
        <v>-15.6</v>
      </c>
      <c r="J114">
        <v>-15.6</v>
      </c>
      <c r="K114">
        <v>2.2000000000000002</v>
      </c>
      <c r="L114">
        <v>3.7</v>
      </c>
      <c r="M114">
        <v>-10.199999999999999</v>
      </c>
      <c r="N114" t="str">
        <f>VLOOKUP(A114,'Originales sin dirección'!V:W,2,FALSE)</f>
        <v>Telecommunications</v>
      </c>
    </row>
    <row r="115" spans="1:14" x14ac:dyDescent="0.3">
      <c r="A115" s="2" t="s">
        <v>181</v>
      </c>
      <c r="B115">
        <v>-5</v>
      </c>
      <c r="C115">
        <v>-5.2</v>
      </c>
      <c r="D115">
        <v>-6</v>
      </c>
      <c r="N115" t="str">
        <f>VLOOKUP(A115,'Originales sin dirección'!V:W,2,FALSE)</f>
        <v>Telecommunications</v>
      </c>
    </row>
    <row r="116" spans="1:14" x14ac:dyDescent="0.3">
      <c r="A116" s="2" t="s">
        <v>74</v>
      </c>
      <c r="F116">
        <v>3.6</v>
      </c>
      <c r="G116">
        <v>-4.3</v>
      </c>
      <c r="H116">
        <v>3.8</v>
      </c>
      <c r="I116">
        <v>3.8</v>
      </c>
      <c r="J116">
        <v>3.8</v>
      </c>
      <c r="K116">
        <v>-2.7</v>
      </c>
      <c r="L116">
        <v>4.0999999999999996</v>
      </c>
      <c r="M116">
        <v>2.4</v>
      </c>
      <c r="N116" t="str">
        <f>VLOOKUP(A116,'Originales sin dirección'!V:W,2,FALSE)</f>
        <v>Telecommunications</v>
      </c>
    </row>
    <row r="117" spans="1:14" x14ac:dyDescent="0.3">
      <c r="A117" s="2" t="s">
        <v>76</v>
      </c>
      <c r="B117">
        <v>-4.3</v>
      </c>
      <c r="C117">
        <v>4.5</v>
      </c>
      <c r="D117">
        <v>4.0999999999999996</v>
      </c>
      <c r="N117" t="str">
        <f>VLOOKUP(A117,'Originales sin dirección'!V:W,2,FALSE)</f>
        <v>Telecommunications</v>
      </c>
    </row>
    <row r="118" spans="1:14" x14ac:dyDescent="0.3">
      <c r="A118" s="2" t="s">
        <v>276</v>
      </c>
      <c r="K118">
        <v>19.600000000000001</v>
      </c>
      <c r="N118" t="str">
        <f>VLOOKUP(A118,'Originales sin dirección'!V:W,2,FALSE)</f>
        <v>Internet Services and Retailing</v>
      </c>
    </row>
    <row r="119" spans="1:14" x14ac:dyDescent="0.3">
      <c r="A119" s="2" t="s">
        <v>139</v>
      </c>
      <c r="H119">
        <v>55.9</v>
      </c>
      <c r="I119">
        <v>55.9</v>
      </c>
      <c r="J119">
        <v>55.9</v>
      </c>
      <c r="L119">
        <v>42.8</v>
      </c>
      <c r="M119">
        <v>-18.2</v>
      </c>
      <c r="N119" t="str">
        <f>VLOOKUP(A119,'Originales sin dirección'!V:W,2,FALSE)</f>
        <v>Internet Services and Retailing</v>
      </c>
    </row>
    <row r="120" spans="1:14" x14ac:dyDescent="0.3">
      <c r="A120" t="s">
        <v>278</v>
      </c>
      <c r="G120">
        <v>3</v>
      </c>
      <c r="N120" t="s">
        <v>347</v>
      </c>
    </row>
    <row r="121" spans="1:14" x14ac:dyDescent="0.3">
      <c r="A121" t="s">
        <v>282</v>
      </c>
      <c r="B121">
        <v>3</v>
      </c>
      <c r="N121" t="s">
        <v>347</v>
      </c>
    </row>
    <row r="122" spans="1:14" x14ac:dyDescent="0.3">
      <c r="A122" t="s">
        <v>645</v>
      </c>
      <c r="D122">
        <v>-7.5</v>
      </c>
      <c r="N122" t="s">
        <v>347</v>
      </c>
    </row>
    <row r="123" spans="1:14" x14ac:dyDescent="0.3">
      <c r="A123" t="s">
        <v>622</v>
      </c>
      <c r="F123">
        <v>0.2</v>
      </c>
      <c r="G123">
        <v>21.6</v>
      </c>
      <c r="H123">
        <v>3.4</v>
      </c>
      <c r="I123">
        <v>3.4</v>
      </c>
      <c r="J123">
        <v>3.4</v>
      </c>
      <c r="K123">
        <v>-4.5</v>
      </c>
      <c r="L123">
        <v>4.8</v>
      </c>
      <c r="M123">
        <v>-6.7</v>
      </c>
      <c r="N123" t="s">
        <v>347</v>
      </c>
    </row>
    <row r="124" spans="1:14" x14ac:dyDescent="0.3">
      <c r="A124" t="s">
        <v>652</v>
      </c>
      <c r="B124">
        <v>21.6</v>
      </c>
      <c r="N124" t="s">
        <v>347</v>
      </c>
    </row>
    <row r="125" spans="1:14" x14ac:dyDescent="0.3">
      <c r="A125" t="s">
        <v>604</v>
      </c>
      <c r="F125">
        <v>-4.0999999999999996</v>
      </c>
      <c r="N125" t="s">
        <v>347</v>
      </c>
    </row>
    <row r="126" spans="1:14" x14ac:dyDescent="0.3">
      <c r="A126" t="s">
        <v>559</v>
      </c>
      <c r="C126">
        <v>3.2</v>
      </c>
      <c r="D126">
        <v>2.2000000000000002</v>
      </c>
      <c r="N126" t="s">
        <v>347</v>
      </c>
    </row>
    <row r="127" spans="1:14" x14ac:dyDescent="0.3">
      <c r="A127" t="s">
        <v>594</v>
      </c>
      <c r="G127">
        <v>1.8</v>
      </c>
      <c r="H127">
        <v>3.4</v>
      </c>
      <c r="I127">
        <v>3.4</v>
      </c>
      <c r="J127">
        <v>3.4</v>
      </c>
      <c r="K127">
        <v>-3.3</v>
      </c>
      <c r="L127">
        <v>16.600000000000001</v>
      </c>
      <c r="M127">
        <v>14</v>
      </c>
      <c r="N127" t="s">
        <v>347</v>
      </c>
    </row>
    <row r="128" spans="1:14" x14ac:dyDescent="0.3">
      <c r="A128" t="s">
        <v>609</v>
      </c>
      <c r="B128">
        <v>1.8</v>
      </c>
      <c r="N128" t="s">
        <v>347</v>
      </c>
    </row>
    <row r="129" spans="1:14" x14ac:dyDescent="0.3">
      <c r="A129" t="s">
        <v>441</v>
      </c>
      <c r="F129">
        <v>-9.8000000000000007</v>
      </c>
      <c r="G129">
        <v>-2</v>
      </c>
      <c r="H129">
        <v>1.7</v>
      </c>
      <c r="I129">
        <v>1.7</v>
      </c>
      <c r="J129">
        <v>1.7</v>
      </c>
      <c r="K129">
        <v>-12.8</v>
      </c>
      <c r="L129">
        <v>5.4</v>
      </c>
      <c r="M129">
        <v>5.8</v>
      </c>
      <c r="N129" t="s">
        <v>347</v>
      </c>
    </row>
    <row r="130" spans="1:14" x14ac:dyDescent="0.3">
      <c r="A130" t="s">
        <v>491</v>
      </c>
      <c r="B130">
        <v>-2</v>
      </c>
      <c r="C130">
        <v>0.4</v>
      </c>
      <c r="D130">
        <v>-4</v>
      </c>
      <c r="N130" t="s">
        <v>347</v>
      </c>
    </row>
    <row r="131" spans="1:14" x14ac:dyDescent="0.3">
      <c r="A131" t="s">
        <v>614</v>
      </c>
      <c r="L131">
        <v>47.3</v>
      </c>
      <c r="M131">
        <v>92.4</v>
      </c>
      <c r="N131" t="s">
        <v>347</v>
      </c>
    </row>
    <row r="132" spans="1:14" x14ac:dyDescent="0.3">
      <c r="A132" t="s">
        <v>419</v>
      </c>
      <c r="F132">
        <v>-4.9000000000000004</v>
      </c>
      <c r="G132">
        <v>3</v>
      </c>
      <c r="H132">
        <v>5.6</v>
      </c>
      <c r="I132">
        <v>5.6</v>
      </c>
      <c r="J132">
        <v>5.6</v>
      </c>
      <c r="K132">
        <v>-13.7</v>
      </c>
      <c r="L132">
        <v>5.0999999999999996</v>
      </c>
      <c r="M132">
        <v>-8.1999999999999993</v>
      </c>
      <c r="N132" t="s">
        <v>347</v>
      </c>
    </row>
    <row r="133" spans="1:14" x14ac:dyDescent="0.3">
      <c r="A133" t="s">
        <v>524</v>
      </c>
      <c r="B133">
        <v>3</v>
      </c>
      <c r="C133">
        <v>-0.8</v>
      </c>
      <c r="D133">
        <v>5.2</v>
      </c>
      <c r="N133" t="s">
        <v>347</v>
      </c>
    </row>
    <row r="134" spans="1:14" x14ac:dyDescent="0.3">
      <c r="A134" t="s">
        <v>567</v>
      </c>
      <c r="C134">
        <v>-0.8</v>
      </c>
      <c r="N134" t="s">
        <v>347</v>
      </c>
    </row>
    <row r="135" spans="1:14" x14ac:dyDescent="0.3">
      <c r="A135" t="s">
        <v>603</v>
      </c>
      <c r="F135">
        <v>-3.8</v>
      </c>
      <c r="G135">
        <v>2.2000000000000002</v>
      </c>
      <c r="N135" t="s">
        <v>347</v>
      </c>
    </row>
    <row r="136" spans="1:14" x14ac:dyDescent="0.3">
      <c r="A136" t="s">
        <v>607</v>
      </c>
      <c r="B136">
        <v>2.2000000000000002</v>
      </c>
      <c r="D136">
        <v>6.6</v>
      </c>
      <c r="N136" t="s">
        <v>347</v>
      </c>
    </row>
    <row r="137" spans="1:14" x14ac:dyDescent="0.3">
      <c r="A137" t="s">
        <v>601</v>
      </c>
      <c r="H137">
        <v>6.6</v>
      </c>
      <c r="I137">
        <v>6.6</v>
      </c>
      <c r="J137">
        <v>6.6</v>
      </c>
      <c r="K137">
        <v>-9.1</v>
      </c>
      <c r="L137">
        <v>-10</v>
      </c>
      <c r="N137" t="s">
        <v>347</v>
      </c>
    </row>
    <row r="138" spans="1:14" x14ac:dyDescent="0.3">
      <c r="A138" t="s">
        <v>627</v>
      </c>
      <c r="F138">
        <v>-3.9</v>
      </c>
      <c r="G138">
        <v>10.9</v>
      </c>
      <c r="H138">
        <v>4.9000000000000004</v>
      </c>
      <c r="I138">
        <v>4.9000000000000004</v>
      </c>
      <c r="J138">
        <v>4.9000000000000004</v>
      </c>
      <c r="K138">
        <v>-1.8</v>
      </c>
      <c r="L138">
        <v>5.4</v>
      </c>
      <c r="M138">
        <v>-3.7</v>
      </c>
      <c r="N138" t="s">
        <v>347</v>
      </c>
    </row>
    <row r="139" spans="1:14" x14ac:dyDescent="0.3">
      <c r="A139" t="s">
        <v>531</v>
      </c>
      <c r="B139">
        <v>10.9</v>
      </c>
      <c r="C139">
        <v>7.9</v>
      </c>
      <c r="D139">
        <v>-5.2</v>
      </c>
      <c r="N139" t="s">
        <v>347</v>
      </c>
    </row>
    <row r="140" spans="1:14" x14ac:dyDescent="0.3">
      <c r="A140" t="s">
        <v>399</v>
      </c>
      <c r="M140">
        <v>0</v>
      </c>
      <c r="N140" t="s">
        <v>347</v>
      </c>
    </row>
    <row r="141" spans="1:14" x14ac:dyDescent="0.3">
      <c r="A141" t="s">
        <v>684</v>
      </c>
      <c r="D141">
        <v>6.2</v>
      </c>
      <c r="N141" t="s">
        <v>347</v>
      </c>
    </row>
    <row r="142" spans="1:14" x14ac:dyDescent="0.3">
      <c r="A142" t="s">
        <v>368</v>
      </c>
      <c r="F142">
        <v>3.8</v>
      </c>
      <c r="G142">
        <v>1.5</v>
      </c>
      <c r="H142">
        <v>2.2999999999999998</v>
      </c>
      <c r="I142">
        <v>2.2999999999999998</v>
      </c>
      <c r="J142">
        <v>2.2999999999999998</v>
      </c>
      <c r="K142">
        <v>-18.399999999999999</v>
      </c>
      <c r="L142">
        <v>7.2</v>
      </c>
      <c r="M142">
        <v>15.9</v>
      </c>
      <c r="N142" t="s">
        <v>347</v>
      </c>
    </row>
    <row r="143" spans="1:14" x14ac:dyDescent="0.3">
      <c r="A143" t="s">
        <v>374</v>
      </c>
      <c r="B143">
        <v>1.5</v>
      </c>
      <c r="C143">
        <v>-1.5</v>
      </c>
      <c r="D143">
        <v>9.4</v>
      </c>
      <c r="N143" t="s">
        <v>347</v>
      </c>
    </row>
    <row r="144" spans="1:14" x14ac:dyDescent="0.3">
      <c r="A144" t="s">
        <v>479</v>
      </c>
      <c r="F144">
        <v>2.9</v>
      </c>
      <c r="G144">
        <v>14</v>
      </c>
      <c r="H144">
        <v>-7.3</v>
      </c>
      <c r="I144">
        <v>-7.3</v>
      </c>
      <c r="J144">
        <v>-7.3</v>
      </c>
      <c r="K144">
        <v>-13.2</v>
      </c>
      <c r="N144" t="s">
        <v>347</v>
      </c>
    </row>
    <row r="145" spans="1:14" x14ac:dyDescent="0.3">
      <c r="A145" t="s">
        <v>489</v>
      </c>
      <c r="B145">
        <v>14</v>
      </c>
      <c r="D145">
        <v>4.3</v>
      </c>
      <c r="N145" t="s">
        <v>347</v>
      </c>
    </row>
    <row r="146" spans="1:14" x14ac:dyDescent="0.3">
      <c r="A146" t="s">
        <v>350</v>
      </c>
      <c r="F146">
        <v>-2.2999999999999998</v>
      </c>
      <c r="G146">
        <v>9.1999999999999993</v>
      </c>
      <c r="H146">
        <v>-6.5</v>
      </c>
      <c r="I146">
        <v>-6.5</v>
      </c>
      <c r="J146">
        <v>-6.5</v>
      </c>
      <c r="K146">
        <v>-10.7</v>
      </c>
      <c r="L146">
        <v>3.7</v>
      </c>
      <c r="M146">
        <v>23.4</v>
      </c>
      <c r="N146" t="s">
        <v>347</v>
      </c>
    </row>
    <row r="147" spans="1:14" x14ac:dyDescent="0.3">
      <c r="A147" t="s">
        <v>355</v>
      </c>
      <c r="B147">
        <v>9.1999999999999993</v>
      </c>
      <c r="C147">
        <v>1.3</v>
      </c>
      <c r="D147">
        <v>2.1</v>
      </c>
      <c r="N147" t="s">
        <v>347</v>
      </c>
    </row>
    <row r="148" spans="1:14" x14ac:dyDescent="0.3">
      <c r="A148" t="s">
        <v>473</v>
      </c>
      <c r="F148">
        <v>0.3</v>
      </c>
      <c r="G148">
        <v>6.2</v>
      </c>
      <c r="H148">
        <v>3.4</v>
      </c>
      <c r="I148">
        <v>3.4</v>
      </c>
      <c r="J148">
        <v>3.4</v>
      </c>
      <c r="K148">
        <v>-9.5</v>
      </c>
      <c r="L148">
        <v>4.3</v>
      </c>
      <c r="M148">
        <v>-3.6</v>
      </c>
      <c r="N148" t="s">
        <v>347</v>
      </c>
    </row>
    <row r="149" spans="1:14" x14ac:dyDescent="0.3">
      <c r="A149" t="s">
        <v>493</v>
      </c>
      <c r="B149">
        <v>6.2</v>
      </c>
      <c r="C149">
        <v>18.2</v>
      </c>
      <c r="D149">
        <v>-0.6</v>
      </c>
      <c r="N149" t="s">
        <v>347</v>
      </c>
    </row>
    <row r="150" spans="1:14" x14ac:dyDescent="0.3">
      <c r="A150" t="s">
        <v>660</v>
      </c>
      <c r="F150">
        <v>-4.0999999999999996</v>
      </c>
      <c r="G150">
        <v>-0.8</v>
      </c>
      <c r="H150">
        <v>3.2</v>
      </c>
      <c r="I150">
        <v>3.2</v>
      </c>
      <c r="J150">
        <v>3.2</v>
      </c>
      <c r="K150">
        <v>-2.8</v>
      </c>
      <c r="L150">
        <v>16.600000000000001</v>
      </c>
      <c r="M150">
        <v>7.4</v>
      </c>
      <c r="N150" t="s">
        <v>347</v>
      </c>
    </row>
    <row r="151" spans="1:14" x14ac:dyDescent="0.3">
      <c r="A151" t="s">
        <v>552</v>
      </c>
      <c r="B151">
        <v>-0.8</v>
      </c>
      <c r="C151">
        <v>6.8</v>
      </c>
      <c r="D151">
        <v>6.4</v>
      </c>
      <c r="N151" t="s">
        <v>347</v>
      </c>
    </row>
    <row r="152" spans="1:14" x14ac:dyDescent="0.3">
      <c r="A152" t="s">
        <v>382</v>
      </c>
      <c r="F152">
        <v>-8.3000000000000007</v>
      </c>
      <c r="N152" t="s">
        <v>347</v>
      </c>
    </row>
    <row r="153" spans="1:14" x14ac:dyDescent="0.3">
      <c r="A153" t="s">
        <v>388</v>
      </c>
      <c r="C153">
        <v>2.7</v>
      </c>
      <c r="D153">
        <v>1.8</v>
      </c>
      <c r="N153" t="s">
        <v>347</v>
      </c>
    </row>
    <row r="154" spans="1:14" x14ac:dyDescent="0.3">
      <c r="A154" t="s">
        <v>426</v>
      </c>
      <c r="G154">
        <v>0.1</v>
      </c>
      <c r="H154">
        <v>7.8</v>
      </c>
      <c r="I154">
        <v>7.8</v>
      </c>
      <c r="J154">
        <v>7.8</v>
      </c>
      <c r="K154">
        <v>-20.2</v>
      </c>
      <c r="L154">
        <v>9.8000000000000007</v>
      </c>
      <c r="M154">
        <v>5.2</v>
      </c>
      <c r="N154" t="s">
        <v>347</v>
      </c>
    </row>
    <row r="155" spans="1:14" x14ac:dyDescent="0.3">
      <c r="A155" t="s">
        <v>617</v>
      </c>
      <c r="B155">
        <v>0.1</v>
      </c>
      <c r="N155" t="s">
        <v>347</v>
      </c>
    </row>
    <row r="156" spans="1:14" x14ac:dyDescent="0.3">
      <c r="A156" t="s">
        <v>597</v>
      </c>
      <c r="M156">
        <v>-0.3</v>
      </c>
      <c r="N156" t="s">
        <v>347</v>
      </c>
    </row>
    <row r="157" spans="1:14" x14ac:dyDescent="0.3">
      <c r="A157" t="s">
        <v>655</v>
      </c>
      <c r="F157">
        <v>-7.6</v>
      </c>
      <c r="G157">
        <v>7.6</v>
      </c>
      <c r="H157">
        <v>4.8</v>
      </c>
      <c r="I157">
        <v>4.8</v>
      </c>
      <c r="J157">
        <v>4.8</v>
      </c>
      <c r="K157">
        <v>-17.2</v>
      </c>
      <c r="L157">
        <v>11</v>
      </c>
      <c r="M157">
        <v>4.4000000000000004</v>
      </c>
      <c r="N157" t="s">
        <v>347</v>
      </c>
    </row>
    <row r="158" spans="1:14" x14ac:dyDescent="0.3">
      <c r="A158" t="s">
        <v>511</v>
      </c>
      <c r="B158">
        <v>7.6</v>
      </c>
      <c r="C158">
        <v>7.3</v>
      </c>
      <c r="D158">
        <v>13</v>
      </c>
      <c r="N158" t="s">
        <v>347</v>
      </c>
    </row>
    <row r="159" spans="1:14" x14ac:dyDescent="0.3">
      <c r="A159" t="s">
        <v>503</v>
      </c>
      <c r="C159">
        <v>-4.2</v>
      </c>
      <c r="N159" t="s">
        <v>347</v>
      </c>
    </row>
    <row r="160" spans="1:14" x14ac:dyDescent="0.3">
      <c r="A160" t="s">
        <v>581</v>
      </c>
      <c r="F160">
        <v>-9.3000000000000007</v>
      </c>
      <c r="G160">
        <v>-1.7</v>
      </c>
      <c r="H160">
        <v>5</v>
      </c>
      <c r="I160">
        <v>5</v>
      </c>
      <c r="J160">
        <v>5</v>
      </c>
      <c r="N160" t="s">
        <v>347</v>
      </c>
    </row>
    <row r="161" spans="1:14" x14ac:dyDescent="0.3">
      <c r="A161" t="s">
        <v>589</v>
      </c>
      <c r="B161">
        <v>-1.7</v>
      </c>
      <c r="D161">
        <v>-2.6</v>
      </c>
      <c r="N161" t="s">
        <v>347</v>
      </c>
    </row>
    <row r="162" spans="1:14" x14ac:dyDescent="0.3">
      <c r="A162" t="s">
        <v>639</v>
      </c>
      <c r="F162">
        <v>2.8</v>
      </c>
      <c r="G162">
        <v>4.5</v>
      </c>
      <c r="H162">
        <v>2.5</v>
      </c>
      <c r="I162">
        <v>2.5</v>
      </c>
      <c r="J162">
        <v>2.5</v>
      </c>
      <c r="K162">
        <v>-13.8</v>
      </c>
      <c r="N162" t="s">
        <v>347</v>
      </c>
    </row>
    <row r="163" spans="1:14" x14ac:dyDescent="0.3">
      <c r="A163" t="s">
        <v>465</v>
      </c>
      <c r="B163">
        <v>4.5</v>
      </c>
      <c r="C163">
        <v>3.1</v>
      </c>
      <c r="D163">
        <v>1.2</v>
      </c>
      <c r="N163" t="s">
        <v>347</v>
      </c>
    </row>
    <row r="164" spans="1:14" x14ac:dyDescent="0.3">
      <c r="A164" t="s">
        <v>434</v>
      </c>
      <c r="F164">
        <v>-1.9</v>
      </c>
      <c r="G164">
        <v>6.5</v>
      </c>
      <c r="H164">
        <v>-3.2</v>
      </c>
      <c r="I164">
        <v>-3.2</v>
      </c>
      <c r="J164">
        <v>-3.2</v>
      </c>
      <c r="K164">
        <v>-18.399999999999999</v>
      </c>
      <c r="L164">
        <v>1.1000000000000001</v>
      </c>
      <c r="M164">
        <v>4.4000000000000004</v>
      </c>
      <c r="N164" t="s">
        <v>347</v>
      </c>
    </row>
    <row r="165" spans="1:14" x14ac:dyDescent="0.3">
      <c r="A165" t="s">
        <v>562</v>
      </c>
      <c r="B165">
        <v>6.5</v>
      </c>
      <c r="C165">
        <v>-2.7</v>
      </c>
      <c r="D165">
        <v>0</v>
      </c>
      <c r="N165" t="s">
        <v>347</v>
      </c>
    </row>
    <row r="166" spans="1:14" x14ac:dyDescent="0.3">
      <c r="A166" t="s">
        <v>545</v>
      </c>
      <c r="C166">
        <v>-14.5</v>
      </c>
      <c r="N166" t="s">
        <v>347</v>
      </c>
    </row>
    <row r="167" spans="1:14" x14ac:dyDescent="0.3">
      <c r="A167" t="s">
        <v>456</v>
      </c>
      <c r="F167">
        <v>-14.7</v>
      </c>
      <c r="G167">
        <v>-1.5</v>
      </c>
      <c r="H167">
        <v>18.899999999999999</v>
      </c>
      <c r="I167">
        <v>18.899999999999999</v>
      </c>
      <c r="J167">
        <v>18.899999999999999</v>
      </c>
      <c r="N167" t="s">
        <v>347</v>
      </c>
    </row>
    <row r="168" spans="1:14" x14ac:dyDescent="0.3">
      <c r="A168" t="s">
        <v>459</v>
      </c>
      <c r="B168">
        <v>-1.5</v>
      </c>
      <c r="D168">
        <v>0.8</v>
      </c>
      <c r="N168" t="s">
        <v>347</v>
      </c>
    </row>
    <row r="169" spans="1:14" x14ac:dyDescent="0.3">
      <c r="A169" t="s">
        <v>413</v>
      </c>
      <c r="F169">
        <v>-7.7</v>
      </c>
      <c r="G169">
        <v>12.7</v>
      </c>
      <c r="H169">
        <v>2.2999999999999998</v>
      </c>
      <c r="I169">
        <v>2.2999999999999998</v>
      </c>
      <c r="J169">
        <v>2.2999999999999998</v>
      </c>
      <c r="K169">
        <v>-20.3</v>
      </c>
      <c r="L169">
        <v>10.3</v>
      </c>
      <c r="M169">
        <v>-8.6</v>
      </c>
      <c r="N169" t="s">
        <v>347</v>
      </c>
    </row>
    <row r="170" spans="1:14" x14ac:dyDescent="0.3">
      <c r="A170" t="s">
        <v>590</v>
      </c>
      <c r="B170">
        <v>12.7</v>
      </c>
      <c r="N170" t="s">
        <v>347</v>
      </c>
    </row>
    <row r="171" spans="1:14" x14ac:dyDescent="0.3">
      <c r="A171" t="s">
        <v>542</v>
      </c>
      <c r="C171">
        <v>-10.5</v>
      </c>
      <c r="D171">
        <v>2.5</v>
      </c>
      <c r="N171" t="s">
        <v>347</v>
      </c>
    </row>
    <row r="172" spans="1:14" x14ac:dyDescent="0.3">
      <c r="A172" t="s">
        <v>636</v>
      </c>
      <c r="F172">
        <v>-4.8</v>
      </c>
      <c r="G172">
        <v>6.3</v>
      </c>
      <c r="H172">
        <v>3</v>
      </c>
      <c r="I172">
        <v>3</v>
      </c>
      <c r="J172">
        <v>3</v>
      </c>
      <c r="K172">
        <v>-3.7</v>
      </c>
      <c r="L172">
        <v>8.9</v>
      </c>
      <c r="N172" t="s">
        <v>347</v>
      </c>
    </row>
    <row r="173" spans="1:14" x14ac:dyDescent="0.3">
      <c r="A173" t="s">
        <v>214</v>
      </c>
      <c r="B173">
        <v>6.3</v>
      </c>
      <c r="N173" t="s">
        <v>347</v>
      </c>
    </row>
    <row r="174" spans="1:14" x14ac:dyDescent="0.3">
      <c r="A174" t="s">
        <v>666</v>
      </c>
      <c r="L174">
        <v>225.3</v>
      </c>
      <c r="M174">
        <v>6.9</v>
      </c>
      <c r="N174" t="s">
        <v>347</v>
      </c>
    </row>
    <row r="175" spans="1:14" x14ac:dyDescent="0.3">
      <c r="A175" t="s">
        <v>518</v>
      </c>
      <c r="C175">
        <v>-2.4</v>
      </c>
      <c r="N175" t="s">
        <v>347</v>
      </c>
    </row>
    <row r="176" spans="1:14" x14ac:dyDescent="0.3">
      <c r="A176" t="s">
        <v>625</v>
      </c>
      <c r="F176">
        <v>-3.4</v>
      </c>
      <c r="G176">
        <v>10.4</v>
      </c>
      <c r="H176">
        <v>3</v>
      </c>
      <c r="I176">
        <v>3</v>
      </c>
      <c r="J176">
        <v>3</v>
      </c>
      <c r="K176">
        <v>-6.6</v>
      </c>
      <c r="L176">
        <v>6</v>
      </c>
      <c r="M176">
        <v>8</v>
      </c>
      <c r="N176" t="s">
        <v>347</v>
      </c>
    </row>
    <row r="177" spans="1:14" x14ac:dyDescent="0.3">
      <c r="A177" t="s">
        <v>647</v>
      </c>
      <c r="B177">
        <v>10.4</v>
      </c>
      <c r="D177">
        <v>-5.5</v>
      </c>
      <c r="N177" t="s">
        <v>347</v>
      </c>
    </row>
    <row r="178" spans="1:14" x14ac:dyDescent="0.3">
      <c r="A178" t="s">
        <v>630</v>
      </c>
      <c r="F178">
        <v>-4.5</v>
      </c>
      <c r="G178">
        <v>7.7</v>
      </c>
      <c r="H178">
        <v>2.8</v>
      </c>
      <c r="I178">
        <v>2.8</v>
      </c>
      <c r="J178">
        <v>2.8</v>
      </c>
      <c r="K178">
        <v>-6.5</v>
      </c>
      <c r="L178">
        <v>8.8000000000000007</v>
      </c>
      <c r="M178">
        <v>-1.7</v>
      </c>
      <c r="N178" t="s">
        <v>347</v>
      </c>
    </row>
    <row r="179" spans="1:14" x14ac:dyDescent="0.3">
      <c r="A179" t="s">
        <v>577</v>
      </c>
      <c r="B179">
        <v>7.7</v>
      </c>
      <c r="C179">
        <v>12.9</v>
      </c>
      <c r="D179">
        <v>-3.5</v>
      </c>
      <c r="N179" t="s">
        <v>347</v>
      </c>
    </row>
    <row r="180" spans="1:14" x14ac:dyDescent="0.3">
      <c r="A180" t="s">
        <v>362</v>
      </c>
      <c r="K180">
        <v>28.3</v>
      </c>
      <c r="L180">
        <v>70.7</v>
      </c>
      <c r="M180">
        <v>51.4</v>
      </c>
      <c r="N180" t="s">
        <v>347</v>
      </c>
    </row>
    <row r="181" spans="1:14" x14ac:dyDescent="0.3">
      <c r="A181" t="s">
        <v>406</v>
      </c>
      <c r="F181">
        <v>-2.1</v>
      </c>
      <c r="G181">
        <v>-4.2</v>
      </c>
      <c r="H181">
        <v>-4.9000000000000004</v>
      </c>
      <c r="I181">
        <v>-4.9000000000000004</v>
      </c>
      <c r="J181">
        <v>-4.9000000000000004</v>
      </c>
      <c r="K181">
        <v>-8.6999999999999993</v>
      </c>
      <c r="L181">
        <v>11.1</v>
      </c>
      <c r="N181" t="s">
        <v>347</v>
      </c>
    </row>
    <row r="182" spans="1:14" x14ac:dyDescent="0.3">
      <c r="A182" t="s">
        <v>521</v>
      </c>
      <c r="B182">
        <v>-4.2</v>
      </c>
      <c r="C182">
        <v>0.4</v>
      </c>
      <c r="D182">
        <v>10.9</v>
      </c>
      <c r="N182" t="s">
        <v>347</v>
      </c>
    </row>
    <row r="183" spans="1:14" x14ac:dyDescent="0.3">
      <c r="A183" t="s">
        <v>450</v>
      </c>
      <c r="F183">
        <v>-11.9</v>
      </c>
      <c r="G183">
        <v>1.5</v>
      </c>
      <c r="N183" t="s">
        <v>347</v>
      </c>
    </row>
    <row r="184" spans="1:14" x14ac:dyDescent="0.3">
      <c r="A184" t="s">
        <v>468</v>
      </c>
      <c r="B184">
        <v>1.5</v>
      </c>
      <c r="C184">
        <v>11.8</v>
      </c>
      <c r="D184">
        <v>5.6</v>
      </c>
      <c r="N184" t="s">
        <v>347</v>
      </c>
    </row>
    <row r="185" spans="1:14" x14ac:dyDescent="0.3">
      <c r="A185" t="s">
        <v>658</v>
      </c>
      <c r="F185">
        <v>-10.1</v>
      </c>
      <c r="G185">
        <v>-4.8</v>
      </c>
      <c r="H185">
        <v>14.8</v>
      </c>
      <c r="I185">
        <v>14.8</v>
      </c>
      <c r="J185">
        <v>14.8</v>
      </c>
      <c r="K185">
        <v>-19.600000000000001</v>
      </c>
      <c r="L185">
        <v>18</v>
      </c>
      <c r="M185">
        <v>7.9</v>
      </c>
      <c r="N185" t="s">
        <v>347</v>
      </c>
    </row>
    <row r="186" spans="1:14" x14ac:dyDescent="0.3">
      <c r="A186" t="s">
        <v>688</v>
      </c>
      <c r="B186">
        <v>-4.8</v>
      </c>
      <c r="N186" t="s">
        <v>347</v>
      </c>
    </row>
    <row r="187" spans="1:14" x14ac:dyDescent="0.3">
      <c r="A187" t="s">
        <v>539</v>
      </c>
      <c r="C187">
        <v>-6.2</v>
      </c>
      <c r="D187">
        <v>-6.7</v>
      </c>
      <c r="N187" t="s">
        <v>347</v>
      </c>
    </row>
    <row r="188" spans="1:14" x14ac:dyDescent="0.3">
      <c r="A188" t="s">
        <v>599</v>
      </c>
      <c r="H188">
        <v>7</v>
      </c>
      <c r="I188">
        <v>7</v>
      </c>
      <c r="J188">
        <v>7</v>
      </c>
      <c r="K188">
        <v>-10.199999999999999</v>
      </c>
      <c r="L188">
        <v>16.5</v>
      </c>
      <c r="M188">
        <v>-0.7</v>
      </c>
      <c r="N188" t="s">
        <v>347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Originales sin dirección</vt:lpstr>
      <vt:lpstr>Hoja1</vt:lpstr>
      <vt:lpstr>Dicc. Empresa-Emisora</vt:lpstr>
      <vt:lpstr>TD</vt:lpstr>
      <vt:lpstr>Hoja3</vt:lpstr>
      <vt:lpstr>Suma de Rotación de activos</vt:lpstr>
      <vt:lpstr>Suma de EMPLEO</vt:lpstr>
      <vt:lpstr>Suma de EPS_CAMBIO%</vt:lpstr>
      <vt:lpstr>Suma de GANANCIAS_POR_ACCIÓN</vt:lpstr>
      <vt:lpstr>Suma de GANANCIAS_%CAPITAL0CONT</vt:lpstr>
      <vt:lpstr>Suma de GANANCIAS_%ACTIVOS</vt:lpstr>
      <vt:lpstr>Suma de GANANCIAS_%VTAS</vt:lpstr>
      <vt:lpstr>Suma de VALOR_MERCADO_MILL</vt:lpstr>
      <vt:lpstr>Suma de ACCIONES_MILL</vt:lpstr>
      <vt:lpstr>Suma de ACTIVOS_MILL</vt:lpstr>
      <vt:lpstr>Suma de GANANCIA_CAMBIO%</vt:lpstr>
      <vt:lpstr>Suma de GANANCIA_MILL</vt:lpstr>
      <vt:lpstr>Suma de Ventas en millones</vt:lpstr>
      <vt:lpstr>Suma de VENTAS_CAMBIO%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armando abreu rosique</dc:creator>
  <cp:lastModifiedBy>DAVID ARMANDO ABREU ROSIQUE</cp:lastModifiedBy>
  <dcterms:created xsi:type="dcterms:W3CDTF">2015-06-05T18:19:34Z</dcterms:created>
  <dcterms:modified xsi:type="dcterms:W3CDTF">2025-06-23T19:38:57Z</dcterms:modified>
</cp:coreProperties>
</file>